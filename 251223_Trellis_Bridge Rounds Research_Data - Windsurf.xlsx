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Documents\Berkeley\Careers\Trellis\"/>
    </mc:Choice>
  </mc:AlternateContent>
  <xr:revisionPtr revIDLastSave="0" documentId="13_ncr:1_{E540800F-C6D5-46E7-86F6-367E4ACDB01A}" xr6:coauthVersionLast="47" xr6:coauthVersionMax="47" xr10:uidLastSave="{00000000-0000-0000-0000-000000000000}"/>
  <bookViews>
    <workbookView xWindow="-110" yWindow="-110" windowWidth="19420" windowHeight="10300" firstSheet="1" activeTab="3" xr2:uid="{E398DCB0-1DEF-4352-8B1A-62487F9CB076}"/>
  </bookViews>
  <sheets>
    <sheet name="Navigation" sheetId="4" r:id="rId1"/>
    <sheet name="Outputs" sheetId="3" r:id="rId2"/>
    <sheet name="Charts" sheetId="10" r:id="rId3"/>
    <sheet name="Cleaned_Data" sheetId="5" r:id="rId4"/>
    <sheet name="Raw_Data" sheetId="1" r:id="rId5"/>
    <sheet name="Exclusions_Distinctions" sheetId="2" r:id="rId6"/>
    <sheet name="REF_Setup" sheetId="6" r:id="rId7"/>
    <sheet name="Investor_Analysis_Setup" sheetId="7" r:id="rId8"/>
    <sheet name="New_Investor_Analysis_Setup" sheetId="8" r:id="rId9"/>
    <sheet name="Bubble_Chart_Setup" sheetId="9" r:id="rId10"/>
  </sheets>
  <definedNames>
    <definedName name="_xlnm._FilterDatabase" localSheetId="3" hidden="1">Cleaned_Data!$B$2:$U$274</definedName>
    <definedName name="_xlnm._FilterDatabase" localSheetId="5" hidden="1">Exclusions_Distinctions!$B$3:$C$3</definedName>
    <definedName name="_xlnm._FilterDatabase" localSheetId="7" hidden="1">Investor_Analysis_Setup!$E$3:$F$3</definedName>
    <definedName name="_xlnm._FilterDatabase" localSheetId="8" hidden="1">New_Investor_Analysis_Setup!$E$3:$F$924</definedName>
    <definedName name="_xlnm._FilterDatabase" localSheetId="4" hidden="1">Raw_Data!$A$2:$AB$2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9" l="1"/>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A5" i="9"/>
  <c r="A6" i="9"/>
  <c r="A7" i="9"/>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4" i="9"/>
  <c r="B3" i="9"/>
  <c r="C24" i="3"/>
  <c r="C40" i="3"/>
  <c r="C66" i="3"/>
  <c r="C65" i="3" a="1"/>
  <c r="C65" i="3" s="1"/>
  <c r="C64" i="3"/>
  <c r="C63" i="3"/>
  <c r="B56" i="3" a="1"/>
  <c r="B56" i="3" s="1"/>
  <c r="B4" i="8" a="1"/>
  <c r="B4" i="7" a="1"/>
  <c r="B4" i="7" s="1"/>
  <c r="C39" i="3"/>
  <c r="C38" i="3"/>
  <c r="C37" i="3"/>
  <c r="K34" i="3"/>
  <c r="J34" i="3"/>
  <c r="I34" i="3"/>
  <c r="H34" i="3"/>
  <c r="G34" i="3"/>
  <c r="F34" i="3"/>
  <c r="E34" i="3"/>
  <c r="D34" i="3"/>
  <c r="K33" i="3"/>
  <c r="J33" i="3"/>
  <c r="I33" i="3"/>
  <c r="H33" i="3"/>
  <c r="G33" i="3"/>
  <c r="F33" i="3"/>
  <c r="E33" i="3"/>
  <c r="D33" i="3"/>
  <c r="E15" i="3" a="1"/>
  <c r="E15" i="3" s="1"/>
  <c r="C33" i="3"/>
  <c r="C34" i="3"/>
  <c r="V67" i="1"/>
  <c r="C9" i="3"/>
  <c r="M28" i="3" a="1"/>
  <c r="M28" i="3" s="1"/>
  <c r="L28" i="3" a="1"/>
  <c r="L28" i="3" s="1"/>
  <c r="K28" i="3" a="1"/>
  <c r="K28" i="3" s="1"/>
  <c r="J28" i="3" a="1"/>
  <c r="J28" i="3" s="1"/>
  <c r="I28" i="3" a="1"/>
  <c r="I28" i="3" s="1"/>
  <c r="H28" i="3" a="1"/>
  <c r="H28" i="3" s="1"/>
  <c r="G28" i="3" a="1"/>
  <c r="G28" i="3" s="1"/>
  <c r="F28" i="3" a="1"/>
  <c r="F28" i="3" s="1"/>
  <c r="E28" i="3" a="1"/>
  <c r="E28" i="3" s="1"/>
  <c r="D28" i="3" a="1"/>
  <c r="D28" i="3" s="1"/>
  <c r="C28" i="3" a="1"/>
  <c r="C28" i="3" s="1"/>
  <c r="C18" i="3"/>
  <c r="D18" i="3"/>
  <c r="C27" i="3" a="1"/>
  <c r="C27" i="3" s="1"/>
  <c r="M27" i="3" a="1"/>
  <c r="M27" i="3" s="1"/>
  <c r="L27" i="3" a="1"/>
  <c r="L27" i="3" s="1"/>
  <c r="K27" i="3" a="1"/>
  <c r="K27" i="3" s="1"/>
  <c r="J27" i="3" a="1"/>
  <c r="J27" i="3" s="1"/>
  <c r="I27" i="3" a="1"/>
  <c r="I27" i="3" s="1"/>
  <c r="H27" i="3" a="1"/>
  <c r="H27" i="3" s="1"/>
  <c r="G27" i="3" a="1"/>
  <c r="G27" i="3" s="1"/>
  <c r="F27" i="3" a="1"/>
  <c r="F27" i="3" s="1"/>
  <c r="E27" i="3" a="1"/>
  <c r="E27" i="3" s="1"/>
  <c r="D27" i="3" a="1"/>
  <c r="D27" i="3" s="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3" i="5"/>
  <c r="U7" i="5" a="1"/>
  <c r="U7" i="5" s="1"/>
  <c r="D23" i="3"/>
  <c r="E23" i="3" s="1"/>
  <c r="F23" i="3" s="1"/>
  <c r="G23" i="3" s="1"/>
  <c r="H23" i="3" s="1"/>
  <c r="I23" i="3" s="1"/>
  <c r="J23" i="3" s="1"/>
  <c r="K23" i="3" s="1"/>
  <c r="L23" i="3" s="1"/>
  <c r="M23" i="3" s="1"/>
  <c r="M24" i="3" s="1"/>
  <c r="G18" i="3"/>
  <c r="F18" i="3"/>
  <c r="E18" i="3"/>
  <c r="C15" i="3" a="1"/>
  <c r="C15" i="3" s="1"/>
  <c r="P3" i="5"/>
  <c r="O3" i="5" s="1"/>
  <c r="U16" i="5" a="1"/>
  <c r="U16" i="5" s="1"/>
  <c r="U25" i="5" a="1"/>
  <c r="U25" i="5" s="1"/>
  <c r="U26" i="5" a="1"/>
  <c r="U26" i="5" s="1"/>
  <c r="U30" i="5" a="1"/>
  <c r="U30" i="5" s="1"/>
  <c r="U50" i="5" a="1"/>
  <c r="U50" i="5" s="1"/>
  <c r="U68" i="5" a="1"/>
  <c r="U68" i="5" s="1"/>
  <c r="U70" i="5" a="1"/>
  <c r="U70" i="5" s="1"/>
  <c r="U80" i="5" a="1"/>
  <c r="U80" i="5" s="1"/>
  <c r="U81" i="5" a="1"/>
  <c r="U81" i="5" s="1"/>
  <c r="U82" i="5" a="1"/>
  <c r="U82" i="5" s="1"/>
  <c r="U85" i="5" a="1"/>
  <c r="U85" i="5" s="1"/>
  <c r="U88" i="5" a="1"/>
  <c r="U88" i="5" s="1"/>
  <c r="U96" i="5" a="1"/>
  <c r="U96" i="5" s="1"/>
  <c r="U97" i="5" a="1"/>
  <c r="U97" i="5" s="1"/>
  <c r="U115" i="5" a="1"/>
  <c r="U115" i="5" s="1"/>
  <c r="U119" i="5" a="1"/>
  <c r="U119" i="5" s="1"/>
  <c r="U146" i="5" a="1"/>
  <c r="U146" i="5" s="1"/>
  <c r="U150" i="5" a="1"/>
  <c r="U150" i="5" s="1"/>
  <c r="U154" i="5" a="1"/>
  <c r="U154" i="5" s="1"/>
  <c r="U160" i="5" a="1"/>
  <c r="U160" i="5" s="1"/>
  <c r="U161" i="5" a="1"/>
  <c r="U161" i="5" s="1"/>
  <c r="U164" i="5" a="1"/>
  <c r="U164" i="5" s="1"/>
  <c r="U168" i="5" a="1"/>
  <c r="U168" i="5" s="1"/>
  <c r="U178" i="5" a="1"/>
  <c r="U178" i="5" s="1"/>
  <c r="U187" i="5" a="1"/>
  <c r="U187" i="5" s="1"/>
  <c r="U206" i="5" a="1"/>
  <c r="U206" i="5" s="1"/>
  <c r="U209" i="5" a="1"/>
  <c r="U209" i="5" s="1"/>
  <c r="U215" i="5" a="1"/>
  <c r="U215" i="5" s="1"/>
  <c r="U232" i="5" a="1"/>
  <c r="U232" i="5" s="1"/>
  <c r="U235" i="5" a="1"/>
  <c r="U235" i="5" s="1"/>
  <c r="U238" i="5" a="1"/>
  <c r="U238" i="5" s="1"/>
  <c r="U242" i="5" a="1"/>
  <c r="U242" i="5" s="1"/>
  <c r="U246" i="5" a="1"/>
  <c r="U246" i="5" s="1"/>
  <c r="U251" i="5" a="1"/>
  <c r="U251" i="5" s="1"/>
  <c r="U252" i="5" a="1"/>
  <c r="U252" i="5" s="1"/>
  <c r="U253" i="5" a="1"/>
  <c r="U253" i="5" s="1"/>
  <c r="U263" i="5" a="1"/>
  <c r="U263" i="5" s="1"/>
  <c r="U270" i="5" a="1"/>
  <c r="U270" i="5" s="1"/>
  <c r="U271" i="5" a="1"/>
  <c r="U271" i="5" s="1"/>
  <c r="U273" i="5" a="1"/>
  <c r="U273" i="5" s="1"/>
  <c r="T16" i="5" a="1"/>
  <c r="T16" i="5" s="1"/>
  <c r="T25" i="5" a="1"/>
  <c r="T25" i="5" s="1"/>
  <c r="T26" i="5" a="1"/>
  <c r="T26" i="5" s="1"/>
  <c r="T30" i="5" a="1"/>
  <c r="T30" i="5" s="1"/>
  <c r="T50" i="5" a="1"/>
  <c r="T50" i="5" s="1"/>
  <c r="T68" i="5" a="1"/>
  <c r="T68" i="5" s="1"/>
  <c r="T70" i="5" a="1"/>
  <c r="T70" i="5" s="1"/>
  <c r="T80" i="5" a="1"/>
  <c r="T80" i="5" s="1"/>
  <c r="T81" i="5" a="1"/>
  <c r="T81" i="5" s="1"/>
  <c r="T82" i="5" a="1"/>
  <c r="T82" i="5" s="1"/>
  <c r="T85" i="5" a="1"/>
  <c r="T85" i="5" s="1"/>
  <c r="T88" i="5" a="1"/>
  <c r="T88" i="5" s="1"/>
  <c r="T96" i="5" a="1"/>
  <c r="T96" i="5" s="1"/>
  <c r="T97" i="5" a="1"/>
  <c r="T97" i="5" s="1"/>
  <c r="T115" i="5" a="1"/>
  <c r="T115" i="5" s="1"/>
  <c r="T119" i="5" a="1"/>
  <c r="T119" i="5" s="1"/>
  <c r="T146" i="5" a="1"/>
  <c r="T146" i="5" s="1"/>
  <c r="T150" i="5" a="1"/>
  <c r="T150" i="5" s="1"/>
  <c r="T154" i="5" a="1"/>
  <c r="T154" i="5" s="1"/>
  <c r="T160" i="5" a="1"/>
  <c r="T160" i="5" s="1"/>
  <c r="T161" i="5" a="1"/>
  <c r="T161" i="5" s="1"/>
  <c r="T164" i="5" a="1"/>
  <c r="T164" i="5" s="1"/>
  <c r="T168" i="5" a="1"/>
  <c r="T168" i="5" s="1"/>
  <c r="T178" i="5" a="1"/>
  <c r="T178" i="5" s="1"/>
  <c r="T187" i="5" a="1"/>
  <c r="T187" i="5" s="1"/>
  <c r="T206" i="5" a="1"/>
  <c r="T206" i="5" s="1"/>
  <c r="T209" i="5" a="1"/>
  <c r="T209" i="5" s="1"/>
  <c r="T215" i="5" a="1"/>
  <c r="T215" i="5" s="1"/>
  <c r="T232" i="5" a="1"/>
  <c r="T232" i="5" s="1"/>
  <c r="T235" i="5" a="1"/>
  <c r="T235" i="5" s="1"/>
  <c r="T238" i="5" a="1"/>
  <c r="T238" i="5" s="1"/>
  <c r="T242" i="5" a="1"/>
  <c r="T242" i="5" s="1"/>
  <c r="T246" i="5" a="1"/>
  <c r="T246" i="5" s="1"/>
  <c r="T251" i="5" a="1"/>
  <c r="T251" i="5" s="1"/>
  <c r="T252" i="5" a="1"/>
  <c r="T252" i="5" s="1"/>
  <c r="T253" i="5" a="1"/>
  <c r="T253" i="5" s="1"/>
  <c r="T263" i="5" a="1"/>
  <c r="T263" i="5" s="1"/>
  <c r="T270" i="5" a="1"/>
  <c r="T270" i="5" s="1"/>
  <c r="T271" i="5" a="1"/>
  <c r="T271" i="5" s="1"/>
  <c r="T273" i="5" a="1"/>
  <c r="T273" i="5" s="1"/>
  <c r="S3" i="5" a="1"/>
  <c r="S3" i="5" s="1"/>
  <c r="S4" i="5" a="1"/>
  <c r="S4" i="5" s="1"/>
  <c r="S5" i="5" a="1"/>
  <c r="S5" i="5" s="1"/>
  <c r="S6" i="5" a="1"/>
  <c r="S6" i="5" s="1"/>
  <c r="S7" i="5" a="1"/>
  <c r="S7" i="5" s="1"/>
  <c r="S8" i="5" a="1"/>
  <c r="S8" i="5" s="1"/>
  <c r="S9" i="5" a="1"/>
  <c r="S9" i="5" s="1"/>
  <c r="S10" i="5" a="1"/>
  <c r="S10" i="5" s="1"/>
  <c r="S11" i="5" a="1"/>
  <c r="S11" i="5" s="1"/>
  <c r="S12" i="5" a="1"/>
  <c r="S12" i="5" s="1"/>
  <c r="S13" i="5" a="1"/>
  <c r="S13" i="5" s="1"/>
  <c r="S14" i="5" a="1"/>
  <c r="S14" i="5" s="1"/>
  <c r="S15" i="5" a="1"/>
  <c r="S15" i="5" s="1"/>
  <c r="S16" i="5" a="1"/>
  <c r="S16" i="5" s="1"/>
  <c r="S17" i="5" a="1"/>
  <c r="S17" i="5" s="1"/>
  <c r="S18" i="5" a="1"/>
  <c r="S18" i="5" s="1"/>
  <c r="S19" i="5" a="1"/>
  <c r="S19" i="5" s="1"/>
  <c r="S20" i="5" a="1"/>
  <c r="S20" i="5" s="1"/>
  <c r="S21" i="5" a="1"/>
  <c r="S21" i="5" s="1"/>
  <c r="S22" i="5" a="1"/>
  <c r="S22" i="5" s="1"/>
  <c r="S23" i="5" a="1"/>
  <c r="S23" i="5" s="1"/>
  <c r="S24" i="5" a="1"/>
  <c r="S24" i="5" s="1"/>
  <c r="S25" i="5" a="1"/>
  <c r="S25" i="5" s="1"/>
  <c r="S26" i="5" a="1"/>
  <c r="S26" i="5" s="1"/>
  <c r="S27" i="5" a="1"/>
  <c r="S27" i="5" s="1"/>
  <c r="S28" i="5" a="1"/>
  <c r="S28" i="5" s="1"/>
  <c r="S29" i="5" a="1"/>
  <c r="S29" i="5" s="1"/>
  <c r="S30" i="5" a="1"/>
  <c r="S30" i="5" s="1"/>
  <c r="S31" i="5" a="1"/>
  <c r="S31" i="5" s="1"/>
  <c r="S32" i="5" a="1"/>
  <c r="S32" i="5" s="1"/>
  <c r="S33" i="5" a="1"/>
  <c r="S33" i="5" s="1"/>
  <c r="S34" i="5" a="1"/>
  <c r="S34" i="5" s="1"/>
  <c r="S35" i="5" a="1"/>
  <c r="S35" i="5" s="1"/>
  <c r="S36" i="5" a="1"/>
  <c r="S36" i="5" s="1"/>
  <c r="S37" i="5" a="1"/>
  <c r="S37" i="5" s="1"/>
  <c r="S38" i="5" a="1"/>
  <c r="S38" i="5" s="1"/>
  <c r="S39" i="5" a="1"/>
  <c r="S39" i="5" s="1"/>
  <c r="S40" i="5" a="1"/>
  <c r="S40" i="5" s="1"/>
  <c r="S41" i="5" a="1"/>
  <c r="S41" i="5" s="1"/>
  <c r="S42" i="5" a="1"/>
  <c r="S42" i="5" s="1"/>
  <c r="S43" i="5" a="1"/>
  <c r="S43" i="5" s="1"/>
  <c r="S44" i="5" a="1"/>
  <c r="S44" i="5" s="1"/>
  <c r="S45" i="5" a="1"/>
  <c r="S45" i="5" s="1"/>
  <c r="S46" i="5" a="1"/>
  <c r="S46" i="5" s="1"/>
  <c r="S47" i="5" a="1"/>
  <c r="S47" i="5" s="1"/>
  <c r="S48" i="5" a="1"/>
  <c r="S48" i="5" s="1"/>
  <c r="S49" i="5" a="1"/>
  <c r="S49" i="5" s="1"/>
  <c r="S50" i="5" a="1"/>
  <c r="S50" i="5" s="1"/>
  <c r="S51" i="5" a="1"/>
  <c r="S51" i="5" s="1"/>
  <c r="S52" i="5" a="1"/>
  <c r="S52" i="5" s="1"/>
  <c r="S53" i="5" a="1"/>
  <c r="S53" i="5" s="1"/>
  <c r="S54" i="5" a="1"/>
  <c r="S54" i="5" s="1"/>
  <c r="S55" i="5" a="1"/>
  <c r="S55" i="5" s="1"/>
  <c r="S56" i="5" a="1"/>
  <c r="S56" i="5" s="1"/>
  <c r="S57" i="5" a="1"/>
  <c r="S57" i="5" s="1"/>
  <c r="S58" i="5" a="1"/>
  <c r="S58" i="5" s="1"/>
  <c r="S59" i="5" a="1"/>
  <c r="S59" i="5" s="1"/>
  <c r="S60" i="5" a="1"/>
  <c r="S60" i="5" s="1"/>
  <c r="S61" i="5" a="1"/>
  <c r="S61" i="5" s="1"/>
  <c r="S62" i="5" a="1"/>
  <c r="S62" i="5" s="1"/>
  <c r="S63" i="5" a="1"/>
  <c r="S63" i="5" s="1"/>
  <c r="S64" i="5" a="1"/>
  <c r="S64" i="5" s="1"/>
  <c r="S65" i="5" a="1"/>
  <c r="S65" i="5" s="1"/>
  <c r="S66" i="5" a="1"/>
  <c r="S66" i="5" s="1"/>
  <c r="S67" i="5" a="1"/>
  <c r="S67" i="5" s="1"/>
  <c r="S68" i="5" a="1"/>
  <c r="S68" i="5" s="1"/>
  <c r="S69" i="5" a="1"/>
  <c r="S69" i="5" s="1"/>
  <c r="S70" i="5" a="1"/>
  <c r="S70" i="5" s="1"/>
  <c r="S71" i="5" a="1"/>
  <c r="S71" i="5" s="1"/>
  <c r="S72" i="5" a="1"/>
  <c r="S72" i="5" s="1"/>
  <c r="S73" i="5" a="1"/>
  <c r="S73" i="5" s="1"/>
  <c r="S74" i="5" a="1"/>
  <c r="S74" i="5" s="1"/>
  <c r="S75" i="5" a="1"/>
  <c r="S75" i="5" s="1"/>
  <c r="S76" i="5" a="1"/>
  <c r="S76" i="5" s="1"/>
  <c r="S77" i="5" a="1"/>
  <c r="S77" i="5" s="1"/>
  <c r="S78" i="5" a="1"/>
  <c r="S78" i="5" s="1"/>
  <c r="S79" i="5" a="1"/>
  <c r="S79" i="5" s="1"/>
  <c r="S80" i="5" a="1"/>
  <c r="S80" i="5" s="1"/>
  <c r="S81" i="5" a="1"/>
  <c r="S81" i="5" s="1"/>
  <c r="S82" i="5" a="1"/>
  <c r="S82" i="5" s="1"/>
  <c r="S83" i="5" a="1"/>
  <c r="S83" i="5" s="1"/>
  <c r="S84" i="5" a="1"/>
  <c r="S84" i="5" s="1"/>
  <c r="S85" i="5" a="1"/>
  <c r="S85" i="5" s="1"/>
  <c r="S86" i="5" a="1"/>
  <c r="S86" i="5" s="1"/>
  <c r="S87" i="5" a="1"/>
  <c r="S87" i="5" s="1"/>
  <c r="S88" i="5" a="1"/>
  <c r="S88" i="5" s="1"/>
  <c r="S89" i="5" a="1"/>
  <c r="S89" i="5" s="1"/>
  <c r="S90" i="5" a="1"/>
  <c r="S90" i="5" s="1"/>
  <c r="S91" i="5" a="1"/>
  <c r="S91" i="5" s="1"/>
  <c r="S92" i="5" a="1"/>
  <c r="S92" i="5" s="1"/>
  <c r="S93" i="5" a="1"/>
  <c r="S93" i="5" s="1"/>
  <c r="S94" i="5" a="1"/>
  <c r="S94" i="5" s="1"/>
  <c r="S95" i="5" a="1"/>
  <c r="S95" i="5" s="1"/>
  <c r="S96" i="5" a="1"/>
  <c r="S96" i="5" s="1"/>
  <c r="S97" i="5" a="1"/>
  <c r="S97" i="5" s="1"/>
  <c r="S98" i="5" a="1"/>
  <c r="S98" i="5" s="1"/>
  <c r="S99" i="5" a="1"/>
  <c r="S99" i="5" s="1"/>
  <c r="S100" i="5" a="1"/>
  <c r="S100" i="5" s="1"/>
  <c r="S101" i="5" a="1"/>
  <c r="S101" i="5" s="1"/>
  <c r="S102" i="5" a="1"/>
  <c r="S102" i="5" s="1"/>
  <c r="S103" i="5" a="1"/>
  <c r="S103" i="5" s="1"/>
  <c r="S104" i="5" a="1"/>
  <c r="S104" i="5" s="1"/>
  <c r="S105" i="5" a="1"/>
  <c r="S105" i="5" s="1"/>
  <c r="S106" i="5" a="1"/>
  <c r="S106" i="5" s="1"/>
  <c r="S107" i="5" a="1"/>
  <c r="S107" i="5" s="1"/>
  <c r="S108" i="5" a="1"/>
  <c r="S108" i="5" s="1"/>
  <c r="S109" i="5" a="1"/>
  <c r="S109" i="5" s="1"/>
  <c r="S110" i="5" a="1"/>
  <c r="S110" i="5" s="1"/>
  <c r="S111" i="5" a="1"/>
  <c r="S111" i="5" s="1"/>
  <c r="S112" i="5" a="1"/>
  <c r="S112" i="5" s="1"/>
  <c r="S113" i="5" a="1"/>
  <c r="S113" i="5" s="1"/>
  <c r="S114" i="5" a="1"/>
  <c r="S114" i="5" s="1"/>
  <c r="S115" i="5" a="1"/>
  <c r="S115" i="5" s="1"/>
  <c r="S116" i="5" a="1"/>
  <c r="S116" i="5" s="1"/>
  <c r="S117" i="5" a="1"/>
  <c r="S117" i="5" s="1"/>
  <c r="S118" i="5" a="1"/>
  <c r="S118" i="5" s="1"/>
  <c r="S119" i="5" a="1"/>
  <c r="S119" i="5" s="1"/>
  <c r="S120" i="5" a="1"/>
  <c r="S120" i="5" s="1"/>
  <c r="S121" i="5" a="1"/>
  <c r="S121" i="5" s="1"/>
  <c r="S122" i="5" a="1"/>
  <c r="S122" i="5" s="1"/>
  <c r="S123" i="5" a="1"/>
  <c r="S123" i="5" s="1"/>
  <c r="S124" i="5" a="1"/>
  <c r="S124" i="5" s="1"/>
  <c r="S125" i="5" a="1"/>
  <c r="S125" i="5" s="1"/>
  <c r="S126" i="5" a="1"/>
  <c r="S126" i="5" s="1"/>
  <c r="S127" i="5" a="1"/>
  <c r="S127" i="5" s="1"/>
  <c r="S128" i="5" a="1"/>
  <c r="S128" i="5" s="1"/>
  <c r="S129" i="5" a="1"/>
  <c r="S129" i="5" s="1"/>
  <c r="S130" i="5" a="1"/>
  <c r="S130" i="5" s="1"/>
  <c r="S131" i="5" a="1"/>
  <c r="S131" i="5" s="1"/>
  <c r="S132" i="5" a="1"/>
  <c r="S132" i="5" s="1"/>
  <c r="S133" i="5" a="1"/>
  <c r="S133" i="5" s="1"/>
  <c r="S134" i="5" a="1"/>
  <c r="S134" i="5" s="1"/>
  <c r="S135" i="5" a="1"/>
  <c r="S135" i="5" s="1"/>
  <c r="S136" i="5" a="1"/>
  <c r="S136" i="5" s="1"/>
  <c r="S137" i="5" a="1"/>
  <c r="S137" i="5" s="1"/>
  <c r="S138" i="5" a="1"/>
  <c r="S138" i="5" s="1"/>
  <c r="S139" i="5" a="1"/>
  <c r="S139" i="5" s="1"/>
  <c r="S140" i="5" a="1"/>
  <c r="S140" i="5" s="1"/>
  <c r="S141" i="5" a="1"/>
  <c r="S141" i="5" s="1"/>
  <c r="S142" i="5" a="1"/>
  <c r="S142" i="5" s="1"/>
  <c r="S143" i="5" a="1"/>
  <c r="S143" i="5" s="1"/>
  <c r="S144" i="5" a="1"/>
  <c r="S144" i="5" s="1"/>
  <c r="S145" i="5" a="1"/>
  <c r="S145" i="5" s="1"/>
  <c r="S146" i="5" a="1"/>
  <c r="S146" i="5" s="1"/>
  <c r="S147" i="5" a="1"/>
  <c r="S147" i="5" s="1"/>
  <c r="S148" i="5" a="1"/>
  <c r="S148" i="5" s="1"/>
  <c r="S149" i="5" a="1"/>
  <c r="S149" i="5" s="1"/>
  <c r="S150" i="5" a="1"/>
  <c r="S150" i="5" s="1"/>
  <c r="S151" i="5" a="1"/>
  <c r="S151" i="5" s="1"/>
  <c r="S152" i="5" a="1"/>
  <c r="S152" i="5" s="1"/>
  <c r="S153" i="5" a="1"/>
  <c r="S153" i="5" s="1"/>
  <c r="S154" i="5" a="1"/>
  <c r="S154" i="5" s="1"/>
  <c r="S155" i="5" a="1"/>
  <c r="S155" i="5" s="1"/>
  <c r="S156" i="5" a="1"/>
  <c r="S156" i="5" s="1"/>
  <c r="S157" i="5" a="1"/>
  <c r="S157" i="5" s="1"/>
  <c r="S158" i="5" a="1"/>
  <c r="S158" i="5" s="1"/>
  <c r="S159" i="5" a="1"/>
  <c r="S159" i="5" s="1"/>
  <c r="S160" i="5" a="1"/>
  <c r="S160" i="5" s="1"/>
  <c r="S161" i="5" a="1"/>
  <c r="S161" i="5" s="1"/>
  <c r="S162" i="5" a="1"/>
  <c r="S162" i="5" s="1"/>
  <c r="S163" i="5" a="1"/>
  <c r="S163" i="5" s="1"/>
  <c r="S164" i="5" a="1"/>
  <c r="S164" i="5" s="1"/>
  <c r="S165" i="5" a="1"/>
  <c r="S165" i="5" s="1"/>
  <c r="S166" i="5" a="1"/>
  <c r="S166" i="5" s="1"/>
  <c r="S167" i="5" a="1"/>
  <c r="S167" i="5" s="1"/>
  <c r="S168" i="5" a="1"/>
  <c r="S168" i="5" s="1"/>
  <c r="S169" i="5" a="1"/>
  <c r="S169" i="5" s="1"/>
  <c r="S170" i="5" a="1"/>
  <c r="S170" i="5" s="1"/>
  <c r="S171" i="5" a="1"/>
  <c r="S171" i="5" s="1"/>
  <c r="S172" i="5" a="1"/>
  <c r="S172" i="5" s="1"/>
  <c r="S173" i="5" a="1"/>
  <c r="S173" i="5" s="1"/>
  <c r="S174" i="5" a="1"/>
  <c r="S174" i="5" s="1"/>
  <c r="S175" i="5" a="1"/>
  <c r="S175" i="5" s="1"/>
  <c r="S176" i="5" a="1"/>
  <c r="S176" i="5" s="1"/>
  <c r="S177" i="5" a="1"/>
  <c r="S177" i="5" s="1"/>
  <c r="S178" i="5" a="1"/>
  <c r="S178" i="5" s="1"/>
  <c r="S179" i="5" a="1"/>
  <c r="S179" i="5" s="1"/>
  <c r="S180" i="5" a="1"/>
  <c r="S180" i="5" s="1"/>
  <c r="S181" i="5" a="1"/>
  <c r="S181" i="5" s="1"/>
  <c r="S182" i="5" a="1"/>
  <c r="S182" i="5" s="1"/>
  <c r="S183" i="5" a="1"/>
  <c r="S183" i="5" s="1"/>
  <c r="S184" i="5" a="1"/>
  <c r="S184" i="5" s="1"/>
  <c r="S185" i="5" a="1"/>
  <c r="S185" i="5" s="1"/>
  <c r="S186" i="5" a="1"/>
  <c r="S186" i="5" s="1"/>
  <c r="S187" i="5" a="1"/>
  <c r="S187" i="5" s="1"/>
  <c r="S188" i="5" a="1"/>
  <c r="S188" i="5" s="1"/>
  <c r="S189" i="5" a="1"/>
  <c r="S189" i="5" s="1"/>
  <c r="S190" i="5" a="1"/>
  <c r="S190" i="5" s="1"/>
  <c r="S191" i="5" a="1"/>
  <c r="S191" i="5" s="1"/>
  <c r="S192" i="5" a="1"/>
  <c r="S192" i="5" s="1"/>
  <c r="S193" i="5" a="1"/>
  <c r="S193" i="5" s="1"/>
  <c r="S194" i="5" a="1"/>
  <c r="S194" i="5" s="1"/>
  <c r="S195" i="5" a="1"/>
  <c r="S195" i="5" s="1"/>
  <c r="S196" i="5" a="1"/>
  <c r="S196" i="5" s="1"/>
  <c r="S197" i="5" a="1"/>
  <c r="S197" i="5" s="1"/>
  <c r="S198" i="5" a="1"/>
  <c r="S198" i="5" s="1"/>
  <c r="S199" i="5" a="1"/>
  <c r="S199" i="5" s="1"/>
  <c r="S200" i="5" a="1"/>
  <c r="S200" i="5" s="1"/>
  <c r="S201" i="5" a="1"/>
  <c r="S201" i="5" s="1"/>
  <c r="S202" i="5" a="1"/>
  <c r="S202" i="5" s="1"/>
  <c r="S203" i="5" a="1"/>
  <c r="S203" i="5" s="1"/>
  <c r="S204" i="5" a="1"/>
  <c r="S204" i="5" s="1"/>
  <c r="S205" i="5" a="1"/>
  <c r="S205" i="5" s="1"/>
  <c r="S206" i="5" a="1"/>
  <c r="S206" i="5" s="1"/>
  <c r="S207" i="5" a="1"/>
  <c r="S207" i="5" s="1"/>
  <c r="S208" i="5" a="1"/>
  <c r="S208" i="5" s="1"/>
  <c r="S209" i="5" a="1"/>
  <c r="S209" i="5" s="1"/>
  <c r="S210" i="5" a="1"/>
  <c r="S210" i="5" s="1"/>
  <c r="S211" i="5" a="1"/>
  <c r="S211" i="5" s="1"/>
  <c r="S212" i="5" a="1"/>
  <c r="S212" i="5" s="1"/>
  <c r="S213" i="5" a="1"/>
  <c r="S213" i="5" s="1"/>
  <c r="S214" i="5" a="1"/>
  <c r="S214" i="5" s="1"/>
  <c r="S215" i="5" a="1"/>
  <c r="S215" i="5" s="1"/>
  <c r="S216" i="5" a="1"/>
  <c r="S216" i="5" s="1"/>
  <c r="S217" i="5" a="1"/>
  <c r="S217" i="5" s="1"/>
  <c r="S218" i="5" a="1"/>
  <c r="S218" i="5" s="1"/>
  <c r="S219" i="5" a="1"/>
  <c r="S219" i="5" s="1"/>
  <c r="S220" i="5" a="1"/>
  <c r="S220" i="5" s="1"/>
  <c r="S221" i="5" a="1"/>
  <c r="S221" i="5" s="1"/>
  <c r="S222" i="5" a="1"/>
  <c r="S222" i="5" s="1"/>
  <c r="S223" i="5" a="1"/>
  <c r="S223" i="5" s="1"/>
  <c r="S224" i="5" a="1"/>
  <c r="S224" i="5" s="1"/>
  <c r="S225" i="5" a="1"/>
  <c r="S225" i="5" s="1"/>
  <c r="S226" i="5" a="1"/>
  <c r="S226" i="5" s="1"/>
  <c r="S227" i="5" a="1"/>
  <c r="S227" i="5" s="1"/>
  <c r="S228" i="5" a="1"/>
  <c r="S228" i="5" s="1"/>
  <c r="S229" i="5" a="1"/>
  <c r="S229" i="5" s="1"/>
  <c r="S230" i="5" a="1"/>
  <c r="S230" i="5" s="1"/>
  <c r="S231" i="5" a="1"/>
  <c r="S231" i="5" s="1"/>
  <c r="S232" i="5" a="1"/>
  <c r="S232" i="5" s="1"/>
  <c r="S233" i="5" a="1"/>
  <c r="S233" i="5" s="1"/>
  <c r="S234" i="5" a="1"/>
  <c r="S234" i="5" s="1"/>
  <c r="S235" i="5" a="1"/>
  <c r="S235" i="5" s="1"/>
  <c r="S236" i="5" a="1"/>
  <c r="S236" i="5" s="1"/>
  <c r="S237" i="5" a="1"/>
  <c r="S237" i="5" s="1"/>
  <c r="S238" i="5" a="1"/>
  <c r="S238" i="5" s="1"/>
  <c r="S239" i="5" a="1"/>
  <c r="S239" i="5" s="1"/>
  <c r="S240" i="5" a="1"/>
  <c r="S240" i="5" s="1"/>
  <c r="S241" i="5" a="1"/>
  <c r="S241" i="5" s="1"/>
  <c r="S242" i="5" a="1"/>
  <c r="S242" i="5" s="1"/>
  <c r="S243" i="5" a="1"/>
  <c r="S243" i="5" s="1"/>
  <c r="S244" i="5" a="1"/>
  <c r="S244" i="5" s="1"/>
  <c r="S245" i="5" a="1"/>
  <c r="S245" i="5" s="1"/>
  <c r="S246" i="5" a="1"/>
  <c r="S246" i="5" s="1"/>
  <c r="S247" i="5" a="1"/>
  <c r="S247" i="5" s="1"/>
  <c r="S248" i="5" a="1"/>
  <c r="S248" i="5" s="1"/>
  <c r="S249" i="5" a="1"/>
  <c r="S249" i="5" s="1"/>
  <c r="S250" i="5" a="1"/>
  <c r="S250" i="5" s="1"/>
  <c r="S251" i="5" a="1"/>
  <c r="S251" i="5" s="1"/>
  <c r="S252" i="5" a="1"/>
  <c r="S252" i="5" s="1"/>
  <c r="S253" i="5" a="1"/>
  <c r="S253" i="5" s="1"/>
  <c r="S254" i="5" a="1"/>
  <c r="S254" i="5" s="1"/>
  <c r="S255" i="5" a="1"/>
  <c r="S255" i="5" s="1"/>
  <c r="S256" i="5" a="1"/>
  <c r="S256" i="5" s="1"/>
  <c r="S257" i="5" a="1"/>
  <c r="S257" i="5" s="1"/>
  <c r="S258" i="5" a="1"/>
  <c r="S258" i="5" s="1"/>
  <c r="S259" i="5" a="1"/>
  <c r="S259" i="5" s="1"/>
  <c r="S260" i="5" a="1"/>
  <c r="S260" i="5" s="1"/>
  <c r="S261" i="5" a="1"/>
  <c r="S261" i="5" s="1"/>
  <c r="S262" i="5" a="1"/>
  <c r="S262" i="5" s="1"/>
  <c r="S263" i="5" a="1"/>
  <c r="S263" i="5" s="1"/>
  <c r="S264" i="5" a="1"/>
  <c r="S264" i="5" s="1"/>
  <c r="S265" i="5" a="1"/>
  <c r="S265" i="5" s="1"/>
  <c r="S266" i="5" a="1"/>
  <c r="S266" i="5" s="1"/>
  <c r="S267" i="5" a="1"/>
  <c r="S267" i="5" s="1"/>
  <c r="S268" i="5" a="1"/>
  <c r="S268" i="5" s="1"/>
  <c r="S269" i="5" a="1"/>
  <c r="S269" i="5" s="1"/>
  <c r="S270" i="5" a="1"/>
  <c r="S270" i="5" s="1"/>
  <c r="S271" i="5" a="1"/>
  <c r="S271" i="5" s="1"/>
  <c r="S272" i="5" a="1"/>
  <c r="S272" i="5" s="1"/>
  <c r="S273" i="5" a="1"/>
  <c r="S273" i="5" s="1"/>
  <c r="I3" i="5"/>
  <c r="E3" i="5"/>
  <c r="G3" i="5"/>
  <c r="R3" i="5"/>
  <c r="Q3" i="5" s="1"/>
  <c r="M3" i="5"/>
  <c r="L3" i="5"/>
  <c r="J3" i="5"/>
  <c r="F3" i="5"/>
  <c r="D3" i="5"/>
  <c r="C3" i="5"/>
  <c r="B4" i="5"/>
  <c r="P4" i="5" s="1"/>
  <c r="J24" i="3" l="1"/>
  <c r="I24" i="3"/>
  <c r="H24" i="3"/>
  <c r="G24" i="3"/>
  <c r="F24" i="3"/>
  <c r="E24" i="3"/>
  <c r="L24" i="3"/>
  <c r="D24" i="3"/>
  <c r="K24" i="3"/>
  <c r="C4" i="7" a="1"/>
  <c r="C4" i="7" s="1"/>
  <c r="B4" i="8"/>
  <c r="C4" i="8" s="1" a="1"/>
  <c r="C4" i="8" s="1"/>
  <c r="N3" i="5" a="1"/>
  <c r="N3" i="5" s="1"/>
  <c r="U3" i="5" a="1"/>
  <c r="U3" i="5" s="1"/>
  <c r="T3" i="5" a="1"/>
  <c r="T3" i="5" s="1"/>
  <c r="C4" i="5"/>
  <c r="O4" i="5"/>
  <c r="M4" i="5"/>
  <c r="D4" i="5"/>
  <c r="E4" i="5"/>
  <c r="R4" i="5"/>
  <c r="Q4" i="5" s="1"/>
  <c r="F4" i="5"/>
  <c r="I4" i="5"/>
  <c r="J4" i="5"/>
  <c r="L4" i="5"/>
  <c r="G4" i="5"/>
  <c r="B5" i="5"/>
  <c r="P5" i="5"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Y16" i="1" s="1"/>
  <c r="S17" i="1" a="1"/>
  <c r="S17" i="1" s="1"/>
  <c r="S18" i="1" a="1"/>
  <c r="S18" i="1" s="1"/>
  <c r="S19" i="1" a="1"/>
  <c r="S19" i="1" s="1"/>
  <c r="S20" i="1" a="1"/>
  <c r="S20" i="1" s="1"/>
  <c r="S21" i="1" a="1"/>
  <c r="S21" i="1" s="1"/>
  <c r="S22" i="1" a="1"/>
  <c r="S22" i="1" s="1"/>
  <c r="S23" i="1" a="1"/>
  <c r="S23" i="1" s="1"/>
  <c r="S24" i="1" a="1"/>
  <c r="S24" i="1" s="1"/>
  <c r="S25" i="1" a="1"/>
  <c r="S25" i="1" s="1"/>
  <c r="Y25" i="1" s="1"/>
  <c r="S26" i="1" a="1"/>
  <c r="S26" i="1" s="1"/>
  <c r="Y26" i="1" s="1"/>
  <c r="S27" i="1" a="1"/>
  <c r="S27" i="1" s="1"/>
  <c r="S28" i="1" a="1"/>
  <c r="S28" i="1" s="1"/>
  <c r="S29" i="1" a="1"/>
  <c r="S29" i="1" s="1"/>
  <c r="S30" i="1" a="1"/>
  <c r="S30" i="1" s="1"/>
  <c r="Y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Y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Y68" i="1" s="1"/>
  <c r="S69" i="1" a="1"/>
  <c r="S69" i="1" s="1"/>
  <c r="S70" i="1" a="1"/>
  <c r="S70" i="1" s="1"/>
  <c r="Y70" i="1" s="1"/>
  <c r="S71" i="1" a="1"/>
  <c r="S71" i="1" s="1"/>
  <c r="S72" i="1" a="1"/>
  <c r="S72" i="1" s="1"/>
  <c r="S73" i="1" a="1"/>
  <c r="S73" i="1" s="1"/>
  <c r="S74" i="1" a="1"/>
  <c r="S74" i="1" s="1"/>
  <c r="S75" i="1" a="1"/>
  <c r="S75" i="1" s="1"/>
  <c r="S76" i="1" a="1"/>
  <c r="S76" i="1" s="1"/>
  <c r="S77" i="1" a="1"/>
  <c r="S77" i="1" s="1"/>
  <c r="S78" i="1" a="1"/>
  <c r="S78" i="1" s="1"/>
  <c r="S79" i="1" a="1"/>
  <c r="S79" i="1" s="1"/>
  <c r="S80" i="1" a="1"/>
  <c r="S80" i="1" s="1"/>
  <c r="Y80" i="1" s="1"/>
  <c r="S81" i="1" a="1"/>
  <c r="S81" i="1" s="1"/>
  <c r="Y81" i="1" s="1"/>
  <c r="S82" i="1" a="1"/>
  <c r="S82" i="1" s="1"/>
  <c r="Y82" i="1" s="1"/>
  <c r="S83" i="1" a="1"/>
  <c r="S83" i="1" s="1"/>
  <c r="S84" i="1" a="1"/>
  <c r="S84" i="1" s="1"/>
  <c r="S85" i="1" a="1"/>
  <c r="S85" i="1" s="1"/>
  <c r="Y85" i="1" s="1"/>
  <c r="S86" i="1" a="1"/>
  <c r="S86" i="1" s="1"/>
  <c r="S87" i="1" a="1"/>
  <c r="S87" i="1" s="1"/>
  <c r="S88" i="1" a="1"/>
  <c r="S88" i="1" s="1"/>
  <c r="Y88" i="1" s="1"/>
  <c r="S89" i="1" a="1"/>
  <c r="S89" i="1" s="1"/>
  <c r="S90" i="1" a="1"/>
  <c r="S90" i="1" s="1"/>
  <c r="S91" i="1" a="1"/>
  <c r="S91" i="1" s="1"/>
  <c r="S92" i="1" a="1"/>
  <c r="S92" i="1" s="1"/>
  <c r="S93" i="1" a="1"/>
  <c r="S93" i="1" s="1"/>
  <c r="S94" i="1" a="1"/>
  <c r="S94" i="1" s="1"/>
  <c r="S95" i="1" a="1"/>
  <c r="S95" i="1" s="1"/>
  <c r="S96" i="1" a="1"/>
  <c r="S96" i="1" s="1"/>
  <c r="Y96" i="1" s="1"/>
  <c r="S97" i="1" a="1"/>
  <c r="S97" i="1" s="1"/>
  <c r="Y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Y115" i="1" s="1"/>
  <c r="S116" i="1" a="1"/>
  <c r="S116" i="1" s="1"/>
  <c r="S117" i="1" a="1"/>
  <c r="S117" i="1" s="1"/>
  <c r="S118" i="1" a="1"/>
  <c r="S118" i="1" s="1"/>
  <c r="S119" i="1" a="1"/>
  <c r="S119" i="1" s="1"/>
  <c r="Y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Y146" i="1" s="1"/>
  <c r="S147" i="1" a="1"/>
  <c r="S147" i="1" s="1"/>
  <c r="S148" i="1" a="1"/>
  <c r="S148" i="1" s="1"/>
  <c r="S149" i="1" a="1"/>
  <c r="S149" i="1" s="1"/>
  <c r="S150" i="1" a="1"/>
  <c r="S150" i="1" s="1"/>
  <c r="Y150" i="1" s="1"/>
  <c r="S151" i="1" a="1"/>
  <c r="S151" i="1" s="1"/>
  <c r="S152" i="1" a="1"/>
  <c r="S152" i="1" s="1"/>
  <c r="S153" i="1" a="1"/>
  <c r="S153" i="1" s="1"/>
  <c r="S154" i="1" a="1"/>
  <c r="S154" i="1" s="1"/>
  <c r="V154" i="1" s="1"/>
  <c r="S155" i="1" a="1"/>
  <c r="S155" i="1" s="1"/>
  <c r="S156" i="1" a="1"/>
  <c r="S156" i="1" s="1"/>
  <c r="S157" i="1" a="1"/>
  <c r="S157" i="1" s="1"/>
  <c r="S158" i="1" a="1"/>
  <c r="S158" i="1" s="1"/>
  <c r="S159" i="1" a="1"/>
  <c r="S159" i="1" s="1"/>
  <c r="S160" i="1" a="1"/>
  <c r="S160" i="1" s="1"/>
  <c r="V160" i="1" s="1"/>
  <c r="S161" i="1" a="1"/>
  <c r="S161" i="1" s="1"/>
  <c r="Y161" i="1" s="1"/>
  <c r="S162" i="1" a="1"/>
  <c r="S162" i="1" s="1"/>
  <c r="S163" i="1" a="1"/>
  <c r="S163" i="1" s="1"/>
  <c r="S164" i="1" a="1"/>
  <c r="S164" i="1" s="1"/>
  <c r="Y164" i="1" s="1"/>
  <c r="S165" i="1" a="1"/>
  <c r="S165" i="1" s="1"/>
  <c r="S166" i="1" a="1"/>
  <c r="S166" i="1" s="1"/>
  <c r="S167" i="1" a="1"/>
  <c r="S167" i="1" s="1"/>
  <c r="S168" i="1" a="1"/>
  <c r="S168" i="1" s="1"/>
  <c r="Y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Y178" i="1" s="1"/>
  <c r="S179" i="1" a="1"/>
  <c r="S179" i="1" s="1"/>
  <c r="S180" i="1" a="1"/>
  <c r="S180" i="1" s="1"/>
  <c r="S181" i="1" a="1"/>
  <c r="S181" i="1" s="1"/>
  <c r="S182" i="1" a="1"/>
  <c r="S182" i="1" s="1"/>
  <c r="S183" i="1" a="1"/>
  <c r="S183" i="1" s="1"/>
  <c r="S184" i="1" a="1"/>
  <c r="S184" i="1" s="1"/>
  <c r="S185" i="1" a="1"/>
  <c r="S185" i="1" s="1"/>
  <c r="S186" i="1" a="1"/>
  <c r="S186" i="1" s="1"/>
  <c r="S187" i="1" a="1"/>
  <c r="S187" i="1" s="1"/>
  <c r="V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Y206" i="1" s="1"/>
  <c r="S207" i="1" a="1"/>
  <c r="S207" i="1" s="1"/>
  <c r="S208" i="1" a="1"/>
  <c r="S208" i="1" s="1"/>
  <c r="S209" i="1" a="1"/>
  <c r="S209" i="1" s="1"/>
  <c r="Y209" i="1" s="1"/>
  <c r="S210" i="1" a="1"/>
  <c r="S210" i="1" s="1"/>
  <c r="S211" i="1" a="1"/>
  <c r="S211" i="1" s="1"/>
  <c r="S212" i="1" a="1"/>
  <c r="S212" i="1" s="1"/>
  <c r="S213" i="1" a="1"/>
  <c r="S213" i="1" s="1"/>
  <c r="S214" i="1" a="1"/>
  <c r="S214" i="1" s="1"/>
  <c r="S215" i="1" a="1"/>
  <c r="S215" i="1" s="1"/>
  <c r="Y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Y232" i="1" s="1"/>
  <c r="S233" i="1" a="1"/>
  <c r="S233" i="1" s="1"/>
  <c r="S234" i="1" a="1"/>
  <c r="S234" i="1" s="1"/>
  <c r="S235" i="1" a="1"/>
  <c r="S235" i="1" s="1"/>
  <c r="S236" i="1" a="1"/>
  <c r="S236" i="1" s="1"/>
  <c r="S237" i="1" a="1"/>
  <c r="S237" i="1" s="1"/>
  <c r="S238" i="1" a="1"/>
  <c r="S238" i="1" s="1"/>
  <c r="Y238" i="1" s="1"/>
  <c r="S239" i="1" a="1"/>
  <c r="S239" i="1" s="1"/>
  <c r="S240" i="1" a="1"/>
  <c r="S240" i="1" s="1"/>
  <c r="S241" i="1" a="1"/>
  <c r="S241" i="1" s="1"/>
  <c r="S242" i="1" a="1"/>
  <c r="S242" i="1" s="1"/>
  <c r="Y242" i="1" s="1"/>
  <c r="S243" i="1" a="1"/>
  <c r="S243" i="1" s="1"/>
  <c r="S244" i="1" a="1"/>
  <c r="S244" i="1" s="1"/>
  <c r="S245" i="1" a="1"/>
  <c r="S245" i="1" s="1"/>
  <c r="S246" i="1" a="1"/>
  <c r="S246" i="1" s="1"/>
  <c r="Y246" i="1" s="1"/>
  <c r="S247" i="1" a="1"/>
  <c r="S247" i="1" s="1"/>
  <c r="S248" i="1" a="1"/>
  <c r="S248" i="1" s="1"/>
  <c r="S249" i="1" a="1"/>
  <c r="S249" i="1" s="1"/>
  <c r="S250" i="1" a="1"/>
  <c r="S250" i="1" s="1"/>
  <c r="S251" i="1" a="1"/>
  <c r="S251" i="1" s="1"/>
  <c r="Y251" i="1" s="1"/>
  <c r="S252" i="1" a="1"/>
  <c r="S252" i="1" s="1"/>
  <c r="Y252" i="1" s="1"/>
  <c r="S253" i="1" a="1"/>
  <c r="S253" i="1" s="1"/>
  <c r="Y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Y270" i="1" s="1"/>
  <c r="S271" i="1" a="1"/>
  <c r="S271" i="1" s="1"/>
  <c r="Y271" i="1" s="1"/>
  <c r="S272" i="1" a="1"/>
  <c r="S272" i="1" s="1"/>
  <c r="S273" i="1" a="1"/>
  <c r="S273" i="1" s="1"/>
  <c r="V273" i="1" s="1"/>
  <c r="V26" i="1"/>
  <c r="S3" i="1" a="1"/>
  <c r="S3" i="1" s="1"/>
  <c r="W31" i="1" a="1"/>
  <c r="W31" i="1" s="1"/>
  <c r="X31" i="1" s="1" a="1"/>
  <c r="X31" i="1" s="1"/>
  <c r="W3" i="1" a="1"/>
  <c r="W3" i="1" s="1"/>
  <c r="X3" i="1" s="1" a="1"/>
  <c r="X3" i="1" s="1"/>
  <c r="W4" i="1" a="1"/>
  <c r="W4" i="1" s="1"/>
  <c r="X4" i="1" s="1" a="1"/>
  <c r="X4" i="1" s="1"/>
  <c r="W5" i="1" a="1"/>
  <c r="W5" i="1" s="1"/>
  <c r="X5" i="1" s="1" a="1"/>
  <c r="X5" i="1" s="1"/>
  <c r="W6" i="1" a="1"/>
  <c r="W6" i="1" s="1"/>
  <c r="X6" i="1" s="1" a="1"/>
  <c r="X6" i="1" s="1"/>
  <c r="W7" i="1" a="1"/>
  <c r="W7" i="1" s="1"/>
  <c r="X7" i="1" s="1" a="1"/>
  <c r="X7" i="1" s="1"/>
  <c r="W8" i="1" a="1"/>
  <c r="W8" i="1" s="1"/>
  <c r="X8" i="1" s="1" a="1"/>
  <c r="X8" i="1" s="1"/>
  <c r="W9" i="1" a="1"/>
  <c r="W9" i="1" s="1"/>
  <c r="X9" i="1" s="1" a="1"/>
  <c r="X9" i="1" s="1"/>
  <c r="W10" i="1" a="1"/>
  <c r="W10" i="1" s="1"/>
  <c r="X10" i="1" s="1" a="1"/>
  <c r="X10" i="1" s="1"/>
  <c r="W11" i="1" a="1"/>
  <c r="W11" i="1" s="1"/>
  <c r="X11" i="1" s="1" a="1"/>
  <c r="X11" i="1" s="1"/>
  <c r="W12" i="1" a="1"/>
  <c r="W12" i="1" s="1"/>
  <c r="X12" i="1" s="1" a="1"/>
  <c r="X12" i="1" s="1"/>
  <c r="W13" i="1" a="1"/>
  <c r="W13" i="1" s="1"/>
  <c r="X13" i="1" s="1" a="1"/>
  <c r="X13" i="1" s="1"/>
  <c r="W14" i="1" a="1"/>
  <c r="W14" i="1" s="1"/>
  <c r="X14" i="1" s="1" a="1"/>
  <c r="X14" i="1" s="1"/>
  <c r="W15" i="1" a="1"/>
  <c r="W15" i="1" s="1"/>
  <c r="X15" i="1" s="1" a="1"/>
  <c r="X15" i="1" s="1"/>
  <c r="W16" i="1" a="1"/>
  <c r="W16" i="1" s="1"/>
  <c r="X16" i="1" s="1" a="1"/>
  <c r="X16" i="1" s="1"/>
  <c r="W17" i="1" a="1"/>
  <c r="W17" i="1" s="1"/>
  <c r="X17" i="1" s="1" a="1"/>
  <c r="X17" i="1" s="1"/>
  <c r="W18" i="1" a="1"/>
  <c r="W18" i="1" s="1"/>
  <c r="X18" i="1" s="1" a="1"/>
  <c r="X18" i="1" s="1"/>
  <c r="W19" i="1" a="1"/>
  <c r="W19" i="1" s="1"/>
  <c r="X19" i="1" s="1" a="1"/>
  <c r="X19" i="1" s="1"/>
  <c r="W20" i="1" a="1"/>
  <c r="W20" i="1" s="1"/>
  <c r="X20" i="1" s="1" a="1"/>
  <c r="X20" i="1" s="1"/>
  <c r="W21" i="1" a="1"/>
  <c r="W21" i="1" s="1"/>
  <c r="X21" i="1" s="1" a="1"/>
  <c r="X21" i="1" s="1"/>
  <c r="W22" i="1" a="1"/>
  <c r="W22" i="1" s="1"/>
  <c r="X22" i="1" s="1" a="1"/>
  <c r="X22" i="1" s="1"/>
  <c r="W23" i="1" a="1"/>
  <c r="W23" i="1" s="1"/>
  <c r="X23" i="1" s="1" a="1"/>
  <c r="X23" i="1" s="1"/>
  <c r="W24" i="1" a="1"/>
  <c r="W24" i="1" s="1"/>
  <c r="X24" i="1" s="1" a="1"/>
  <c r="X24" i="1" s="1"/>
  <c r="W25" i="1" a="1"/>
  <c r="W25" i="1" s="1"/>
  <c r="X25" i="1" s="1" a="1"/>
  <c r="X25" i="1" s="1"/>
  <c r="W26" i="1" a="1"/>
  <c r="W26" i="1" s="1"/>
  <c r="X26" i="1" s="1" a="1"/>
  <c r="X26" i="1" s="1"/>
  <c r="W27" i="1" a="1"/>
  <c r="W27" i="1" s="1"/>
  <c r="X27" i="1" s="1" a="1"/>
  <c r="X27" i="1" s="1"/>
  <c r="W28" i="1" a="1"/>
  <c r="W28" i="1" s="1"/>
  <c r="X28" i="1" s="1" a="1"/>
  <c r="X28" i="1" s="1"/>
  <c r="W29" i="1" a="1"/>
  <c r="W29" i="1" s="1"/>
  <c r="X29" i="1" s="1" a="1"/>
  <c r="X29" i="1" s="1"/>
  <c r="W30" i="1" a="1"/>
  <c r="W30" i="1" s="1"/>
  <c r="X30" i="1" s="1" a="1"/>
  <c r="X30" i="1" s="1"/>
  <c r="W32" i="1" a="1"/>
  <c r="W32" i="1" s="1"/>
  <c r="X32" i="1" s="1" a="1"/>
  <c r="X32" i="1" s="1"/>
  <c r="W33" i="1" a="1"/>
  <c r="W33" i="1" s="1"/>
  <c r="X33" i="1" s="1" a="1"/>
  <c r="X33" i="1" s="1"/>
  <c r="W34" i="1" a="1"/>
  <c r="W34" i="1" s="1"/>
  <c r="X34" i="1" s="1" a="1"/>
  <c r="X34" i="1" s="1"/>
  <c r="W35" i="1" a="1"/>
  <c r="W35" i="1" s="1"/>
  <c r="X35" i="1" s="1" a="1"/>
  <c r="X35" i="1" s="1"/>
  <c r="W36" i="1" a="1"/>
  <c r="W36" i="1" s="1"/>
  <c r="X36" i="1" s="1" a="1"/>
  <c r="X36" i="1" s="1"/>
  <c r="W37" i="1" a="1"/>
  <c r="W37" i="1" s="1"/>
  <c r="X37" i="1" s="1" a="1"/>
  <c r="X37" i="1" s="1"/>
  <c r="W38" i="1" a="1"/>
  <c r="W38" i="1" s="1"/>
  <c r="X38" i="1" s="1" a="1"/>
  <c r="X38" i="1" s="1"/>
  <c r="W39" i="1" a="1"/>
  <c r="W39" i="1" s="1"/>
  <c r="X39" i="1" s="1" a="1"/>
  <c r="X39" i="1" s="1"/>
  <c r="W40" i="1" a="1"/>
  <c r="W40" i="1" s="1"/>
  <c r="X40" i="1" s="1" a="1"/>
  <c r="X40" i="1" s="1"/>
  <c r="W41" i="1" a="1"/>
  <c r="W41" i="1" s="1"/>
  <c r="X41" i="1" s="1" a="1"/>
  <c r="X41" i="1" s="1"/>
  <c r="W42" i="1" a="1"/>
  <c r="W42" i="1" s="1"/>
  <c r="X42" i="1" s="1" a="1"/>
  <c r="X42" i="1" s="1"/>
  <c r="W43" i="1" a="1"/>
  <c r="W43" i="1" s="1"/>
  <c r="X43" i="1" s="1" a="1"/>
  <c r="X43" i="1" s="1"/>
  <c r="W44" i="1" a="1"/>
  <c r="W44" i="1" s="1"/>
  <c r="X44" i="1" s="1" a="1"/>
  <c r="X44" i="1" s="1"/>
  <c r="W45" i="1" a="1"/>
  <c r="W45" i="1" s="1"/>
  <c r="X45" i="1" s="1" a="1"/>
  <c r="X45" i="1" s="1"/>
  <c r="W46" i="1" a="1"/>
  <c r="W46" i="1" s="1"/>
  <c r="X46" i="1" s="1" a="1"/>
  <c r="X46" i="1" s="1"/>
  <c r="W47" i="1" a="1"/>
  <c r="W47" i="1" s="1"/>
  <c r="X47" i="1" s="1" a="1"/>
  <c r="X47" i="1" s="1"/>
  <c r="W48" i="1" a="1"/>
  <c r="W48" i="1" s="1"/>
  <c r="X48" i="1" s="1" a="1"/>
  <c r="X48" i="1" s="1"/>
  <c r="W49" i="1" a="1"/>
  <c r="W49" i="1" s="1"/>
  <c r="X49" i="1" s="1" a="1"/>
  <c r="X49" i="1" s="1"/>
  <c r="W50" i="1" a="1"/>
  <c r="W50" i="1" s="1"/>
  <c r="X50" i="1" s="1" a="1"/>
  <c r="X50" i="1" s="1"/>
  <c r="W51" i="1" a="1"/>
  <c r="W51" i="1" s="1"/>
  <c r="X51" i="1" s="1" a="1"/>
  <c r="X51" i="1" s="1"/>
  <c r="W52" i="1" a="1"/>
  <c r="W52" i="1" s="1"/>
  <c r="X52" i="1" s="1" a="1"/>
  <c r="X52" i="1" s="1"/>
  <c r="W53" i="1" a="1"/>
  <c r="W53" i="1" s="1"/>
  <c r="X53" i="1" s="1" a="1"/>
  <c r="X53" i="1" s="1"/>
  <c r="W54" i="1" a="1"/>
  <c r="W54" i="1" s="1"/>
  <c r="X54" i="1" s="1" a="1"/>
  <c r="X54" i="1" s="1"/>
  <c r="W55" i="1" a="1"/>
  <c r="W55" i="1" s="1"/>
  <c r="X55" i="1" s="1" a="1"/>
  <c r="X55" i="1" s="1"/>
  <c r="W56" i="1" a="1"/>
  <c r="W56" i="1" s="1"/>
  <c r="X56" i="1" s="1" a="1"/>
  <c r="X56" i="1" s="1"/>
  <c r="W57" i="1" a="1"/>
  <c r="W57" i="1" s="1"/>
  <c r="X57" i="1" s="1" a="1"/>
  <c r="X57" i="1" s="1"/>
  <c r="W58" i="1" a="1"/>
  <c r="W58" i="1" s="1"/>
  <c r="X58" i="1" s="1" a="1"/>
  <c r="X58" i="1" s="1"/>
  <c r="W59" i="1" a="1"/>
  <c r="W59" i="1" s="1"/>
  <c r="X59" i="1" s="1" a="1"/>
  <c r="X59" i="1" s="1"/>
  <c r="W60" i="1" a="1"/>
  <c r="W60" i="1" s="1"/>
  <c r="X60" i="1" s="1" a="1"/>
  <c r="X60" i="1" s="1"/>
  <c r="W61" i="1" a="1"/>
  <c r="W61" i="1" s="1"/>
  <c r="X61" i="1" s="1" a="1"/>
  <c r="X61" i="1" s="1"/>
  <c r="W62" i="1" a="1"/>
  <c r="W62" i="1" s="1"/>
  <c r="X62" i="1" s="1" a="1"/>
  <c r="X62" i="1" s="1"/>
  <c r="W63" i="1" a="1"/>
  <c r="W63" i="1" s="1"/>
  <c r="X63" i="1" s="1" a="1"/>
  <c r="X63" i="1" s="1"/>
  <c r="W64" i="1" a="1"/>
  <c r="W64" i="1" s="1"/>
  <c r="X64" i="1" s="1" a="1"/>
  <c r="X64" i="1" s="1"/>
  <c r="W65" i="1" a="1"/>
  <c r="W65" i="1" s="1"/>
  <c r="X65" i="1" s="1" a="1"/>
  <c r="X65" i="1" s="1"/>
  <c r="W66" i="1" a="1"/>
  <c r="W66" i="1" s="1"/>
  <c r="X66" i="1" s="1" a="1"/>
  <c r="X66" i="1" s="1"/>
  <c r="W67" i="1" a="1"/>
  <c r="W67" i="1" s="1"/>
  <c r="X67" i="1" s="1" a="1"/>
  <c r="X67" i="1" s="1"/>
  <c r="W68" i="1" a="1"/>
  <c r="W68" i="1" s="1"/>
  <c r="X68" i="1" s="1" a="1"/>
  <c r="X68" i="1" s="1"/>
  <c r="W69" i="1" a="1"/>
  <c r="W69" i="1" s="1"/>
  <c r="X69" i="1" s="1" a="1"/>
  <c r="X69" i="1" s="1"/>
  <c r="W70" i="1" a="1"/>
  <c r="W70" i="1" s="1"/>
  <c r="X70" i="1" s="1" a="1"/>
  <c r="X70" i="1" s="1"/>
  <c r="W71" i="1" a="1"/>
  <c r="W71" i="1" s="1"/>
  <c r="X71" i="1" s="1" a="1"/>
  <c r="X71" i="1" s="1"/>
  <c r="W72" i="1" a="1"/>
  <c r="W72" i="1" s="1"/>
  <c r="X72" i="1" s="1" a="1"/>
  <c r="X72" i="1" s="1"/>
  <c r="W73" i="1" a="1"/>
  <c r="W73" i="1" s="1"/>
  <c r="X73" i="1" s="1" a="1"/>
  <c r="X73" i="1" s="1"/>
  <c r="W74" i="1" a="1"/>
  <c r="W74" i="1" s="1"/>
  <c r="X74" i="1" s="1" a="1"/>
  <c r="X74" i="1" s="1"/>
  <c r="W75" i="1" a="1"/>
  <c r="W75" i="1" s="1"/>
  <c r="X75" i="1" s="1" a="1"/>
  <c r="X75" i="1" s="1"/>
  <c r="W76" i="1" a="1"/>
  <c r="W76" i="1" s="1"/>
  <c r="X76" i="1" s="1" a="1"/>
  <c r="X76" i="1" s="1"/>
  <c r="W77" i="1" a="1"/>
  <c r="W77" i="1" s="1"/>
  <c r="X77" i="1" s="1" a="1"/>
  <c r="X77" i="1" s="1"/>
  <c r="W78" i="1" a="1"/>
  <c r="W78" i="1" s="1"/>
  <c r="X78" i="1" s="1" a="1"/>
  <c r="X78" i="1" s="1"/>
  <c r="W79" i="1" a="1"/>
  <c r="W79" i="1" s="1"/>
  <c r="X79" i="1" s="1" a="1"/>
  <c r="X79" i="1" s="1"/>
  <c r="W80" i="1" a="1"/>
  <c r="W80" i="1" s="1"/>
  <c r="X80" i="1" s="1" a="1"/>
  <c r="X80" i="1" s="1"/>
  <c r="W81" i="1" a="1"/>
  <c r="W81" i="1" s="1"/>
  <c r="X81" i="1" s="1" a="1"/>
  <c r="X81" i="1" s="1"/>
  <c r="W82" i="1" a="1"/>
  <c r="W82" i="1" s="1"/>
  <c r="X82" i="1" s="1" a="1"/>
  <c r="X82" i="1" s="1"/>
  <c r="W83" i="1" a="1"/>
  <c r="W83" i="1" s="1"/>
  <c r="X83" i="1" s="1" a="1"/>
  <c r="X83" i="1" s="1"/>
  <c r="W84" i="1" a="1"/>
  <c r="W84" i="1" s="1"/>
  <c r="X84" i="1" s="1" a="1"/>
  <c r="X84" i="1" s="1"/>
  <c r="W85" i="1" a="1"/>
  <c r="W85" i="1" s="1"/>
  <c r="X85" i="1" s="1" a="1"/>
  <c r="X85" i="1" s="1"/>
  <c r="W86" i="1" a="1"/>
  <c r="W86" i="1" s="1"/>
  <c r="X86" i="1" s="1" a="1"/>
  <c r="X86" i="1" s="1"/>
  <c r="W87" i="1" a="1"/>
  <c r="W87" i="1" s="1"/>
  <c r="X87" i="1" s="1" a="1"/>
  <c r="X87" i="1" s="1"/>
  <c r="W88" i="1" a="1"/>
  <c r="W88" i="1" s="1"/>
  <c r="X88" i="1" s="1" a="1"/>
  <c r="X88" i="1" s="1"/>
  <c r="W89" i="1" a="1"/>
  <c r="W89" i="1" s="1"/>
  <c r="X89" i="1" s="1" a="1"/>
  <c r="X89" i="1" s="1"/>
  <c r="W90" i="1" a="1"/>
  <c r="W90" i="1" s="1"/>
  <c r="X90" i="1" s="1" a="1"/>
  <c r="X90" i="1" s="1"/>
  <c r="W91" i="1" a="1"/>
  <c r="W91" i="1" s="1"/>
  <c r="X91" i="1" s="1" a="1"/>
  <c r="X91" i="1" s="1"/>
  <c r="W92" i="1" a="1"/>
  <c r="W92" i="1" s="1"/>
  <c r="X92" i="1" s="1" a="1"/>
  <c r="X92" i="1" s="1"/>
  <c r="W93" i="1" a="1"/>
  <c r="W93" i="1" s="1"/>
  <c r="X93" i="1" s="1" a="1"/>
  <c r="X93" i="1" s="1"/>
  <c r="W94" i="1" a="1"/>
  <c r="W94" i="1" s="1"/>
  <c r="X94" i="1" s="1" a="1"/>
  <c r="X94" i="1" s="1"/>
  <c r="W95" i="1" a="1"/>
  <c r="W95" i="1" s="1"/>
  <c r="X95" i="1" s="1" a="1"/>
  <c r="X95" i="1" s="1"/>
  <c r="W96" i="1" a="1"/>
  <c r="W96" i="1" s="1"/>
  <c r="X96" i="1" s="1" a="1"/>
  <c r="X96" i="1" s="1"/>
  <c r="W97" i="1" a="1"/>
  <c r="W97" i="1" s="1"/>
  <c r="X97" i="1" s="1" a="1"/>
  <c r="X97" i="1" s="1"/>
  <c r="W98" i="1" a="1"/>
  <c r="W98" i="1" s="1"/>
  <c r="X98" i="1" s="1" a="1"/>
  <c r="X98" i="1" s="1"/>
  <c r="W99" i="1" a="1"/>
  <c r="W99" i="1" s="1"/>
  <c r="X99" i="1" s="1" a="1"/>
  <c r="X99" i="1" s="1"/>
  <c r="W100" i="1" a="1"/>
  <c r="W100" i="1" s="1"/>
  <c r="X100" i="1" s="1" a="1"/>
  <c r="X100" i="1" s="1"/>
  <c r="W101" i="1" a="1"/>
  <c r="W101" i="1" s="1"/>
  <c r="X101" i="1" s="1" a="1"/>
  <c r="X101" i="1" s="1"/>
  <c r="W102" i="1" a="1"/>
  <c r="W102" i="1" s="1"/>
  <c r="X102" i="1" s="1" a="1"/>
  <c r="X102" i="1" s="1"/>
  <c r="W103" i="1" a="1"/>
  <c r="W103" i="1" s="1"/>
  <c r="X103" i="1" s="1" a="1"/>
  <c r="X103" i="1" s="1"/>
  <c r="W104" i="1" a="1"/>
  <c r="W104" i="1" s="1"/>
  <c r="X104" i="1" s="1" a="1"/>
  <c r="X104" i="1" s="1"/>
  <c r="W105" i="1" a="1"/>
  <c r="W105" i="1" s="1"/>
  <c r="X105" i="1" s="1" a="1"/>
  <c r="X105" i="1" s="1"/>
  <c r="W106" i="1" a="1"/>
  <c r="W106" i="1" s="1"/>
  <c r="X106" i="1" s="1" a="1"/>
  <c r="X106" i="1" s="1"/>
  <c r="W107" i="1" a="1"/>
  <c r="W107" i="1" s="1"/>
  <c r="X107" i="1" s="1" a="1"/>
  <c r="X107" i="1" s="1"/>
  <c r="W108" i="1" a="1"/>
  <c r="W108" i="1" s="1"/>
  <c r="X108" i="1" s="1" a="1"/>
  <c r="X108" i="1" s="1"/>
  <c r="W109" i="1" a="1"/>
  <c r="W109" i="1" s="1"/>
  <c r="X109" i="1" s="1" a="1"/>
  <c r="X109" i="1" s="1"/>
  <c r="W110" i="1" a="1"/>
  <c r="W110" i="1" s="1"/>
  <c r="X110" i="1" s="1" a="1"/>
  <c r="X110" i="1" s="1"/>
  <c r="W111" i="1" a="1"/>
  <c r="W111" i="1" s="1"/>
  <c r="X111" i="1" s="1" a="1"/>
  <c r="X111" i="1" s="1"/>
  <c r="W112" i="1" a="1"/>
  <c r="W112" i="1" s="1"/>
  <c r="X112" i="1" s="1" a="1"/>
  <c r="X112" i="1" s="1"/>
  <c r="W113" i="1" a="1"/>
  <c r="W113" i="1" s="1"/>
  <c r="X113" i="1" s="1" a="1"/>
  <c r="X113" i="1" s="1"/>
  <c r="W114" i="1" a="1"/>
  <c r="W114" i="1" s="1"/>
  <c r="X114" i="1" s="1" a="1"/>
  <c r="X114" i="1" s="1"/>
  <c r="W115" i="1" a="1"/>
  <c r="W115" i="1" s="1"/>
  <c r="X115" i="1" s="1" a="1"/>
  <c r="X115" i="1" s="1"/>
  <c r="W116" i="1" a="1"/>
  <c r="W116" i="1" s="1"/>
  <c r="X116" i="1" s="1" a="1"/>
  <c r="X116" i="1" s="1"/>
  <c r="W117" i="1" a="1"/>
  <c r="W117" i="1" s="1"/>
  <c r="X117" i="1" s="1" a="1"/>
  <c r="X117" i="1" s="1"/>
  <c r="W118" i="1" a="1"/>
  <c r="W118" i="1" s="1"/>
  <c r="X118" i="1" s="1" a="1"/>
  <c r="X118" i="1" s="1"/>
  <c r="W119" i="1" a="1"/>
  <c r="W119" i="1" s="1"/>
  <c r="X119" i="1" s="1" a="1"/>
  <c r="X119" i="1" s="1"/>
  <c r="W120" i="1" a="1"/>
  <c r="W120" i="1" s="1"/>
  <c r="X120" i="1" s="1" a="1"/>
  <c r="X120" i="1" s="1"/>
  <c r="W121" i="1" a="1"/>
  <c r="W121" i="1" s="1"/>
  <c r="X121" i="1" s="1" a="1"/>
  <c r="X121" i="1" s="1"/>
  <c r="W122" i="1" a="1"/>
  <c r="W122" i="1" s="1"/>
  <c r="X122" i="1" s="1" a="1"/>
  <c r="X122" i="1" s="1"/>
  <c r="W123" i="1" a="1"/>
  <c r="W123" i="1" s="1"/>
  <c r="X123" i="1" s="1" a="1"/>
  <c r="X123" i="1" s="1"/>
  <c r="W124" i="1" a="1"/>
  <c r="W124" i="1" s="1"/>
  <c r="X124" i="1" s="1" a="1"/>
  <c r="X124" i="1" s="1"/>
  <c r="W125" i="1" a="1"/>
  <c r="W125" i="1" s="1"/>
  <c r="X125" i="1" s="1" a="1"/>
  <c r="X125" i="1" s="1"/>
  <c r="W126" i="1" a="1"/>
  <c r="W126" i="1" s="1"/>
  <c r="X126" i="1" s="1" a="1"/>
  <c r="X126" i="1" s="1"/>
  <c r="W127" i="1" a="1"/>
  <c r="W127" i="1" s="1"/>
  <c r="X127" i="1" s="1" a="1"/>
  <c r="X127" i="1" s="1"/>
  <c r="W128" i="1" a="1"/>
  <c r="W128" i="1" s="1"/>
  <c r="X128" i="1" s="1" a="1"/>
  <c r="X128" i="1" s="1"/>
  <c r="W129" i="1" a="1"/>
  <c r="W129" i="1" s="1"/>
  <c r="X129" i="1" s="1" a="1"/>
  <c r="X129" i="1" s="1"/>
  <c r="W130" i="1" a="1"/>
  <c r="W130" i="1" s="1"/>
  <c r="X130" i="1" s="1" a="1"/>
  <c r="X130" i="1" s="1"/>
  <c r="W131" i="1" a="1"/>
  <c r="W131" i="1" s="1"/>
  <c r="X131" i="1" s="1" a="1"/>
  <c r="X131" i="1" s="1"/>
  <c r="W132" i="1" a="1"/>
  <c r="W132" i="1" s="1"/>
  <c r="X132" i="1" s="1" a="1"/>
  <c r="X132" i="1" s="1"/>
  <c r="W133" i="1" a="1"/>
  <c r="W133" i="1" s="1"/>
  <c r="X133" i="1" s="1" a="1"/>
  <c r="X133" i="1" s="1"/>
  <c r="W134" i="1" a="1"/>
  <c r="W134" i="1" s="1"/>
  <c r="X134" i="1" s="1" a="1"/>
  <c r="X134" i="1" s="1"/>
  <c r="W135" i="1" a="1"/>
  <c r="W135" i="1" s="1"/>
  <c r="X135" i="1" s="1" a="1"/>
  <c r="X135" i="1" s="1"/>
  <c r="W136" i="1" a="1"/>
  <c r="W136" i="1" s="1"/>
  <c r="X136" i="1" s="1" a="1"/>
  <c r="X136" i="1" s="1"/>
  <c r="W137" i="1" a="1"/>
  <c r="W137" i="1" s="1"/>
  <c r="X137" i="1" s="1" a="1"/>
  <c r="X137" i="1" s="1"/>
  <c r="W138" i="1" a="1"/>
  <c r="W138" i="1" s="1"/>
  <c r="X138" i="1" s="1" a="1"/>
  <c r="X138" i="1" s="1"/>
  <c r="W139" i="1" a="1"/>
  <c r="W139" i="1" s="1"/>
  <c r="X139" i="1" s="1" a="1"/>
  <c r="X139" i="1" s="1"/>
  <c r="W140" i="1" a="1"/>
  <c r="W140" i="1" s="1"/>
  <c r="X140" i="1" s="1" a="1"/>
  <c r="X140" i="1" s="1"/>
  <c r="W141" i="1" a="1"/>
  <c r="W141" i="1" s="1"/>
  <c r="X141" i="1" s="1" a="1"/>
  <c r="X141" i="1" s="1"/>
  <c r="W142" i="1" a="1"/>
  <c r="W142" i="1" s="1"/>
  <c r="X142" i="1" s="1" a="1"/>
  <c r="X142" i="1" s="1"/>
  <c r="W143" i="1" a="1"/>
  <c r="W143" i="1" s="1"/>
  <c r="X143" i="1" s="1" a="1"/>
  <c r="X143" i="1" s="1"/>
  <c r="W144" i="1" a="1"/>
  <c r="W144" i="1" s="1"/>
  <c r="X144" i="1" s="1" a="1"/>
  <c r="X144" i="1" s="1"/>
  <c r="W145" i="1" a="1"/>
  <c r="W145" i="1" s="1"/>
  <c r="X145" i="1" s="1" a="1"/>
  <c r="X145" i="1" s="1"/>
  <c r="W146" i="1" a="1"/>
  <c r="W146" i="1" s="1"/>
  <c r="X146" i="1" s="1" a="1"/>
  <c r="X146" i="1" s="1"/>
  <c r="W147" i="1" a="1"/>
  <c r="W147" i="1" s="1"/>
  <c r="X147" i="1" s="1" a="1"/>
  <c r="X147" i="1" s="1"/>
  <c r="W148" i="1" a="1"/>
  <c r="W148" i="1" s="1"/>
  <c r="X148" i="1" s="1" a="1"/>
  <c r="X148" i="1" s="1"/>
  <c r="W149" i="1" a="1"/>
  <c r="W149" i="1" s="1"/>
  <c r="X149" i="1" s="1" a="1"/>
  <c r="X149" i="1" s="1"/>
  <c r="W150" i="1" a="1"/>
  <c r="W150" i="1" s="1"/>
  <c r="X150" i="1" s="1" a="1"/>
  <c r="X150" i="1" s="1"/>
  <c r="W151" i="1" a="1"/>
  <c r="W151" i="1" s="1"/>
  <c r="X151" i="1" s="1" a="1"/>
  <c r="X151" i="1" s="1"/>
  <c r="W152" i="1" a="1"/>
  <c r="W152" i="1" s="1"/>
  <c r="X152" i="1" s="1" a="1"/>
  <c r="X152" i="1" s="1"/>
  <c r="W153" i="1" a="1"/>
  <c r="W153" i="1" s="1"/>
  <c r="X153" i="1" s="1" a="1"/>
  <c r="X153" i="1" s="1"/>
  <c r="W154" i="1" a="1"/>
  <c r="W154" i="1" s="1"/>
  <c r="X154" i="1" s="1" a="1"/>
  <c r="X154" i="1" s="1"/>
  <c r="W155" i="1" a="1"/>
  <c r="W155" i="1" s="1"/>
  <c r="X155" i="1" s="1" a="1"/>
  <c r="X155" i="1" s="1"/>
  <c r="W156" i="1" a="1"/>
  <c r="W156" i="1" s="1"/>
  <c r="X156" i="1" s="1" a="1"/>
  <c r="X156" i="1" s="1"/>
  <c r="W157" i="1" a="1"/>
  <c r="W157" i="1" s="1"/>
  <c r="X157" i="1" s="1" a="1"/>
  <c r="X157" i="1" s="1"/>
  <c r="W158" i="1" a="1"/>
  <c r="W158" i="1" s="1"/>
  <c r="X158" i="1" s="1" a="1"/>
  <c r="X158" i="1" s="1"/>
  <c r="W159" i="1" a="1"/>
  <c r="W159" i="1" s="1"/>
  <c r="X159" i="1" s="1" a="1"/>
  <c r="X159" i="1" s="1"/>
  <c r="W160" i="1" a="1"/>
  <c r="W160" i="1" s="1"/>
  <c r="X160" i="1" s="1" a="1"/>
  <c r="X160" i="1" s="1"/>
  <c r="W161" i="1" a="1"/>
  <c r="W161" i="1" s="1"/>
  <c r="X161" i="1" s="1" a="1"/>
  <c r="X161" i="1" s="1"/>
  <c r="W162" i="1" a="1"/>
  <c r="W162" i="1" s="1"/>
  <c r="X162" i="1" s="1" a="1"/>
  <c r="X162" i="1" s="1"/>
  <c r="W163" i="1" a="1"/>
  <c r="W163" i="1" s="1"/>
  <c r="X163" i="1" s="1" a="1"/>
  <c r="X163" i="1" s="1"/>
  <c r="W164" i="1" a="1"/>
  <c r="W164" i="1" s="1"/>
  <c r="X164" i="1" s="1" a="1"/>
  <c r="X164" i="1" s="1"/>
  <c r="W165" i="1" a="1"/>
  <c r="W165" i="1" s="1"/>
  <c r="X165" i="1" s="1" a="1"/>
  <c r="X165" i="1" s="1"/>
  <c r="W166" i="1" a="1"/>
  <c r="W166" i="1" s="1"/>
  <c r="X166" i="1" s="1" a="1"/>
  <c r="X166" i="1" s="1"/>
  <c r="W167" i="1" a="1"/>
  <c r="W167" i="1" s="1"/>
  <c r="X167" i="1" s="1" a="1"/>
  <c r="X167" i="1" s="1"/>
  <c r="W168" i="1" a="1"/>
  <c r="W168" i="1" s="1"/>
  <c r="X168" i="1" s="1" a="1"/>
  <c r="X168" i="1" s="1"/>
  <c r="W169" i="1" a="1"/>
  <c r="W169" i="1" s="1"/>
  <c r="X169" i="1" s="1" a="1"/>
  <c r="X169" i="1" s="1"/>
  <c r="W170" i="1" a="1"/>
  <c r="W170" i="1" s="1"/>
  <c r="X170" i="1" s="1" a="1"/>
  <c r="X170" i="1" s="1"/>
  <c r="W171" i="1" a="1"/>
  <c r="W171" i="1" s="1"/>
  <c r="X171" i="1" s="1" a="1"/>
  <c r="X171" i="1" s="1"/>
  <c r="W172" i="1" a="1"/>
  <c r="W172" i="1" s="1"/>
  <c r="X172" i="1" s="1" a="1"/>
  <c r="X172" i="1" s="1"/>
  <c r="W173" i="1" a="1"/>
  <c r="W173" i="1" s="1"/>
  <c r="X173" i="1" s="1" a="1"/>
  <c r="X173" i="1" s="1"/>
  <c r="W174" i="1" a="1"/>
  <c r="W174" i="1" s="1"/>
  <c r="X174" i="1" s="1" a="1"/>
  <c r="X174" i="1" s="1"/>
  <c r="W175" i="1" a="1"/>
  <c r="W175" i="1" s="1"/>
  <c r="X175" i="1" s="1" a="1"/>
  <c r="X175" i="1" s="1"/>
  <c r="W176" i="1" a="1"/>
  <c r="W176" i="1" s="1"/>
  <c r="X176" i="1" s="1" a="1"/>
  <c r="X176" i="1" s="1"/>
  <c r="W177" i="1" a="1"/>
  <c r="W177" i="1" s="1"/>
  <c r="X177" i="1" s="1" a="1"/>
  <c r="X177" i="1" s="1"/>
  <c r="W178" i="1" a="1"/>
  <c r="W178" i="1" s="1"/>
  <c r="X178" i="1" s="1" a="1"/>
  <c r="X178" i="1" s="1"/>
  <c r="W179" i="1" a="1"/>
  <c r="W179" i="1" s="1"/>
  <c r="X179" i="1" s="1" a="1"/>
  <c r="X179" i="1" s="1"/>
  <c r="W180" i="1" a="1"/>
  <c r="W180" i="1" s="1"/>
  <c r="X180" i="1" s="1" a="1"/>
  <c r="X180" i="1" s="1"/>
  <c r="W181" i="1" a="1"/>
  <c r="W181" i="1" s="1"/>
  <c r="X181" i="1" s="1" a="1"/>
  <c r="X181" i="1" s="1"/>
  <c r="W182" i="1" a="1"/>
  <c r="W182" i="1" s="1"/>
  <c r="X182" i="1" s="1" a="1"/>
  <c r="X182" i="1" s="1"/>
  <c r="W183" i="1" a="1"/>
  <c r="W183" i="1" s="1"/>
  <c r="X183" i="1" s="1" a="1"/>
  <c r="X183" i="1" s="1"/>
  <c r="W184" i="1" a="1"/>
  <c r="W184" i="1" s="1"/>
  <c r="X184" i="1" s="1" a="1"/>
  <c r="X184" i="1" s="1"/>
  <c r="W185" i="1" a="1"/>
  <c r="W185" i="1" s="1"/>
  <c r="X185" i="1" s="1" a="1"/>
  <c r="X185" i="1" s="1"/>
  <c r="W186" i="1" a="1"/>
  <c r="W186" i="1" s="1"/>
  <c r="X186" i="1" s="1" a="1"/>
  <c r="X186" i="1" s="1"/>
  <c r="W187" i="1" a="1"/>
  <c r="W187" i="1" s="1"/>
  <c r="X187" i="1" s="1" a="1"/>
  <c r="X187" i="1" s="1"/>
  <c r="W188" i="1" a="1"/>
  <c r="W188" i="1" s="1"/>
  <c r="X188" i="1" s="1" a="1"/>
  <c r="X188" i="1" s="1"/>
  <c r="W189" i="1" a="1"/>
  <c r="W189" i="1" s="1"/>
  <c r="X189" i="1" s="1" a="1"/>
  <c r="X189" i="1" s="1"/>
  <c r="W190" i="1" a="1"/>
  <c r="W190" i="1" s="1"/>
  <c r="X190" i="1" s="1" a="1"/>
  <c r="X190" i="1" s="1"/>
  <c r="W191" i="1" a="1"/>
  <c r="W191" i="1" s="1"/>
  <c r="X191" i="1" s="1" a="1"/>
  <c r="X191" i="1" s="1"/>
  <c r="W192" i="1" a="1"/>
  <c r="W192" i="1" s="1"/>
  <c r="X192" i="1" s="1" a="1"/>
  <c r="X192" i="1" s="1"/>
  <c r="W193" i="1" a="1"/>
  <c r="W193" i="1" s="1"/>
  <c r="X193" i="1" s="1" a="1"/>
  <c r="X193" i="1" s="1"/>
  <c r="W194" i="1" a="1"/>
  <c r="W194" i="1" s="1"/>
  <c r="X194" i="1" s="1" a="1"/>
  <c r="X194" i="1" s="1"/>
  <c r="W195" i="1" a="1"/>
  <c r="W195" i="1" s="1"/>
  <c r="X195" i="1" s="1" a="1"/>
  <c r="X195" i="1" s="1"/>
  <c r="W196" i="1" a="1"/>
  <c r="W196" i="1" s="1"/>
  <c r="X196" i="1" s="1" a="1"/>
  <c r="X196" i="1" s="1"/>
  <c r="W197" i="1" a="1"/>
  <c r="W197" i="1" s="1"/>
  <c r="X197" i="1" s="1" a="1"/>
  <c r="X197" i="1" s="1"/>
  <c r="W198" i="1" a="1"/>
  <c r="W198" i="1" s="1"/>
  <c r="X198" i="1" s="1" a="1"/>
  <c r="X198" i="1" s="1"/>
  <c r="W199" i="1" a="1"/>
  <c r="W199" i="1" s="1"/>
  <c r="X199" i="1" s="1" a="1"/>
  <c r="X199" i="1" s="1"/>
  <c r="W200" i="1" a="1"/>
  <c r="W200" i="1" s="1"/>
  <c r="X200" i="1" s="1" a="1"/>
  <c r="X200" i="1" s="1"/>
  <c r="W201" i="1" a="1"/>
  <c r="W201" i="1" s="1"/>
  <c r="X201" i="1" s="1" a="1"/>
  <c r="X201" i="1" s="1"/>
  <c r="W202" i="1" a="1"/>
  <c r="W202" i="1" s="1"/>
  <c r="X202" i="1" s="1" a="1"/>
  <c r="X202" i="1" s="1"/>
  <c r="W203" i="1" a="1"/>
  <c r="W203" i="1" s="1"/>
  <c r="X203" i="1" s="1" a="1"/>
  <c r="X203" i="1" s="1"/>
  <c r="W204" i="1" a="1"/>
  <c r="W204" i="1" s="1"/>
  <c r="X204" i="1" s="1" a="1"/>
  <c r="X204" i="1" s="1"/>
  <c r="W205" i="1" a="1"/>
  <c r="W205" i="1" s="1"/>
  <c r="X205" i="1" s="1" a="1"/>
  <c r="X205" i="1" s="1"/>
  <c r="W206" i="1" a="1"/>
  <c r="W206" i="1" s="1"/>
  <c r="X206" i="1" s="1" a="1"/>
  <c r="X206" i="1" s="1"/>
  <c r="W207" i="1" a="1"/>
  <c r="W207" i="1" s="1"/>
  <c r="X207" i="1" s="1" a="1"/>
  <c r="X207" i="1" s="1"/>
  <c r="W208" i="1" a="1"/>
  <c r="W208" i="1" s="1"/>
  <c r="X208" i="1" s="1" a="1"/>
  <c r="X208" i="1" s="1"/>
  <c r="W209" i="1" a="1"/>
  <c r="W209" i="1" s="1"/>
  <c r="X209" i="1" s="1" a="1"/>
  <c r="X209" i="1" s="1"/>
  <c r="W210" i="1" a="1"/>
  <c r="W210" i="1" s="1"/>
  <c r="X210" i="1" s="1" a="1"/>
  <c r="X210" i="1" s="1"/>
  <c r="W211" i="1" a="1"/>
  <c r="W211" i="1" s="1"/>
  <c r="X211" i="1" s="1" a="1"/>
  <c r="X211" i="1" s="1"/>
  <c r="W212" i="1" a="1"/>
  <c r="W212" i="1" s="1"/>
  <c r="X212" i="1" s="1" a="1"/>
  <c r="X212" i="1" s="1"/>
  <c r="W213" i="1" a="1"/>
  <c r="W213" i="1" s="1"/>
  <c r="X213" i="1" s="1" a="1"/>
  <c r="X213" i="1" s="1"/>
  <c r="W214" i="1" a="1"/>
  <c r="W214" i="1" s="1"/>
  <c r="X214" i="1" s="1" a="1"/>
  <c r="X214" i="1" s="1"/>
  <c r="W215" i="1" a="1"/>
  <c r="W215" i="1" s="1"/>
  <c r="X215" i="1" s="1" a="1"/>
  <c r="X215" i="1" s="1"/>
  <c r="W216" i="1" a="1"/>
  <c r="W216" i="1" s="1"/>
  <c r="X216" i="1" s="1" a="1"/>
  <c r="X216" i="1" s="1"/>
  <c r="W217" i="1" a="1"/>
  <c r="W217" i="1" s="1"/>
  <c r="X217" i="1" s="1" a="1"/>
  <c r="X217" i="1" s="1"/>
  <c r="W218" i="1" a="1"/>
  <c r="W218" i="1" s="1"/>
  <c r="X218" i="1" s="1" a="1"/>
  <c r="X218" i="1" s="1"/>
  <c r="W219" i="1" a="1"/>
  <c r="W219" i="1" s="1"/>
  <c r="X219" i="1" s="1" a="1"/>
  <c r="X219" i="1" s="1"/>
  <c r="W220" i="1" a="1"/>
  <c r="W220" i="1" s="1"/>
  <c r="X220" i="1" s="1" a="1"/>
  <c r="X220" i="1" s="1"/>
  <c r="W221" i="1" a="1"/>
  <c r="W221" i="1" s="1"/>
  <c r="X221" i="1" s="1" a="1"/>
  <c r="X221" i="1" s="1"/>
  <c r="W222" i="1" a="1"/>
  <c r="W222" i="1" s="1"/>
  <c r="X222" i="1" s="1" a="1"/>
  <c r="X222" i="1" s="1"/>
  <c r="W223" i="1" a="1"/>
  <c r="W223" i="1" s="1"/>
  <c r="X223" i="1" s="1" a="1"/>
  <c r="X223" i="1" s="1"/>
  <c r="W224" i="1" a="1"/>
  <c r="W224" i="1" s="1"/>
  <c r="X224" i="1" s="1" a="1"/>
  <c r="X224" i="1" s="1"/>
  <c r="W225" i="1" a="1"/>
  <c r="W225" i="1" s="1"/>
  <c r="X225" i="1" s="1" a="1"/>
  <c r="X225" i="1" s="1"/>
  <c r="W226" i="1" a="1"/>
  <c r="W226" i="1" s="1"/>
  <c r="X226" i="1" s="1" a="1"/>
  <c r="X226" i="1" s="1"/>
  <c r="W227" i="1" a="1"/>
  <c r="W227" i="1" s="1"/>
  <c r="X227" i="1" s="1" a="1"/>
  <c r="X227" i="1" s="1"/>
  <c r="W228" i="1" a="1"/>
  <c r="W228" i="1" s="1"/>
  <c r="X228" i="1" s="1" a="1"/>
  <c r="X228" i="1" s="1"/>
  <c r="W229" i="1" a="1"/>
  <c r="W229" i="1" s="1"/>
  <c r="X229" i="1" s="1" a="1"/>
  <c r="X229" i="1" s="1"/>
  <c r="W230" i="1" a="1"/>
  <c r="W230" i="1" s="1"/>
  <c r="X230" i="1" s="1" a="1"/>
  <c r="X230" i="1" s="1"/>
  <c r="W231" i="1" a="1"/>
  <c r="W231" i="1" s="1"/>
  <c r="X231" i="1" s="1" a="1"/>
  <c r="X231" i="1" s="1"/>
  <c r="W232" i="1" a="1"/>
  <c r="W232" i="1" s="1"/>
  <c r="X232" i="1" s="1" a="1"/>
  <c r="X232" i="1" s="1"/>
  <c r="W233" i="1" a="1"/>
  <c r="W233" i="1" s="1"/>
  <c r="X233" i="1" s="1" a="1"/>
  <c r="X233" i="1" s="1"/>
  <c r="W234" i="1" a="1"/>
  <c r="W234" i="1" s="1"/>
  <c r="X234" i="1" s="1" a="1"/>
  <c r="X234" i="1" s="1"/>
  <c r="W235" i="1" a="1"/>
  <c r="W235" i="1" s="1"/>
  <c r="X235" i="1" s="1" a="1"/>
  <c r="X235" i="1" s="1"/>
  <c r="W236" i="1" a="1"/>
  <c r="W236" i="1" s="1"/>
  <c r="X236" i="1" s="1" a="1"/>
  <c r="X236" i="1" s="1"/>
  <c r="W237" i="1" a="1"/>
  <c r="W237" i="1" s="1"/>
  <c r="X237" i="1" s="1" a="1"/>
  <c r="X237" i="1" s="1"/>
  <c r="W238" i="1" a="1"/>
  <c r="W238" i="1" s="1"/>
  <c r="X238" i="1" s="1" a="1"/>
  <c r="X238" i="1" s="1"/>
  <c r="W239" i="1" a="1"/>
  <c r="W239" i="1" s="1"/>
  <c r="X239" i="1" s="1" a="1"/>
  <c r="X239" i="1" s="1"/>
  <c r="W240" i="1" a="1"/>
  <c r="W240" i="1" s="1"/>
  <c r="X240" i="1" s="1" a="1"/>
  <c r="X240" i="1" s="1"/>
  <c r="W241" i="1" a="1"/>
  <c r="W241" i="1" s="1"/>
  <c r="X241" i="1" s="1" a="1"/>
  <c r="X241" i="1" s="1"/>
  <c r="W242" i="1" a="1"/>
  <c r="W242" i="1" s="1"/>
  <c r="X242" i="1" s="1" a="1"/>
  <c r="X242" i="1" s="1"/>
  <c r="W243" i="1" a="1"/>
  <c r="W243" i="1" s="1"/>
  <c r="X243" i="1" s="1" a="1"/>
  <c r="X243" i="1" s="1"/>
  <c r="W244" i="1" a="1"/>
  <c r="W244" i="1" s="1"/>
  <c r="X244" i="1" s="1" a="1"/>
  <c r="X244" i="1" s="1"/>
  <c r="W245" i="1" a="1"/>
  <c r="W245" i="1" s="1"/>
  <c r="X245" i="1" s="1" a="1"/>
  <c r="X245" i="1" s="1"/>
  <c r="W246" i="1" a="1"/>
  <c r="W246" i="1" s="1"/>
  <c r="X246" i="1" s="1" a="1"/>
  <c r="X246" i="1" s="1"/>
  <c r="W247" i="1" a="1"/>
  <c r="W247" i="1" s="1"/>
  <c r="X247" i="1" s="1" a="1"/>
  <c r="X247" i="1" s="1"/>
  <c r="W248" i="1" a="1"/>
  <c r="W248" i="1" s="1"/>
  <c r="X248" i="1" s="1" a="1"/>
  <c r="X248" i="1" s="1"/>
  <c r="W249" i="1" a="1"/>
  <c r="W249" i="1" s="1"/>
  <c r="X249" i="1" s="1" a="1"/>
  <c r="X249" i="1" s="1"/>
  <c r="W250" i="1" a="1"/>
  <c r="W250" i="1" s="1"/>
  <c r="X250" i="1" s="1" a="1"/>
  <c r="X250" i="1" s="1"/>
  <c r="W251" i="1" a="1"/>
  <c r="W251" i="1" s="1"/>
  <c r="X251" i="1" s="1" a="1"/>
  <c r="X251" i="1" s="1"/>
  <c r="W252" i="1" a="1"/>
  <c r="W252" i="1" s="1"/>
  <c r="X252" i="1" s="1" a="1"/>
  <c r="X252" i="1" s="1"/>
  <c r="W253" i="1" a="1"/>
  <c r="W253" i="1" s="1"/>
  <c r="X253" i="1" s="1" a="1"/>
  <c r="X253" i="1" s="1"/>
  <c r="W254" i="1" a="1"/>
  <c r="W254" i="1" s="1"/>
  <c r="X254" i="1" s="1" a="1"/>
  <c r="X254" i="1" s="1"/>
  <c r="W255" i="1" a="1"/>
  <c r="W255" i="1" s="1"/>
  <c r="X255" i="1" s="1" a="1"/>
  <c r="X255" i="1" s="1"/>
  <c r="W256" i="1" a="1"/>
  <c r="W256" i="1" s="1"/>
  <c r="X256" i="1" s="1" a="1"/>
  <c r="X256" i="1" s="1"/>
  <c r="W257" i="1" a="1"/>
  <c r="W257" i="1" s="1"/>
  <c r="X257" i="1" s="1" a="1"/>
  <c r="X257" i="1" s="1"/>
  <c r="W258" i="1" a="1"/>
  <c r="W258" i="1" s="1"/>
  <c r="X258" i="1" s="1" a="1"/>
  <c r="X258" i="1" s="1"/>
  <c r="W259" i="1" a="1"/>
  <c r="W259" i="1" s="1"/>
  <c r="X259" i="1" s="1" a="1"/>
  <c r="X259" i="1" s="1"/>
  <c r="W260" i="1" a="1"/>
  <c r="W260" i="1" s="1"/>
  <c r="X260" i="1" s="1" a="1"/>
  <c r="X260" i="1" s="1"/>
  <c r="W261" i="1" a="1"/>
  <c r="W261" i="1" s="1"/>
  <c r="X261" i="1" s="1" a="1"/>
  <c r="X261" i="1" s="1"/>
  <c r="W262" i="1" a="1"/>
  <c r="W262" i="1" s="1"/>
  <c r="X262" i="1" s="1" a="1"/>
  <c r="X262" i="1" s="1"/>
  <c r="W263" i="1" a="1"/>
  <c r="W263" i="1" s="1"/>
  <c r="X263" i="1" s="1" a="1"/>
  <c r="X263" i="1" s="1"/>
  <c r="W264" i="1" a="1"/>
  <c r="W264" i="1" s="1"/>
  <c r="X264" i="1" s="1" a="1"/>
  <c r="X264" i="1" s="1"/>
  <c r="W265" i="1" a="1"/>
  <c r="W265" i="1" s="1"/>
  <c r="X265" i="1" s="1" a="1"/>
  <c r="X265" i="1" s="1"/>
  <c r="W266" i="1" a="1"/>
  <c r="W266" i="1" s="1"/>
  <c r="X266" i="1" s="1" a="1"/>
  <c r="X266" i="1" s="1"/>
  <c r="W267" i="1" a="1"/>
  <c r="W267" i="1" s="1"/>
  <c r="X267" i="1" s="1" a="1"/>
  <c r="X267" i="1" s="1"/>
  <c r="W268" i="1" a="1"/>
  <c r="W268" i="1" s="1"/>
  <c r="X268" i="1" s="1" a="1"/>
  <c r="X268" i="1" s="1"/>
  <c r="W269" i="1" a="1"/>
  <c r="W269" i="1" s="1"/>
  <c r="X269" i="1" s="1" a="1"/>
  <c r="X269" i="1" s="1"/>
  <c r="W270" i="1" a="1"/>
  <c r="W270" i="1" s="1"/>
  <c r="X270" i="1" s="1" a="1"/>
  <c r="X270" i="1" s="1"/>
  <c r="W271" i="1" a="1"/>
  <c r="W271" i="1" s="1"/>
  <c r="X271" i="1" s="1" a="1"/>
  <c r="X271" i="1" s="1"/>
  <c r="W272" i="1" a="1"/>
  <c r="W272" i="1" s="1"/>
  <c r="X272" i="1" s="1" a="1"/>
  <c r="X272" i="1" s="1"/>
  <c r="W273" i="1" a="1"/>
  <c r="W273" i="1" s="1"/>
  <c r="X273" i="1" s="1" a="1"/>
  <c r="X273" i="1" s="1"/>
  <c r="V30" i="1"/>
  <c r="V50" i="1"/>
  <c r="V70" i="1"/>
  <c r="V80" i="1"/>
  <c r="V82" i="1"/>
  <c r="V88" i="1"/>
  <c r="V96" i="1"/>
  <c r="V146" i="1"/>
  <c r="V150" i="1"/>
  <c r="V164" i="1"/>
  <c r="V168" i="1"/>
  <c r="V178" i="1"/>
  <c r="V206" i="1"/>
  <c r="V238" i="1"/>
  <c r="V242" i="1"/>
  <c r="V246" i="1"/>
  <c r="V270" i="1"/>
  <c r="V68" i="1"/>
  <c r="V81" i="1"/>
  <c r="V85" i="1"/>
  <c r="V97" i="1"/>
  <c r="V161" i="1"/>
  <c r="V209" i="1"/>
  <c r="V232" i="1"/>
  <c r="U4" i="1" a="1"/>
  <c r="U4" i="1" s="1"/>
  <c r="V4" i="1" s="1"/>
  <c r="U5" i="1" a="1"/>
  <c r="U5" i="1" s="1"/>
  <c r="U6" i="1" a="1"/>
  <c r="U6" i="1" s="1"/>
  <c r="V6" i="1" s="1"/>
  <c r="U7" i="1" a="1"/>
  <c r="U7" i="1" s="1"/>
  <c r="U8" i="1" a="1"/>
  <c r="U8" i="1" s="1"/>
  <c r="V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V28" i="1" s="1"/>
  <c r="U29" i="1" a="1"/>
  <c r="U29" i="1" s="1"/>
  <c r="V29" i="1" s="1"/>
  <c r="U30" i="1" a="1"/>
  <c r="U30" i="1" s="1"/>
  <c r="U31" i="1" a="1"/>
  <c r="U31" i="1" s="1"/>
  <c r="U32" i="1" a="1"/>
  <c r="U32" i="1" s="1"/>
  <c r="V32" i="1" s="1"/>
  <c r="U33" i="1" a="1"/>
  <c r="U33" i="1" s="1"/>
  <c r="V33" i="1" s="1"/>
  <c r="U34" i="1" a="1"/>
  <c r="U34" i="1" s="1"/>
  <c r="V34" i="1" s="1"/>
  <c r="U35" i="1" a="1"/>
  <c r="U35" i="1" s="1"/>
  <c r="U36" i="1" a="1"/>
  <c r="U36" i="1" s="1"/>
  <c r="V36" i="1" s="1"/>
  <c r="U37" i="1" a="1"/>
  <c r="U37" i="1" s="1"/>
  <c r="V37" i="1" s="1"/>
  <c r="U38" i="1" a="1"/>
  <c r="U38" i="1" s="1"/>
  <c r="V38" i="1" s="1"/>
  <c r="U39" i="1" a="1"/>
  <c r="U39" i="1" s="1"/>
  <c r="U40" i="1" a="1"/>
  <c r="U40" i="1" s="1"/>
  <c r="V40" i="1" s="1"/>
  <c r="U41" i="1" a="1"/>
  <c r="U41" i="1" s="1"/>
  <c r="V41" i="1" s="1"/>
  <c r="U42" i="1" a="1"/>
  <c r="U42" i="1" s="1"/>
  <c r="V42" i="1" s="1"/>
  <c r="U43" i="1" a="1"/>
  <c r="U43" i="1" s="1"/>
  <c r="U44" i="1" a="1"/>
  <c r="U44" i="1" s="1"/>
  <c r="V44" i="1" s="1"/>
  <c r="U45" i="1" a="1"/>
  <c r="U45" i="1" s="1"/>
  <c r="V45" i="1" s="1"/>
  <c r="U46" i="1" a="1"/>
  <c r="U46" i="1" s="1"/>
  <c r="V46" i="1" s="1"/>
  <c r="U47" i="1" a="1"/>
  <c r="U47" i="1" s="1"/>
  <c r="U48" i="1" a="1"/>
  <c r="U48" i="1" s="1"/>
  <c r="V48" i="1" s="1"/>
  <c r="U49" i="1" a="1"/>
  <c r="U49" i="1" s="1"/>
  <c r="U50" i="1" a="1"/>
  <c r="U50" i="1" s="1"/>
  <c r="U51" i="1" a="1"/>
  <c r="U51" i="1" s="1"/>
  <c r="U52" i="1" a="1"/>
  <c r="U52" i="1" s="1"/>
  <c r="V52" i="1" s="1"/>
  <c r="U53" i="1" a="1"/>
  <c r="U53" i="1" s="1"/>
  <c r="V53" i="1" s="1"/>
  <c r="U54" i="1" a="1"/>
  <c r="U54" i="1" s="1"/>
  <c r="V54" i="1" s="1"/>
  <c r="U55" i="1" a="1"/>
  <c r="U55" i="1" s="1"/>
  <c r="U56" i="1" a="1"/>
  <c r="U56" i="1" s="1"/>
  <c r="V56" i="1" s="1"/>
  <c r="U57" i="1" a="1"/>
  <c r="U57" i="1" s="1"/>
  <c r="V57" i="1" s="1"/>
  <c r="U58" i="1" a="1"/>
  <c r="U58" i="1" s="1"/>
  <c r="V58" i="1" s="1"/>
  <c r="U59" i="1" a="1"/>
  <c r="U59" i="1" s="1"/>
  <c r="V59" i="1" s="1"/>
  <c r="U60" i="1" a="1"/>
  <c r="U60" i="1" s="1"/>
  <c r="V60" i="1" s="1"/>
  <c r="U61" i="1" a="1"/>
  <c r="U61" i="1" s="1"/>
  <c r="V61" i="1" s="1"/>
  <c r="U62" i="1" a="1"/>
  <c r="U62" i="1" s="1"/>
  <c r="V62" i="1" s="1"/>
  <c r="U63" i="1" a="1"/>
  <c r="U63" i="1" s="1"/>
  <c r="U64" i="1" a="1"/>
  <c r="U64" i="1" s="1"/>
  <c r="V64" i="1" s="1"/>
  <c r="U65" i="1" a="1"/>
  <c r="U65" i="1" s="1"/>
  <c r="V65" i="1" s="1"/>
  <c r="U66" i="1" a="1"/>
  <c r="U66" i="1" s="1"/>
  <c r="V66" i="1" s="1"/>
  <c r="U67" i="1" a="1"/>
  <c r="U67" i="1" s="1"/>
  <c r="U68" i="1" a="1"/>
  <c r="U68" i="1" s="1"/>
  <c r="U69" i="1" a="1"/>
  <c r="U69" i="1" s="1"/>
  <c r="V69" i="1" s="1"/>
  <c r="U70" i="1" a="1"/>
  <c r="U70" i="1" s="1"/>
  <c r="U71" i="1" a="1"/>
  <c r="U71" i="1" s="1"/>
  <c r="U72" i="1" a="1"/>
  <c r="U72" i="1" s="1"/>
  <c r="V72" i="1" s="1"/>
  <c r="U73" i="1" a="1"/>
  <c r="U73" i="1" s="1"/>
  <c r="V73" i="1" s="1"/>
  <c r="U74" i="1" a="1"/>
  <c r="U74" i="1" s="1"/>
  <c r="V74" i="1" s="1"/>
  <c r="U75" i="1" a="1"/>
  <c r="U75" i="1" s="1"/>
  <c r="U76" i="1" a="1"/>
  <c r="U76" i="1" s="1"/>
  <c r="V76" i="1" s="1"/>
  <c r="U77" i="1" a="1"/>
  <c r="U77" i="1" s="1"/>
  <c r="V77" i="1" s="1"/>
  <c r="U78" i="1" a="1"/>
  <c r="U78" i="1" s="1"/>
  <c r="V78" i="1" s="1"/>
  <c r="U79" i="1" a="1"/>
  <c r="U79" i="1" s="1"/>
  <c r="U80" i="1" a="1"/>
  <c r="U80" i="1" s="1"/>
  <c r="U81" i="1" a="1"/>
  <c r="U81" i="1" s="1"/>
  <c r="U82" i="1" a="1"/>
  <c r="U82" i="1" s="1"/>
  <c r="U83" i="1" a="1"/>
  <c r="U83" i="1" s="1"/>
  <c r="U84" i="1" a="1"/>
  <c r="U84" i="1" s="1"/>
  <c r="V84" i="1" s="1"/>
  <c r="U85" i="1" a="1"/>
  <c r="U85" i="1" s="1"/>
  <c r="U86" i="1" a="1"/>
  <c r="U86" i="1" s="1"/>
  <c r="V86" i="1" s="1"/>
  <c r="U87" i="1" a="1"/>
  <c r="U87" i="1" s="1"/>
  <c r="U88" i="1" a="1"/>
  <c r="U88" i="1" s="1"/>
  <c r="U89" i="1" a="1"/>
  <c r="U89" i="1" s="1"/>
  <c r="V89" i="1" s="1"/>
  <c r="U90" i="1" a="1"/>
  <c r="U90" i="1" s="1"/>
  <c r="V90" i="1" s="1"/>
  <c r="U91" i="1" a="1"/>
  <c r="U91" i="1" s="1"/>
  <c r="U92" i="1" a="1"/>
  <c r="U92" i="1" s="1"/>
  <c r="V92" i="1" s="1"/>
  <c r="U93" i="1" a="1"/>
  <c r="U93" i="1" s="1"/>
  <c r="V93" i="1" s="1"/>
  <c r="U94" i="1" a="1"/>
  <c r="U94" i="1" s="1"/>
  <c r="V94" i="1" s="1"/>
  <c r="U95" i="1" a="1"/>
  <c r="U95" i="1" s="1"/>
  <c r="U96" i="1" a="1"/>
  <c r="U96" i="1" s="1"/>
  <c r="U97" i="1" a="1"/>
  <c r="U97" i="1" s="1"/>
  <c r="U98" i="1" a="1"/>
  <c r="U98" i="1" s="1"/>
  <c r="V98" i="1" s="1"/>
  <c r="U99" i="1" a="1"/>
  <c r="U99" i="1" s="1"/>
  <c r="U100" i="1" a="1"/>
  <c r="U100" i="1" s="1"/>
  <c r="V100" i="1" s="1"/>
  <c r="U101" i="1" a="1"/>
  <c r="U101" i="1" s="1"/>
  <c r="V101" i="1" s="1"/>
  <c r="U102" i="1" a="1"/>
  <c r="U102" i="1" s="1"/>
  <c r="V102" i="1" s="1"/>
  <c r="U103" i="1" a="1"/>
  <c r="U103" i="1" s="1"/>
  <c r="U104" i="1" a="1"/>
  <c r="U104" i="1" s="1"/>
  <c r="V104" i="1" s="1"/>
  <c r="U105" i="1" a="1"/>
  <c r="U105" i="1" s="1"/>
  <c r="V105" i="1" s="1"/>
  <c r="U106" i="1" a="1"/>
  <c r="U106" i="1" s="1"/>
  <c r="V106" i="1" s="1"/>
  <c r="U107" i="1" a="1"/>
  <c r="U107" i="1" s="1"/>
  <c r="U108" i="1" a="1"/>
  <c r="U108" i="1" s="1"/>
  <c r="V108" i="1" s="1"/>
  <c r="U109" i="1" a="1"/>
  <c r="U109" i="1" s="1"/>
  <c r="V109" i="1" s="1"/>
  <c r="U110" i="1" a="1"/>
  <c r="U110" i="1" s="1"/>
  <c r="V110" i="1" s="1"/>
  <c r="U111" i="1" a="1"/>
  <c r="U111" i="1" s="1"/>
  <c r="U112" i="1" a="1"/>
  <c r="U112" i="1" s="1"/>
  <c r="V112" i="1" s="1"/>
  <c r="U113" i="1" a="1"/>
  <c r="U113" i="1" s="1"/>
  <c r="V113" i="1" s="1"/>
  <c r="U114" i="1" a="1"/>
  <c r="U114" i="1" s="1"/>
  <c r="V114" i="1" s="1"/>
  <c r="U115" i="1" a="1"/>
  <c r="U115" i="1" s="1"/>
  <c r="U116" i="1" a="1"/>
  <c r="U116" i="1" s="1"/>
  <c r="V116" i="1" s="1"/>
  <c r="U117" i="1" a="1"/>
  <c r="U117" i="1" s="1"/>
  <c r="V117" i="1" s="1"/>
  <c r="U118" i="1" a="1"/>
  <c r="U118" i="1" s="1"/>
  <c r="V118" i="1" s="1"/>
  <c r="U119" i="1" a="1"/>
  <c r="U119" i="1" s="1"/>
  <c r="U120" i="1" a="1"/>
  <c r="U120" i="1" s="1"/>
  <c r="V120" i="1" s="1"/>
  <c r="U121" i="1" a="1"/>
  <c r="U121" i="1" s="1"/>
  <c r="V121" i="1" s="1"/>
  <c r="U122" i="1" a="1"/>
  <c r="U122" i="1" s="1"/>
  <c r="V122" i="1" s="1"/>
  <c r="U123" i="1" a="1"/>
  <c r="U123" i="1" s="1"/>
  <c r="U124" i="1" a="1"/>
  <c r="U124" i="1" s="1"/>
  <c r="V124" i="1" s="1"/>
  <c r="U125" i="1" a="1"/>
  <c r="U125" i="1" s="1"/>
  <c r="V125" i="1" s="1"/>
  <c r="U126" i="1" a="1"/>
  <c r="U126" i="1" s="1"/>
  <c r="V126" i="1" s="1"/>
  <c r="U127" i="1" a="1"/>
  <c r="U127" i="1" s="1"/>
  <c r="U128" i="1" a="1"/>
  <c r="U128" i="1" s="1"/>
  <c r="V128" i="1" s="1"/>
  <c r="U129" i="1" a="1"/>
  <c r="U129" i="1" s="1"/>
  <c r="V129" i="1" s="1"/>
  <c r="U130" i="1" a="1"/>
  <c r="U130" i="1" s="1"/>
  <c r="V130" i="1" s="1"/>
  <c r="U131" i="1" a="1"/>
  <c r="U131" i="1" s="1"/>
  <c r="U132" i="1" a="1"/>
  <c r="U132" i="1" s="1"/>
  <c r="V132" i="1" s="1"/>
  <c r="U133" i="1" a="1"/>
  <c r="U133" i="1" s="1"/>
  <c r="V133" i="1" s="1"/>
  <c r="U134" i="1" a="1"/>
  <c r="U134" i="1" s="1"/>
  <c r="V134" i="1" s="1"/>
  <c r="U135" i="1" a="1"/>
  <c r="U135" i="1" s="1"/>
  <c r="U136" i="1" a="1"/>
  <c r="U136" i="1" s="1"/>
  <c r="V136" i="1" s="1"/>
  <c r="U137" i="1" a="1"/>
  <c r="U137" i="1" s="1"/>
  <c r="V137" i="1" s="1"/>
  <c r="U138" i="1" a="1"/>
  <c r="U138" i="1" s="1"/>
  <c r="V138" i="1" s="1"/>
  <c r="U139" i="1" a="1"/>
  <c r="U139" i="1" s="1"/>
  <c r="U140" i="1" a="1"/>
  <c r="U140" i="1" s="1"/>
  <c r="V140" i="1" s="1"/>
  <c r="U141" i="1" a="1"/>
  <c r="U141" i="1" s="1"/>
  <c r="V141" i="1" s="1"/>
  <c r="U142" i="1" a="1"/>
  <c r="U142" i="1" s="1"/>
  <c r="V142" i="1" s="1"/>
  <c r="U143" i="1" a="1"/>
  <c r="U143" i="1" s="1"/>
  <c r="U144" i="1" a="1"/>
  <c r="U144" i="1" s="1"/>
  <c r="V144" i="1" s="1"/>
  <c r="U145" i="1" a="1"/>
  <c r="U145" i="1" s="1"/>
  <c r="V145" i="1" s="1"/>
  <c r="U146" i="1" a="1"/>
  <c r="U146" i="1" s="1"/>
  <c r="U147" i="1" a="1"/>
  <c r="U147" i="1" s="1"/>
  <c r="U148" i="1" a="1"/>
  <c r="U148" i="1" s="1"/>
  <c r="V148" i="1" s="1"/>
  <c r="U149" i="1" a="1"/>
  <c r="U149" i="1" s="1"/>
  <c r="V149" i="1" s="1"/>
  <c r="U150" i="1" a="1"/>
  <c r="U150" i="1" s="1"/>
  <c r="U151" i="1" a="1"/>
  <c r="U151" i="1" s="1"/>
  <c r="U152" i="1" a="1"/>
  <c r="U152" i="1" s="1"/>
  <c r="V152" i="1" s="1"/>
  <c r="U153" i="1" a="1"/>
  <c r="U153" i="1" s="1"/>
  <c r="V153" i="1" s="1"/>
  <c r="U154" i="1" a="1"/>
  <c r="U154" i="1" s="1"/>
  <c r="U155" i="1" a="1"/>
  <c r="U155" i="1" s="1"/>
  <c r="U156" i="1" a="1"/>
  <c r="U156" i="1" s="1"/>
  <c r="V156" i="1" s="1"/>
  <c r="U157" i="1" a="1"/>
  <c r="U157" i="1" s="1"/>
  <c r="V157" i="1" s="1"/>
  <c r="U158" i="1" a="1"/>
  <c r="U158" i="1" s="1"/>
  <c r="V158" i="1" s="1"/>
  <c r="U159" i="1" a="1"/>
  <c r="U159" i="1" s="1"/>
  <c r="U160" i="1" a="1"/>
  <c r="U160" i="1" s="1"/>
  <c r="U161" i="1" a="1"/>
  <c r="U161" i="1" s="1"/>
  <c r="U162" i="1" a="1"/>
  <c r="U162" i="1" s="1"/>
  <c r="V162" i="1" s="1"/>
  <c r="U163" i="1" a="1"/>
  <c r="U163" i="1" s="1"/>
  <c r="U164" i="1" a="1"/>
  <c r="U164" i="1" s="1"/>
  <c r="U165" i="1" a="1"/>
  <c r="U165" i="1" s="1"/>
  <c r="V165" i="1" s="1"/>
  <c r="U166" i="1" a="1"/>
  <c r="U166" i="1" s="1"/>
  <c r="V166" i="1" s="1"/>
  <c r="U167" i="1" a="1"/>
  <c r="U167" i="1" s="1"/>
  <c r="U168" i="1" a="1"/>
  <c r="U168" i="1" s="1"/>
  <c r="U169" i="1" a="1"/>
  <c r="U169" i="1" s="1"/>
  <c r="V169" i="1" s="1"/>
  <c r="U170" i="1" a="1"/>
  <c r="U170" i="1" s="1"/>
  <c r="V170" i="1" s="1"/>
  <c r="U171" i="1" a="1"/>
  <c r="U171" i="1" s="1"/>
  <c r="U172" i="1" a="1"/>
  <c r="U172" i="1" s="1"/>
  <c r="V172" i="1" s="1"/>
  <c r="U173" i="1" a="1"/>
  <c r="U173" i="1" s="1"/>
  <c r="V173" i="1" s="1"/>
  <c r="U174" i="1" a="1"/>
  <c r="U174" i="1" s="1"/>
  <c r="V174" i="1" s="1"/>
  <c r="U175" i="1" a="1"/>
  <c r="U175" i="1" s="1"/>
  <c r="U176" i="1" a="1"/>
  <c r="U176" i="1" s="1"/>
  <c r="V176" i="1" s="1"/>
  <c r="U177" i="1" a="1"/>
  <c r="U177" i="1" s="1"/>
  <c r="V177" i="1" s="1"/>
  <c r="U178" i="1" a="1"/>
  <c r="U178" i="1" s="1"/>
  <c r="U179" i="1" a="1"/>
  <c r="U179" i="1" s="1"/>
  <c r="U180" i="1" a="1"/>
  <c r="U180" i="1" s="1"/>
  <c r="V180" i="1" s="1"/>
  <c r="U181" i="1" a="1"/>
  <c r="U181" i="1" s="1"/>
  <c r="U182" i="1" a="1"/>
  <c r="U182" i="1" s="1"/>
  <c r="V182" i="1" s="1"/>
  <c r="U183" i="1" a="1"/>
  <c r="U183" i="1" s="1"/>
  <c r="U184" i="1" a="1"/>
  <c r="U184" i="1" s="1"/>
  <c r="V184" i="1" s="1"/>
  <c r="U185" i="1" a="1"/>
  <c r="U185" i="1" s="1"/>
  <c r="V185" i="1" s="1"/>
  <c r="U186" i="1" a="1"/>
  <c r="U186" i="1" s="1"/>
  <c r="V186" i="1" s="1"/>
  <c r="U187" i="1" a="1"/>
  <c r="U187" i="1" s="1"/>
  <c r="U188" i="1" a="1"/>
  <c r="U188" i="1" s="1"/>
  <c r="V188" i="1" s="1"/>
  <c r="U189" i="1" a="1"/>
  <c r="U189" i="1" s="1"/>
  <c r="V189" i="1" s="1"/>
  <c r="U190" i="1" a="1"/>
  <c r="U190" i="1" s="1"/>
  <c r="V190" i="1" s="1"/>
  <c r="U191" i="1" a="1"/>
  <c r="U191" i="1" s="1"/>
  <c r="U192" i="1" a="1"/>
  <c r="U192" i="1" s="1"/>
  <c r="V192" i="1" s="1"/>
  <c r="U193" i="1" a="1"/>
  <c r="U193" i="1" s="1"/>
  <c r="V193" i="1" s="1"/>
  <c r="U194" i="1" a="1"/>
  <c r="U194" i="1" s="1"/>
  <c r="V194" i="1" s="1"/>
  <c r="U195" i="1" a="1"/>
  <c r="U195" i="1" s="1"/>
  <c r="U196" i="1" a="1"/>
  <c r="U196" i="1" s="1"/>
  <c r="V196" i="1" s="1"/>
  <c r="U197" i="1" a="1"/>
  <c r="U197" i="1" s="1"/>
  <c r="V197" i="1" s="1"/>
  <c r="U198" i="1" a="1"/>
  <c r="U198" i="1" s="1"/>
  <c r="V198" i="1" s="1"/>
  <c r="U199" i="1" a="1"/>
  <c r="U199" i="1" s="1"/>
  <c r="U200" i="1" a="1"/>
  <c r="U200" i="1" s="1"/>
  <c r="V200" i="1" s="1"/>
  <c r="U201" i="1" a="1"/>
  <c r="U201" i="1" s="1"/>
  <c r="V201" i="1" s="1"/>
  <c r="U202" i="1" a="1"/>
  <c r="U202" i="1" s="1"/>
  <c r="V202" i="1" s="1"/>
  <c r="U203" i="1" a="1"/>
  <c r="U203" i="1" s="1"/>
  <c r="U204" i="1" a="1"/>
  <c r="U204" i="1" s="1"/>
  <c r="V204" i="1" s="1"/>
  <c r="U205" i="1" a="1"/>
  <c r="U205" i="1" s="1"/>
  <c r="V205" i="1" s="1"/>
  <c r="U206" i="1" a="1"/>
  <c r="U206" i="1" s="1"/>
  <c r="U207" i="1" a="1"/>
  <c r="U207" i="1" s="1"/>
  <c r="U208" i="1" a="1"/>
  <c r="U208" i="1" s="1"/>
  <c r="V208" i="1" s="1"/>
  <c r="U209" i="1" a="1"/>
  <c r="U209" i="1" s="1"/>
  <c r="U210" i="1" a="1"/>
  <c r="U210" i="1" s="1"/>
  <c r="V210" i="1" s="1"/>
  <c r="U211" i="1" a="1"/>
  <c r="U211" i="1" s="1"/>
  <c r="U212" i="1" a="1"/>
  <c r="U212" i="1" s="1"/>
  <c r="V212" i="1" s="1"/>
  <c r="U213" i="1" a="1"/>
  <c r="U213" i="1" s="1"/>
  <c r="V213" i="1" s="1"/>
  <c r="U214" i="1" a="1"/>
  <c r="U214" i="1" s="1"/>
  <c r="V214" i="1" s="1"/>
  <c r="U215" i="1" a="1"/>
  <c r="U215" i="1" s="1"/>
  <c r="U216" i="1" a="1"/>
  <c r="U216" i="1" s="1"/>
  <c r="V216" i="1" s="1"/>
  <c r="U217" i="1" a="1"/>
  <c r="U217" i="1" s="1"/>
  <c r="V217" i="1" s="1"/>
  <c r="U218" i="1" a="1"/>
  <c r="U218" i="1" s="1"/>
  <c r="V218" i="1" s="1"/>
  <c r="U219" i="1" a="1"/>
  <c r="U219" i="1" s="1"/>
  <c r="U220" i="1" a="1"/>
  <c r="U220" i="1" s="1"/>
  <c r="V220" i="1" s="1"/>
  <c r="U221" i="1" a="1"/>
  <c r="U221" i="1" s="1"/>
  <c r="V221" i="1" s="1"/>
  <c r="U222" i="1" a="1"/>
  <c r="U222" i="1" s="1"/>
  <c r="V222" i="1" s="1"/>
  <c r="U223" i="1" a="1"/>
  <c r="U223" i="1" s="1"/>
  <c r="U224" i="1" a="1"/>
  <c r="U224" i="1" s="1"/>
  <c r="V224" i="1" s="1"/>
  <c r="U225" i="1" a="1"/>
  <c r="U225" i="1" s="1"/>
  <c r="V225" i="1" s="1"/>
  <c r="U226" i="1" a="1"/>
  <c r="U226" i="1" s="1"/>
  <c r="U227" i="1" a="1"/>
  <c r="U227" i="1" s="1"/>
  <c r="U228" i="1" a="1"/>
  <c r="U228" i="1" s="1"/>
  <c r="V228" i="1" s="1"/>
  <c r="U229" i="1" a="1"/>
  <c r="U229" i="1" s="1"/>
  <c r="V229" i="1" s="1"/>
  <c r="U230" i="1" a="1"/>
  <c r="U230" i="1" s="1"/>
  <c r="V230" i="1" s="1"/>
  <c r="U231" i="1" a="1"/>
  <c r="U231" i="1" s="1"/>
  <c r="U232" i="1" a="1"/>
  <c r="U232" i="1" s="1"/>
  <c r="U233" i="1" a="1"/>
  <c r="U233" i="1" s="1"/>
  <c r="V233" i="1" s="1"/>
  <c r="U234" i="1" a="1"/>
  <c r="U234" i="1" s="1"/>
  <c r="V234" i="1" s="1"/>
  <c r="U235" i="1" a="1"/>
  <c r="U235" i="1" s="1"/>
  <c r="U236" i="1" a="1"/>
  <c r="U236" i="1" s="1"/>
  <c r="V236" i="1" s="1"/>
  <c r="U237" i="1" a="1"/>
  <c r="U237" i="1" s="1"/>
  <c r="V237" i="1" s="1"/>
  <c r="U238" i="1" a="1"/>
  <c r="U238" i="1" s="1"/>
  <c r="U239" i="1" a="1"/>
  <c r="U239" i="1" s="1"/>
  <c r="U240" i="1" a="1"/>
  <c r="U240" i="1" s="1"/>
  <c r="V240" i="1" s="1"/>
  <c r="U241" i="1" a="1"/>
  <c r="U241" i="1" s="1"/>
  <c r="V241" i="1" s="1"/>
  <c r="U242" i="1" a="1"/>
  <c r="U242" i="1" s="1"/>
  <c r="U243" i="1" a="1"/>
  <c r="U243" i="1" s="1"/>
  <c r="U244" i="1" a="1"/>
  <c r="U244" i="1" s="1"/>
  <c r="V244" i="1" s="1"/>
  <c r="U245" i="1" a="1"/>
  <c r="U245" i="1" s="1"/>
  <c r="U246" i="1" a="1"/>
  <c r="U246" i="1" s="1"/>
  <c r="U247" i="1" a="1"/>
  <c r="U247" i="1" s="1"/>
  <c r="U248" i="1" a="1"/>
  <c r="U248" i="1" s="1"/>
  <c r="V248" i="1" s="1"/>
  <c r="U249" i="1" a="1"/>
  <c r="U249" i="1" s="1"/>
  <c r="V249" i="1" s="1"/>
  <c r="U250" i="1" a="1"/>
  <c r="U250" i="1" s="1"/>
  <c r="V250" i="1" s="1"/>
  <c r="U251" i="1" a="1"/>
  <c r="U251" i="1" s="1"/>
  <c r="U252" i="1" a="1"/>
  <c r="U252" i="1" s="1"/>
  <c r="U253" i="1" a="1"/>
  <c r="U253" i="1" s="1"/>
  <c r="U254" i="1" a="1"/>
  <c r="U254" i="1" s="1"/>
  <c r="V254" i="1" s="1"/>
  <c r="U255" i="1" a="1"/>
  <c r="U255" i="1" s="1"/>
  <c r="U256" i="1" a="1"/>
  <c r="U256" i="1" s="1"/>
  <c r="V256" i="1" s="1"/>
  <c r="U257" i="1" a="1"/>
  <c r="U257" i="1" s="1"/>
  <c r="V257" i="1" s="1"/>
  <c r="U258" i="1" a="1"/>
  <c r="U258" i="1" s="1"/>
  <c r="U259" i="1" a="1"/>
  <c r="U259" i="1" s="1"/>
  <c r="U260" i="1" a="1"/>
  <c r="U260" i="1" s="1"/>
  <c r="V260" i="1" s="1"/>
  <c r="U261" i="1" a="1"/>
  <c r="U261" i="1" s="1"/>
  <c r="V261" i="1" s="1"/>
  <c r="U262" i="1" a="1"/>
  <c r="U262" i="1" s="1"/>
  <c r="V262" i="1" s="1"/>
  <c r="U263" i="1" a="1"/>
  <c r="U263" i="1" s="1"/>
  <c r="U264" i="1" a="1"/>
  <c r="U264" i="1" s="1"/>
  <c r="U265" i="1" a="1"/>
  <c r="U265" i="1" s="1"/>
  <c r="U266" i="1" a="1"/>
  <c r="U266" i="1" s="1"/>
  <c r="V266" i="1" s="1"/>
  <c r="U267" i="1" a="1"/>
  <c r="U267" i="1" s="1"/>
  <c r="U268" i="1" a="1"/>
  <c r="U268" i="1" s="1"/>
  <c r="V268" i="1" s="1"/>
  <c r="U269" i="1" a="1"/>
  <c r="U269" i="1" s="1"/>
  <c r="V269" i="1" s="1"/>
  <c r="U270" i="1" a="1"/>
  <c r="U270" i="1" s="1"/>
  <c r="U271" i="1" a="1"/>
  <c r="U271" i="1" s="1"/>
  <c r="U272" i="1" a="1"/>
  <c r="U272" i="1" s="1"/>
  <c r="V272" i="1" s="1"/>
  <c r="U273" i="1" a="1"/>
  <c r="U273" i="1" s="1"/>
  <c r="U3" i="1" a="1"/>
  <c r="U3" i="1" s="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3"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N4" i="5" l="1" a="1"/>
  <c r="N4" i="5" s="1"/>
  <c r="U4" i="5" a="1"/>
  <c r="U4" i="5" s="1"/>
  <c r="T4" i="5" a="1"/>
  <c r="T4" i="5" s="1"/>
  <c r="V181" i="1"/>
  <c r="J5" i="5"/>
  <c r="L5" i="5"/>
  <c r="M5" i="5"/>
  <c r="D5" i="5"/>
  <c r="F5" i="5"/>
  <c r="O5" i="5"/>
  <c r="G5" i="5"/>
  <c r="I5" i="5"/>
  <c r="R5" i="5"/>
  <c r="Q5" i="5" s="1"/>
  <c r="E5" i="5"/>
  <c r="B6" i="5"/>
  <c r="P6" i="5" s="1"/>
  <c r="C5" i="5"/>
  <c r="V253" i="1"/>
  <c r="V139" i="1"/>
  <c r="V91" i="1"/>
  <c r="V252" i="1"/>
  <c r="V167" i="1"/>
  <c r="V103" i="1"/>
  <c r="Y177" i="1"/>
  <c r="V171" i="1"/>
  <c r="Y79" i="1"/>
  <c r="V155" i="1"/>
  <c r="V219" i="1"/>
  <c r="V107" i="1"/>
  <c r="V27" i="1"/>
  <c r="Y55" i="1"/>
  <c r="Y3" i="1"/>
  <c r="V71" i="1"/>
  <c r="Y272" i="1"/>
  <c r="Y264" i="1"/>
  <c r="Y256" i="1"/>
  <c r="Y248" i="1"/>
  <c r="Y240" i="1"/>
  <c r="Y224" i="1"/>
  <c r="Y217" i="1"/>
  <c r="Y201" i="1"/>
  <c r="Y193" i="1"/>
  <c r="Y185" i="1"/>
  <c r="Y170" i="1"/>
  <c r="V163" i="1"/>
  <c r="Y163" i="1"/>
  <c r="Y155" i="1"/>
  <c r="Y148" i="1"/>
  <c r="Y140" i="1"/>
  <c r="Y133" i="1"/>
  <c r="Y125" i="1"/>
  <c r="Y117" i="1"/>
  <c r="Y109" i="1"/>
  <c r="Y95" i="1"/>
  <c r="Y72" i="1"/>
  <c r="Y66" i="1"/>
  <c r="Y58" i="1"/>
  <c r="Y42" i="1"/>
  <c r="Y34" i="1"/>
  <c r="Y19" i="1"/>
  <c r="Y11" i="1"/>
  <c r="V263" i="1"/>
  <c r="Y263" i="1"/>
  <c r="Y255" i="1"/>
  <c r="Y247" i="1"/>
  <c r="Y239" i="1"/>
  <c r="Y231" i="1"/>
  <c r="V231" i="1"/>
  <c r="Y223" i="1"/>
  <c r="Y216" i="1"/>
  <c r="Y208" i="1"/>
  <c r="Y200" i="1"/>
  <c r="Y192" i="1"/>
  <c r="Y184" i="1"/>
  <c r="Y176" i="1"/>
  <c r="Y169" i="1"/>
  <c r="Y162" i="1"/>
  <c r="V147" i="1"/>
  <c r="Y147" i="1"/>
  <c r="Y139" i="1"/>
  <c r="Y132" i="1"/>
  <c r="Y124" i="1"/>
  <c r="Y116" i="1"/>
  <c r="Y108" i="1"/>
  <c r="Y102" i="1"/>
  <c r="Y94" i="1"/>
  <c r="Y87" i="1"/>
  <c r="Y71" i="1"/>
  <c r="Y65" i="1"/>
  <c r="Y57" i="1"/>
  <c r="Y41" i="1"/>
  <c r="Y33" i="1"/>
  <c r="Y18" i="1"/>
  <c r="Y10" i="1"/>
  <c r="Y262" i="1"/>
  <c r="Y254" i="1"/>
  <c r="Y230" i="1"/>
  <c r="Y222" i="1"/>
  <c r="Y207" i="1"/>
  <c r="Y199" i="1"/>
  <c r="V199" i="1"/>
  <c r="Y191" i="1"/>
  <c r="Y183" i="1"/>
  <c r="Y175" i="1"/>
  <c r="V131" i="1"/>
  <c r="Y131" i="1"/>
  <c r="V123" i="1"/>
  <c r="Y123" i="1"/>
  <c r="Y107" i="1"/>
  <c r="Y101" i="1"/>
  <c r="Y93" i="1"/>
  <c r="Y86" i="1"/>
  <c r="Y78" i="1"/>
  <c r="Y64" i="1"/>
  <c r="Y56" i="1"/>
  <c r="Y48" i="1"/>
  <c r="Y40" i="1"/>
  <c r="Y32" i="1"/>
  <c r="Y17" i="1"/>
  <c r="Y9" i="1"/>
  <c r="Y269" i="1"/>
  <c r="Y261" i="1"/>
  <c r="Y245" i="1"/>
  <c r="Y237" i="1"/>
  <c r="Y229" i="1"/>
  <c r="Y221" i="1"/>
  <c r="Y214" i="1"/>
  <c r="Y198" i="1"/>
  <c r="Y190" i="1"/>
  <c r="Y182" i="1"/>
  <c r="Y174" i="1"/>
  <c r="Y167" i="1"/>
  <c r="Y153" i="1"/>
  <c r="Y145" i="1"/>
  <c r="Y138" i="1"/>
  <c r="Y130" i="1"/>
  <c r="Y122" i="1"/>
  <c r="Y114" i="1"/>
  <c r="Y100" i="1"/>
  <c r="Y92" i="1"/>
  <c r="Y77" i="1"/>
  <c r="Y63" i="1"/>
  <c r="Y47" i="1"/>
  <c r="Y39" i="1"/>
  <c r="V39" i="1"/>
  <c r="Y24" i="1"/>
  <c r="Y8" i="1"/>
  <c r="Y268" i="1"/>
  <c r="Y260" i="1"/>
  <c r="Y244" i="1"/>
  <c r="Y236" i="1"/>
  <c r="Y228" i="1"/>
  <c r="Y220" i="1"/>
  <c r="Y213" i="1"/>
  <c r="Y205" i="1"/>
  <c r="Y197" i="1"/>
  <c r="Y189" i="1"/>
  <c r="Y181" i="1"/>
  <c r="Y173" i="1"/>
  <c r="Y159" i="1"/>
  <c r="Y152" i="1"/>
  <c r="Y144" i="1"/>
  <c r="Y137" i="1"/>
  <c r="Y129" i="1"/>
  <c r="Y121" i="1"/>
  <c r="Y113" i="1"/>
  <c r="Y106" i="1"/>
  <c r="V99" i="1"/>
  <c r="Y99" i="1"/>
  <c r="Y91" i="1"/>
  <c r="Y84" i="1"/>
  <c r="Y76" i="1"/>
  <c r="Y69" i="1"/>
  <c r="Y62" i="1"/>
  <c r="Y54" i="1"/>
  <c r="Y46" i="1"/>
  <c r="Y38" i="1"/>
  <c r="Y23" i="1"/>
  <c r="Y15" i="1"/>
  <c r="Y7" i="1"/>
  <c r="Y267" i="1"/>
  <c r="Y259" i="1"/>
  <c r="Y243" i="1"/>
  <c r="V235" i="1"/>
  <c r="Y235" i="1"/>
  <c r="Y227" i="1"/>
  <c r="Y219" i="1"/>
  <c r="Y212" i="1"/>
  <c r="Y204" i="1"/>
  <c r="Y196" i="1"/>
  <c r="Y188" i="1"/>
  <c r="Y180" i="1"/>
  <c r="Y172" i="1"/>
  <c r="Y166" i="1"/>
  <c r="Y158" i="1"/>
  <c r="Y151" i="1"/>
  <c r="Y143" i="1"/>
  <c r="Y136" i="1"/>
  <c r="Y128" i="1"/>
  <c r="Y120" i="1"/>
  <c r="Y112" i="1"/>
  <c r="Y105" i="1"/>
  <c r="Y98" i="1"/>
  <c r="Y83" i="1"/>
  <c r="Y75" i="1"/>
  <c r="Y61" i="1"/>
  <c r="Y53" i="1"/>
  <c r="Y45" i="1"/>
  <c r="Y37" i="1"/>
  <c r="Y29" i="1"/>
  <c r="Y22" i="1"/>
  <c r="Y14" i="1"/>
  <c r="Y6" i="1"/>
  <c r="Y266" i="1"/>
  <c r="Y250" i="1"/>
  <c r="Y234" i="1"/>
  <c r="Y226" i="1"/>
  <c r="Y211" i="1"/>
  <c r="V203" i="1"/>
  <c r="Y203" i="1"/>
  <c r="V195" i="1"/>
  <c r="Y195" i="1"/>
  <c r="V179" i="1"/>
  <c r="Y179" i="1"/>
  <c r="Y171" i="1"/>
  <c r="Y165" i="1"/>
  <c r="Y157" i="1"/>
  <c r="Y142" i="1"/>
  <c r="Y127" i="1"/>
  <c r="Y111" i="1"/>
  <c r="Y104" i="1"/>
  <c r="Y90" i="1"/>
  <c r="Y74" i="1"/>
  <c r="Y67" i="1"/>
  <c r="Y60" i="1"/>
  <c r="Y52" i="1"/>
  <c r="Y44" i="1"/>
  <c r="Y36" i="1"/>
  <c r="Y28" i="1"/>
  <c r="Y21" i="1"/>
  <c r="Y13" i="1"/>
  <c r="Y5" i="1"/>
  <c r="Y265" i="1"/>
  <c r="Y257" i="1"/>
  <c r="Y249" i="1"/>
  <c r="Y241" i="1"/>
  <c r="Y233" i="1"/>
  <c r="Y225" i="1"/>
  <c r="Y218" i="1"/>
  <c r="Y210" i="1"/>
  <c r="Y202" i="1"/>
  <c r="Y194" i="1"/>
  <c r="Y186" i="1"/>
  <c r="Y156" i="1"/>
  <c r="Y149" i="1"/>
  <c r="Y141" i="1"/>
  <c r="Y134" i="1"/>
  <c r="Y126" i="1"/>
  <c r="Y118" i="1"/>
  <c r="Y110" i="1"/>
  <c r="Y103" i="1"/>
  <c r="Y89" i="1"/>
  <c r="Y73" i="1"/>
  <c r="Y59" i="1"/>
  <c r="Y51" i="1"/>
  <c r="Y43" i="1"/>
  <c r="Y35" i="1"/>
  <c r="Y27" i="1"/>
  <c r="Y20" i="1"/>
  <c r="Y12" i="1"/>
  <c r="Y4" i="1"/>
  <c r="V49" i="1"/>
  <c r="Y187" i="1"/>
  <c r="V258" i="1"/>
  <c r="V135" i="1"/>
  <c r="Y258" i="1"/>
  <c r="Y154" i="1"/>
  <c r="Y273" i="1"/>
  <c r="Y49" i="1"/>
  <c r="V226" i="1"/>
  <c r="V31" i="1"/>
  <c r="Y160" i="1"/>
  <c r="Y135" i="1"/>
  <c r="Y31" i="1"/>
  <c r="V51" i="1"/>
  <c r="V227" i="1"/>
  <c r="V191" i="1"/>
  <c r="V63" i="1"/>
  <c r="V255" i="1"/>
  <c r="V211" i="1"/>
  <c r="V183" i="1"/>
  <c r="V127" i="1"/>
  <c r="V55" i="1"/>
  <c r="V47" i="1"/>
  <c r="V247" i="1"/>
  <c r="V239" i="1"/>
  <c r="V175" i="1"/>
  <c r="V119" i="1"/>
  <c r="V111" i="1"/>
  <c r="V83" i="1"/>
  <c r="V75" i="1"/>
  <c r="V223" i="1"/>
  <c r="V259" i="1"/>
  <c r="V215" i="1"/>
  <c r="V207" i="1"/>
  <c r="V159" i="1"/>
  <c r="V95" i="1"/>
  <c r="V43" i="1"/>
  <c r="V243" i="1"/>
  <c r="V151" i="1"/>
  <c r="V115" i="1"/>
  <c r="V87" i="1"/>
  <c r="V79" i="1"/>
  <c r="V35" i="1"/>
  <c r="V271" i="1"/>
  <c r="V143" i="1"/>
  <c r="V264" i="1"/>
  <c r="V251" i="1"/>
  <c r="V245" i="1"/>
  <c r="V265" i="1"/>
  <c r="V267" i="1"/>
  <c r="V17" i="1"/>
  <c r="V9" i="1"/>
  <c r="V24" i="1"/>
  <c r="V23" i="1"/>
  <c r="V15" i="1"/>
  <c r="V7" i="1"/>
  <c r="V22" i="1"/>
  <c r="V14" i="1"/>
  <c r="V21" i="1"/>
  <c r="V13" i="1"/>
  <c r="V12" i="1"/>
  <c r="V5" i="1"/>
  <c r="V19" i="1"/>
  <c r="V11" i="1"/>
  <c r="V20" i="1"/>
  <c r="V18" i="1"/>
  <c r="V10" i="1"/>
  <c r="V3" i="1"/>
  <c r="V25" i="1"/>
  <c r="V16" i="1"/>
  <c r="A102" i="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N5" i="5" l="1" a="1"/>
  <c r="N5" i="5" s="1"/>
  <c r="U5" i="5" a="1"/>
  <c r="U5" i="5" s="1"/>
  <c r="T5" i="5" a="1"/>
  <c r="T5" i="5" s="1"/>
  <c r="D6" i="5"/>
  <c r="E6" i="5"/>
  <c r="F6" i="5"/>
  <c r="O6" i="5"/>
  <c r="G6" i="5"/>
  <c r="J6" i="5"/>
  <c r="L6" i="5"/>
  <c r="M6" i="5"/>
  <c r="I6" i="5"/>
  <c r="R6" i="5"/>
  <c r="Q6" i="5" s="1"/>
  <c r="B7" i="5"/>
  <c r="P7" i="5" s="1"/>
  <c r="C6" i="5"/>
  <c r="N6" i="5" l="1" a="1"/>
  <c r="N6" i="5" s="1"/>
  <c r="U6" i="5" a="1"/>
  <c r="U6" i="5" s="1"/>
  <c r="T6" i="5" a="1"/>
  <c r="T6" i="5" s="1"/>
  <c r="G7" i="5"/>
  <c r="R7" i="5"/>
  <c r="Q7" i="5" s="1"/>
  <c r="I7" i="5"/>
  <c r="J7" i="5"/>
  <c r="L7" i="5"/>
  <c r="D7" i="5"/>
  <c r="E7" i="5"/>
  <c r="O7" i="5"/>
  <c r="F7" i="5"/>
  <c r="M7" i="5"/>
  <c r="B8" i="5"/>
  <c r="P8" i="5" s="1"/>
  <c r="C7" i="5"/>
  <c r="N7" i="5" l="1" a="1"/>
  <c r="N7" i="5" s="1"/>
  <c r="T7" i="5" a="1"/>
  <c r="T7" i="5" s="1"/>
  <c r="M8" i="5"/>
  <c r="D8" i="5"/>
  <c r="E8" i="5"/>
  <c r="O8" i="5"/>
  <c r="F8" i="5"/>
  <c r="I8" i="5"/>
  <c r="J8" i="5"/>
  <c r="L8" i="5"/>
  <c r="G8" i="5"/>
  <c r="R8" i="5"/>
  <c r="Q8" i="5" s="1"/>
  <c r="B9" i="5"/>
  <c r="P9" i="5" s="1"/>
  <c r="C8" i="5"/>
  <c r="N8" i="5" l="1" a="1"/>
  <c r="N8" i="5" s="1"/>
  <c r="U8" i="5" a="1"/>
  <c r="U8" i="5" s="1"/>
  <c r="T8" i="5" a="1"/>
  <c r="T8" i="5" s="1"/>
  <c r="G9" i="5"/>
  <c r="R9" i="5"/>
  <c r="Q9" i="5" s="1"/>
  <c r="I9" i="5"/>
  <c r="J9" i="5"/>
  <c r="L9" i="5"/>
  <c r="D9" i="5"/>
  <c r="E9" i="5"/>
  <c r="F9" i="5"/>
  <c r="O9" i="5"/>
  <c r="M9" i="5"/>
  <c r="B10" i="5"/>
  <c r="P10" i="5" s="1"/>
  <c r="C9" i="5"/>
  <c r="N9" i="5" l="1" a="1"/>
  <c r="N9" i="5" s="1"/>
  <c r="T9" i="5" a="1"/>
  <c r="T9" i="5" s="1"/>
  <c r="U9" i="5" a="1"/>
  <c r="U9" i="5" s="1"/>
  <c r="M10" i="5"/>
  <c r="D10" i="5"/>
  <c r="E10" i="5"/>
  <c r="O10" i="5"/>
  <c r="F10" i="5"/>
  <c r="I10" i="5"/>
  <c r="J10" i="5"/>
  <c r="L10" i="5"/>
  <c r="G10" i="5"/>
  <c r="R10" i="5"/>
  <c r="Q10" i="5" s="1"/>
  <c r="B11" i="5"/>
  <c r="P11" i="5" s="1"/>
  <c r="C10" i="5"/>
  <c r="N10" i="5" l="1" a="1"/>
  <c r="N10" i="5" s="1"/>
  <c r="U10" i="5" a="1"/>
  <c r="U10" i="5" s="1"/>
  <c r="T10" i="5" a="1"/>
  <c r="T10" i="5" s="1"/>
  <c r="G11" i="5"/>
  <c r="I11" i="5"/>
  <c r="R11" i="5"/>
  <c r="Q11" i="5" s="1"/>
  <c r="J11" i="5"/>
  <c r="L11" i="5"/>
  <c r="D11" i="5"/>
  <c r="E11" i="5"/>
  <c r="F11" i="5"/>
  <c r="O11" i="5"/>
  <c r="M11" i="5"/>
  <c r="B12" i="5"/>
  <c r="P12" i="5" s="1"/>
  <c r="C11" i="5"/>
  <c r="N11" i="5" l="1" a="1"/>
  <c r="N11" i="5" s="1"/>
  <c r="U11" i="5" a="1"/>
  <c r="U11" i="5" s="1"/>
  <c r="T11" i="5" a="1"/>
  <c r="T11" i="5" s="1"/>
  <c r="L12" i="5"/>
  <c r="M12" i="5"/>
  <c r="D12" i="5"/>
  <c r="E12" i="5"/>
  <c r="G12" i="5"/>
  <c r="I12" i="5"/>
  <c r="R12" i="5"/>
  <c r="Q12" i="5" s="1"/>
  <c r="J12" i="5"/>
  <c r="F12" i="5"/>
  <c r="O12" i="5"/>
  <c r="B13" i="5"/>
  <c r="P13" i="5" s="1"/>
  <c r="C12" i="5"/>
  <c r="N12" i="5" l="1" a="1"/>
  <c r="N12" i="5" s="1"/>
  <c r="U12" i="5" a="1"/>
  <c r="U12" i="5" s="1"/>
  <c r="T12" i="5" a="1"/>
  <c r="T12" i="5" s="1"/>
  <c r="E13" i="5"/>
  <c r="O13" i="5"/>
  <c r="F13" i="5"/>
  <c r="R13" i="5"/>
  <c r="Q13" i="5" s="1"/>
  <c r="G13" i="5"/>
  <c r="I13" i="5"/>
  <c r="L13" i="5"/>
  <c r="M13" i="5"/>
  <c r="D13" i="5"/>
  <c r="J13" i="5"/>
  <c r="B14" i="5"/>
  <c r="P14" i="5" s="1"/>
  <c r="C13" i="5"/>
  <c r="N13" i="5" l="1" a="1"/>
  <c r="N13" i="5" s="1"/>
  <c r="U13" i="5" a="1"/>
  <c r="U13" i="5" s="1"/>
  <c r="T13" i="5" a="1"/>
  <c r="T13" i="5" s="1"/>
  <c r="L14" i="5"/>
  <c r="M14" i="5"/>
  <c r="D14" i="5"/>
  <c r="E14" i="5"/>
  <c r="O14" i="5"/>
  <c r="G14" i="5"/>
  <c r="I14" i="5"/>
  <c r="J14" i="5"/>
  <c r="R14" i="5"/>
  <c r="Q14" i="5" s="1"/>
  <c r="F14" i="5"/>
  <c r="B15" i="5"/>
  <c r="P15" i="5" s="1"/>
  <c r="C14" i="5"/>
  <c r="N14" i="5" l="1" a="1"/>
  <c r="N14" i="5" s="1"/>
  <c r="U14" i="5" a="1"/>
  <c r="U14" i="5" s="1"/>
  <c r="T14" i="5" a="1"/>
  <c r="T14" i="5" s="1"/>
  <c r="G15" i="5"/>
  <c r="I15" i="5"/>
  <c r="R15" i="5"/>
  <c r="Q15" i="5" s="1"/>
  <c r="J15" i="5"/>
  <c r="L15" i="5"/>
  <c r="D15" i="5"/>
  <c r="E15" i="5"/>
  <c r="F15" i="5"/>
  <c r="O15" i="5"/>
  <c r="M15" i="5"/>
  <c r="B16" i="5"/>
  <c r="P16" i="5" s="1"/>
  <c r="C15" i="5"/>
  <c r="N15" i="5" l="1" a="1"/>
  <c r="N15" i="5" s="1"/>
  <c r="U15" i="5" a="1"/>
  <c r="U15" i="5" s="1"/>
  <c r="T15" i="5" a="1"/>
  <c r="T15" i="5" s="1"/>
  <c r="L16" i="5"/>
  <c r="N16" i="5" a="1"/>
  <c r="N16" i="5" s="1"/>
  <c r="D16" i="5"/>
  <c r="E16" i="5"/>
  <c r="G16" i="5"/>
  <c r="O16" i="5"/>
  <c r="I16" i="5"/>
  <c r="J16" i="5"/>
  <c r="R16" i="5"/>
  <c r="Q16" i="5" s="1"/>
  <c r="F16" i="5"/>
  <c r="B17" i="5"/>
  <c r="P17" i="5" s="1"/>
  <c r="C16" i="5"/>
  <c r="D17" i="5" l="1"/>
  <c r="O17" i="5"/>
  <c r="E17" i="5"/>
  <c r="F17" i="5"/>
  <c r="R17" i="5"/>
  <c r="Q17" i="5" s="1"/>
  <c r="G17" i="5"/>
  <c r="J17" i="5"/>
  <c r="L17" i="5"/>
  <c r="M17" i="5"/>
  <c r="I17" i="5"/>
  <c r="B18" i="5"/>
  <c r="P18" i="5" s="1"/>
  <c r="C17" i="5"/>
  <c r="N17" i="5" l="1" a="1"/>
  <c r="N17" i="5" s="1"/>
  <c r="U17" i="5" a="1"/>
  <c r="U17" i="5" s="1"/>
  <c r="T17" i="5" a="1"/>
  <c r="T17" i="5" s="1"/>
  <c r="J18" i="5"/>
  <c r="L18" i="5"/>
  <c r="M18" i="5"/>
  <c r="D18" i="5"/>
  <c r="F18" i="5"/>
  <c r="R18" i="5"/>
  <c r="Q18" i="5" s="1"/>
  <c r="G18" i="5"/>
  <c r="I18" i="5"/>
  <c r="E18" i="5"/>
  <c r="O18" i="5"/>
  <c r="B19" i="5"/>
  <c r="P19" i="5" s="1"/>
  <c r="C18" i="5"/>
  <c r="N18" i="5" l="1" a="1"/>
  <c r="N18" i="5" s="1"/>
  <c r="T18" i="5" a="1"/>
  <c r="T18" i="5" s="1"/>
  <c r="U18" i="5" a="1"/>
  <c r="U18" i="5" s="1"/>
  <c r="F19" i="5"/>
  <c r="G19" i="5"/>
  <c r="O19" i="5"/>
  <c r="I19" i="5"/>
  <c r="J19" i="5"/>
  <c r="R19" i="5"/>
  <c r="Q19" i="5" s="1"/>
  <c r="M19" i="5"/>
  <c r="D19" i="5"/>
  <c r="E19" i="5"/>
  <c r="L19" i="5"/>
  <c r="B20" i="5"/>
  <c r="P20" i="5" s="1"/>
  <c r="C19" i="5"/>
  <c r="N19" i="5" l="1" a="1"/>
  <c r="N19" i="5" s="1"/>
  <c r="T19" i="5" a="1"/>
  <c r="T19" i="5" s="1"/>
  <c r="U19" i="5" a="1"/>
  <c r="U19" i="5" s="1"/>
  <c r="I20" i="5"/>
  <c r="R20" i="5"/>
  <c r="Q20" i="5" s="1"/>
  <c r="J20" i="5"/>
  <c r="L20" i="5"/>
  <c r="M20" i="5"/>
  <c r="E20" i="5"/>
  <c r="F20" i="5"/>
  <c r="O20" i="5"/>
  <c r="G20" i="5"/>
  <c r="D20" i="5"/>
  <c r="B21" i="5"/>
  <c r="P21" i="5" s="1"/>
  <c r="C20" i="5"/>
  <c r="N20" i="5" l="1" a="1"/>
  <c r="N20" i="5" s="1"/>
  <c r="T20" i="5" a="1"/>
  <c r="T20" i="5" s="1"/>
  <c r="U20" i="5" a="1"/>
  <c r="U20" i="5" s="1"/>
  <c r="M21" i="5"/>
  <c r="D21" i="5"/>
  <c r="O21" i="5"/>
  <c r="E21" i="5"/>
  <c r="R21" i="5"/>
  <c r="Q21" i="5" s="1"/>
  <c r="F21" i="5"/>
  <c r="I21" i="5"/>
  <c r="J21" i="5"/>
  <c r="L21" i="5"/>
  <c r="G21" i="5"/>
  <c r="B22" i="5"/>
  <c r="P22" i="5" s="1"/>
  <c r="C21" i="5"/>
  <c r="N21" i="5" l="1" a="1"/>
  <c r="N21" i="5" s="1"/>
  <c r="T21" i="5" a="1"/>
  <c r="T21" i="5" s="1"/>
  <c r="U21" i="5" a="1"/>
  <c r="U21" i="5" s="1"/>
  <c r="J22" i="5"/>
  <c r="L22" i="5"/>
  <c r="M22" i="5"/>
  <c r="D22" i="5"/>
  <c r="F22" i="5"/>
  <c r="R22" i="5"/>
  <c r="Q22" i="5" s="1"/>
  <c r="G22" i="5"/>
  <c r="I22" i="5"/>
  <c r="E22" i="5"/>
  <c r="O22" i="5"/>
  <c r="B23" i="5"/>
  <c r="P23" i="5" s="1"/>
  <c r="C22" i="5"/>
  <c r="N22" i="5" l="1" a="1"/>
  <c r="N22" i="5" s="1"/>
  <c r="T22" i="5" a="1"/>
  <c r="T22" i="5" s="1"/>
  <c r="U22" i="5" a="1"/>
  <c r="U22" i="5" s="1"/>
  <c r="F23" i="5"/>
  <c r="O23" i="5"/>
  <c r="G23" i="5"/>
  <c r="I23" i="5"/>
  <c r="R23" i="5"/>
  <c r="Q23" i="5" s="1"/>
  <c r="J23" i="5"/>
  <c r="M23" i="5"/>
  <c r="D23" i="5"/>
  <c r="E23" i="5"/>
  <c r="L23" i="5"/>
  <c r="B24" i="5"/>
  <c r="P24" i="5" s="1"/>
  <c r="C23" i="5"/>
  <c r="N23" i="5" l="1" a="1"/>
  <c r="N23" i="5" s="1"/>
  <c r="T23" i="5" a="1"/>
  <c r="T23" i="5" s="1"/>
  <c r="U23" i="5" a="1"/>
  <c r="U23" i="5" s="1"/>
  <c r="J24" i="5"/>
  <c r="R24" i="5"/>
  <c r="Q24" i="5" s="1"/>
  <c r="L24" i="5"/>
  <c r="M24" i="5"/>
  <c r="D24" i="5"/>
  <c r="F24" i="5"/>
  <c r="G24" i="5"/>
  <c r="O24" i="5"/>
  <c r="I24" i="5"/>
  <c r="E24" i="5"/>
  <c r="B25" i="5"/>
  <c r="P25" i="5" s="1"/>
  <c r="C24" i="5"/>
  <c r="N24" i="5" l="1" a="1"/>
  <c r="N24" i="5" s="1"/>
  <c r="U24" i="5" a="1"/>
  <c r="U24" i="5" s="1"/>
  <c r="T24" i="5" a="1"/>
  <c r="T24" i="5" s="1"/>
  <c r="N25" i="5" a="1"/>
  <c r="N25" i="5" s="1"/>
  <c r="D25" i="5"/>
  <c r="O25" i="5"/>
  <c r="E25" i="5"/>
  <c r="F25" i="5"/>
  <c r="R25" i="5"/>
  <c r="Q25" i="5" s="1"/>
  <c r="I25" i="5"/>
  <c r="J25" i="5"/>
  <c r="L25" i="5"/>
  <c r="G25" i="5"/>
  <c r="B26" i="5"/>
  <c r="P26" i="5" s="1"/>
  <c r="C25" i="5"/>
  <c r="I26" i="5" l="1"/>
  <c r="J26" i="5"/>
  <c r="L26" i="5"/>
  <c r="N26" i="5" a="1"/>
  <c r="N26" i="5" s="1"/>
  <c r="E26" i="5"/>
  <c r="O26" i="5"/>
  <c r="F26" i="5"/>
  <c r="R26" i="5"/>
  <c r="Q26" i="5" s="1"/>
  <c r="G26" i="5"/>
  <c r="D26" i="5"/>
  <c r="B27" i="5"/>
  <c r="P27" i="5" s="1"/>
  <c r="C26" i="5"/>
  <c r="E27" i="5" l="1"/>
  <c r="F27" i="5"/>
  <c r="O27" i="5"/>
  <c r="G27" i="5"/>
  <c r="I27" i="5"/>
  <c r="R27" i="5"/>
  <c r="Q27" i="5" s="1"/>
  <c r="L27" i="5"/>
  <c r="M27" i="5"/>
  <c r="D27" i="5"/>
  <c r="J27" i="5"/>
  <c r="B28" i="5"/>
  <c r="P28" i="5" s="1"/>
  <c r="C27" i="5"/>
  <c r="N27" i="5" l="1" a="1"/>
  <c r="N27" i="5" s="1"/>
  <c r="T27" i="5" a="1"/>
  <c r="T27" i="5" s="1"/>
  <c r="U27" i="5" a="1"/>
  <c r="U27" i="5" s="1"/>
  <c r="I28" i="5"/>
  <c r="J28" i="5"/>
  <c r="R28" i="5"/>
  <c r="Q28" i="5" s="1"/>
  <c r="L28" i="5"/>
  <c r="M28" i="5"/>
  <c r="E28" i="5"/>
  <c r="F28" i="5"/>
  <c r="G28" i="5"/>
  <c r="O28" i="5"/>
  <c r="D28" i="5"/>
  <c r="B29" i="5"/>
  <c r="P29" i="5" s="1"/>
  <c r="C28" i="5"/>
  <c r="N28" i="5" l="1" a="1"/>
  <c r="N28" i="5" s="1"/>
  <c r="T28" i="5" a="1"/>
  <c r="T28" i="5" s="1"/>
  <c r="U28" i="5" a="1"/>
  <c r="U28" i="5" s="1"/>
  <c r="L29" i="5"/>
  <c r="M29" i="5"/>
  <c r="D29" i="5"/>
  <c r="O29" i="5"/>
  <c r="E29" i="5"/>
  <c r="R29" i="5"/>
  <c r="Q29" i="5" s="1"/>
  <c r="G29" i="5"/>
  <c r="I29" i="5"/>
  <c r="J29" i="5"/>
  <c r="F29" i="5"/>
  <c r="B30" i="5"/>
  <c r="P30" i="5" s="1"/>
  <c r="C29" i="5"/>
  <c r="N29" i="5" l="1" a="1"/>
  <c r="N29" i="5" s="1"/>
  <c r="T29" i="5" a="1"/>
  <c r="T29" i="5" s="1"/>
  <c r="U29" i="5" a="1"/>
  <c r="U29" i="5" s="1"/>
  <c r="I30" i="5"/>
  <c r="J30" i="5"/>
  <c r="L30" i="5"/>
  <c r="N30" i="5" a="1"/>
  <c r="N30" i="5" s="1"/>
  <c r="E30" i="5"/>
  <c r="O30" i="5"/>
  <c r="F30" i="5"/>
  <c r="R30" i="5"/>
  <c r="Q30" i="5" s="1"/>
  <c r="G30" i="5"/>
  <c r="D30" i="5"/>
  <c r="B31" i="5"/>
  <c r="P31" i="5" s="1"/>
  <c r="C30" i="5"/>
  <c r="E31" i="5" l="1"/>
  <c r="F31" i="5"/>
  <c r="O31" i="5"/>
  <c r="G31" i="5"/>
  <c r="I31" i="5"/>
  <c r="R31" i="5"/>
  <c r="Q31" i="5" s="1"/>
  <c r="L31" i="5"/>
  <c r="M31" i="5"/>
  <c r="D31" i="5"/>
  <c r="J31" i="5"/>
  <c r="B32" i="5"/>
  <c r="P32" i="5" s="1"/>
  <c r="C31" i="5"/>
  <c r="N31" i="5" l="1" a="1"/>
  <c r="N31" i="5" s="1"/>
  <c r="T31" i="5" a="1"/>
  <c r="T31" i="5" s="1"/>
  <c r="U31" i="5" a="1"/>
  <c r="U31" i="5" s="1"/>
  <c r="I32" i="5"/>
  <c r="J32" i="5"/>
  <c r="R32" i="5"/>
  <c r="Q32" i="5" s="1"/>
  <c r="L32" i="5"/>
  <c r="M32" i="5"/>
  <c r="E32" i="5"/>
  <c r="F32" i="5"/>
  <c r="G32" i="5"/>
  <c r="O32" i="5"/>
  <c r="D32" i="5"/>
  <c r="B33" i="5"/>
  <c r="P33" i="5" s="1"/>
  <c r="C32" i="5"/>
  <c r="N32" i="5" l="1" a="1"/>
  <c r="N32" i="5" s="1"/>
  <c r="U32" i="5" a="1"/>
  <c r="U32" i="5" s="1"/>
  <c r="T32" i="5" a="1"/>
  <c r="T32" i="5" s="1"/>
  <c r="L33" i="5"/>
  <c r="M33" i="5"/>
  <c r="D33" i="5"/>
  <c r="O33" i="5"/>
  <c r="E33" i="5"/>
  <c r="G33" i="5"/>
  <c r="I33" i="5"/>
  <c r="J33" i="5"/>
  <c r="R33" i="5"/>
  <c r="Q33" i="5" s="1"/>
  <c r="F33" i="5"/>
  <c r="B34" i="5"/>
  <c r="P34" i="5" s="1"/>
  <c r="C33" i="5"/>
  <c r="N33" i="5" l="1" a="1"/>
  <c r="N33" i="5" s="1"/>
  <c r="T33" i="5" a="1"/>
  <c r="T33" i="5" s="1"/>
  <c r="U33" i="5" a="1"/>
  <c r="U33" i="5" s="1"/>
  <c r="G34" i="5"/>
  <c r="I34" i="5"/>
  <c r="J34" i="5"/>
  <c r="L34" i="5"/>
  <c r="D34" i="5"/>
  <c r="E34" i="5"/>
  <c r="O34" i="5"/>
  <c r="F34" i="5"/>
  <c r="R34" i="5"/>
  <c r="Q34" i="5" s="1"/>
  <c r="M34" i="5"/>
  <c r="B35" i="5"/>
  <c r="P35" i="5" s="1"/>
  <c r="C34" i="5"/>
  <c r="N34" i="5" l="1" a="1"/>
  <c r="N34" i="5" s="1"/>
  <c r="T34" i="5" a="1"/>
  <c r="T34" i="5" s="1"/>
  <c r="U34" i="5" a="1"/>
  <c r="U34" i="5" s="1"/>
  <c r="D35" i="5"/>
  <c r="E35" i="5"/>
  <c r="F35" i="5"/>
  <c r="G35" i="5"/>
  <c r="O35" i="5"/>
  <c r="J35" i="5"/>
  <c r="R35" i="5"/>
  <c r="Q35" i="5" s="1"/>
  <c r="L35" i="5"/>
  <c r="M35" i="5"/>
  <c r="I35" i="5"/>
  <c r="B36" i="5"/>
  <c r="P36" i="5" s="1"/>
  <c r="C35" i="5"/>
  <c r="N35" i="5" l="1" a="1"/>
  <c r="N35" i="5" s="1"/>
  <c r="T35" i="5" a="1"/>
  <c r="T35" i="5" s="1"/>
  <c r="U35" i="5" a="1"/>
  <c r="U35" i="5" s="1"/>
  <c r="F36" i="5"/>
  <c r="O36" i="5"/>
  <c r="G36" i="5"/>
  <c r="I36" i="5"/>
  <c r="R36" i="5"/>
  <c r="Q36" i="5" s="1"/>
  <c r="J36" i="5"/>
  <c r="M36" i="5"/>
  <c r="D36" i="5"/>
  <c r="E36" i="5"/>
  <c r="L36" i="5"/>
  <c r="B37" i="5"/>
  <c r="P37" i="5" s="1"/>
  <c r="C36" i="5"/>
  <c r="N36" i="5" l="1" a="1"/>
  <c r="N36" i="5" s="1"/>
  <c r="T36" i="5" a="1"/>
  <c r="T36" i="5" s="1"/>
  <c r="U36" i="5" a="1"/>
  <c r="U36" i="5" s="1"/>
  <c r="J37" i="5"/>
  <c r="L37" i="5"/>
  <c r="M37" i="5"/>
  <c r="D37" i="5"/>
  <c r="O37" i="5"/>
  <c r="F37" i="5"/>
  <c r="G37" i="5"/>
  <c r="I37" i="5"/>
  <c r="E37" i="5"/>
  <c r="R37" i="5"/>
  <c r="Q37" i="5" s="1"/>
  <c r="B38" i="5"/>
  <c r="P38" i="5" s="1"/>
  <c r="C37" i="5"/>
  <c r="N37" i="5" l="1" a="1"/>
  <c r="N37" i="5" s="1"/>
  <c r="T37" i="5" a="1"/>
  <c r="T37" i="5" s="1"/>
  <c r="U37" i="5" a="1"/>
  <c r="U37" i="5" s="1"/>
  <c r="G38" i="5"/>
  <c r="I38" i="5"/>
  <c r="J38" i="5"/>
  <c r="L38" i="5"/>
  <c r="D38" i="5"/>
  <c r="E38" i="5"/>
  <c r="O38" i="5"/>
  <c r="F38" i="5"/>
  <c r="R38" i="5"/>
  <c r="Q38" i="5" s="1"/>
  <c r="M38" i="5"/>
  <c r="B39" i="5"/>
  <c r="P39" i="5" s="1"/>
  <c r="C38" i="5"/>
  <c r="N38" i="5" l="1" a="1"/>
  <c r="N38" i="5" s="1"/>
  <c r="T38" i="5" a="1"/>
  <c r="T38" i="5" s="1"/>
  <c r="U38" i="5" a="1"/>
  <c r="U38" i="5" s="1"/>
  <c r="D39" i="5"/>
  <c r="E39" i="5"/>
  <c r="F39" i="5"/>
  <c r="O39" i="5"/>
  <c r="G39" i="5"/>
  <c r="J39" i="5"/>
  <c r="L39" i="5"/>
  <c r="M39" i="5"/>
  <c r="I39" i="5"/>
  <c r="R39" i="5"/>
  <c r="Q39" i="5" s="1"/>
  <c r="B40" i="5"/>
  <c r="P40" i="5" s="1"/>
  <c r="C39" i="5"/>
  <c r="N39" i="5" l="1" a="1"/>
  <c r="N39" i="5" s="1"/>
  <c r="T39" i="5" a="1"/>
  <c r="T39" i="5" s="1"/>
  <c r="U39" i="5" a="1"/>
  <c r="U39" i="5" s="1"/>
  <c r="G40" i="5"/>
  <c r="O40" i="5"/>
  <c r="I40" i="5"/>
  <c r="J40" i="5"/>
  <c r="R40" i="5"/>
  <c r="Q40" i="5" s="1"/>
  <c r="L40" i="5"/>
  <c r="D40" i="5"/>
  <c r="E40" i="5"/>
  <c r="F40" i="5"/>
  <c r="M40" i="5"/>
  <c r="B41" i="5"/>
  <c r="P41" i="5" s="1"/>
  <c r="C40" i="5"/>
  <c r="N40" i="5" l="1" a="1"/>
  <c r="N40" i="5" s="1"/>
  <c r="U40" i="5" a="1"/>
  <c r="U40" i="5" s="1"/>
  <c r="T40" i="5" a="1"/>
  <c r="T40" i="5" s="1"/>
  <c r="J41" i="5"/>
  <c r="L41" i="5"/>
  <c r="M41" i="5"/>
  <c r="D41" i="5"/>
  <c r="O41" i="5"/>
  <c r="F41" i="5"/>
  <c r="G41" i="5"/>
  <c r="I41" i="5"/>
  <c r="E41" i="5"/>
  <c r="R41" i="5"/>
  <c r="Q41" i="5" s="1"/>
  <c r="B42" i="5"/>
  <c r="P42" i="5" s="1"/>
  <c r="C41" i="5"/>
  <c r="N41" i="5" l="1" a="1"/>
  <c r="N41" i="5" s="1"/>
  <c r="T41" i="5" a="1"/>
  <c r="T41" i="5" s="1"/>
  <c r="U41" i="5" a="1"/>
  <c r="U41" i="5" s="1"/>
  <c r="G42" i="5"/>
  <c r="I42" i="5"/>
  <c r="J42" i="5"/>
  <c r="L42" i="5"/>
  <c r="D42" i="5"/>
  <c r="E42" i="5"/>
  <c r="O42" i="5"/>
  <c r="F42" i="5"/>
  <c r="R42" i="5"/>
  <c r="Q42" i="5" s="1"/>
  <c r="M42" i="5"/>
  <c r="B43" i="5"/>
  <c r="P43" i="5" s="1"/>
  <c r="C42" i="5"/>
  <c r="N42" i="5" l="1" a="1"/>
  <c r="N42" i="5" s="1"/>
  <c r="T42" i="5" a="1"/>
  <c r="T42" i="5" s="1"/>
  <c r="U42" i="5" a="1"/>
  <c r="U42" i="5" s="1"/>
  <c r="D43" i="5"/>
  <c r="E43" i="5"/>
  <c r="F43" i="5"/>
  <c r="O43" i="5"/>
  <c r="G43" i="5"/>
  <c r="R43" i="5"/>
  <c r="Q43" i="5" s="1"/>
  <c r="J43" i="5"/>
  <c r="L43" i="5"/>
  <c r="M43" i="5"/>
  <c r="I43" i="5"/>
  <c r="B44" i="5"/>
  <c r="P44" i="5" s="1"/>
  <c r="C43" i="5"/>
  <c r="N43" i="5" l="1" a="1"/>
  <c r="N43" i="5" s="1"/>
  <c r="T43" i="5" a="1"/>
  <c r="T43" i="5" s="1"/>
  <c r="U43" i="5" a="1"/>
  <c r="U43" i="5" s="1"/>
  <c r="I44" i="5"/>
  <c r="J44" i="5"/>
  <c r="R44" i="5"/>
  <c r="Q44" i="5" s="1"/>
  <c r="L44" i="5"/>
  <c r="M44" i="5"/>
  <c r="E44" i="5"/>
  <c r="F44" i="5"/>
  <c r="G44" i="5"/>
  <c r="O44" i="5"/>
  <c r="D44" i="5"/>
  <c r="B45" i="5"/>
  <c r="P45" i="5" s="1"/>
  <c r="C44" i="5"/>
  <c r="N44" i="5" l="1" a="1"/>
  <c r="N44" i="5" s="1"/>
  <c r="T44" i="5" a="1"/>
  <c r="T44" i="5" s="1"/>
  <c r="U44" i="5" a="1"/>
  <c r="U44" i="5" s="1"/>
  <c r="L45" i="5"/>
  <c r="M45" i="5"/>
  <c r="D45" i="5"/>
  <c r="O45" i="5"/>
  <c r="E45" i="5"/>
  <c r="R45" i="5"/>
  <c r="Q45" i="5" s="1"/>
  <c r="G45" i="5"/>
  <c r="I45" i="5"/>
  <c r="J45" i="5"/>
  <c r="F45" i="5"/>
  <c r="B46" i="5"/>
  <c r="P46" i="5" s="1"/>
  <c r="C45" i="5"/>
  <c r="N45" i="5" l="1" a="1"/>
  <c r="N45" i="5" s="1"/>
  <c r="T45" i="5" a="1"/>
  <c r="T45" i="5" s="1"/>
  <c r="U45" i="5" a="1"/>
  <c r="U45" i="5" s="1"/>
  <c r="I46" i="5"/>
  <c r="J46" i="5"/>
  <c r="L46" i="5"/>
  <c r="M46" i="5"/>
  <c r="E46" i="5"/>
  <c r="O46" i="5"/>
  <c r="F46" i="5"/>
  <c r="R46" i="5"/>
  <c r="Q46" i="5" s="1"/>
  <c r="G46" i="5"/>
  <c r="D46" i="5"/>
  <c r="B47" i="5"/>
  <c r="P47" i="5" s="1"/>
  <c r="C46" i="5"/>
  <c r="N46" i="5" l="1" a="1"/>
  <c r="N46" i="5" s="1"/>
  <c r="T46" i="5" a="1"/>
  <c r="T46" i="5" s="1"/>
  <c r="U46" i="5" a="1"/>
  <c r="U46" i="5" s="1"/>
  <c r="E47" i="5"/>
  <c r="F47" i="5"/>
  <c r="G47" i="5"/>
  <c r="O47" i="5"/>
  <c r="I47" i="5"/>
  <c r="L47" i="5"/>
  <c r="M47" i="5"/>
  <c r="D47" i="5"/>
  <c r="J47" i="5"/>
  <c r="R47" i="5"/>
  <c r="Q47" i="5" s="1"/>
  <c r="B48" i="5"/>
  <c r="P48" i="5" s="1"/>
  <c r="C47" i="5"/>
  <c r="N47" i="5" l="1" a="1"/>
  <c r="N47" i="5" s="1"/>
  <c r="T47" i="5" a="1"/>
  <c r="T47" i="5" s="1"/>
  <c r="U47" i="5" a="1"/>
  <c r="U47" i="5" s="1"/>
  <c r="G48" i="5"/>
  <c r="R48" i="5"/>
  <c r="Q48" i="5" s="1"/>
  <c r="I48" i="5"/>
  <c r="J48" i="5"/>
  <c r="L48" i="5"/>
  <c r="D48" i="5"/>
  <c r="E48" i="5"/>
  <c r="F48" i="5"/>
  <c r="O48" i="5"/>
  <c r="M48" i="5"/>
  <c r="B49" i="5"/>
  <c r="P49" i="5" s="1"/>
  <c r="C48" i="5"/>
  <c r="N48" i="5" l="1" a="1"/>
  <c r="N48" i="5" s="1"/>
  <c r="U48" i="5" a="1"/>
  <c r="U48" i="5" s="1"/>
  <c r="T48" i="5" a="1"/>
  <c r="T48" i="5" s="1"/>
  <c r="M49" i="5"/>
  <c r="D49" i="5"/>
  <c r="O49" i="5"/>
  <c r="E49" i="5"/>
  <c r="R49" i="5"/>
  <c r="Q49" i="5" s="1"/>
  <c r="F49" i="5"/>
  <c r="I49" i="5"/>
  <c r="J49" i="5"/>
  <c r="L49" i="5"/>
  <c r="G49" i="5"/>
  <c r="B50" i="5"/>
  <c r="P50" i="5" s="1"/>
  <c r="C49" i="5"/>
  <c r="N49" i="5" l="1" a="1"/>
  <c r="N49" i="5" s="1"/>
  <c r="T49" i="5" a="1"/>
  <c r="T49" i="5" s="1"/>
  <c r="U49" i="5" a="1"/>
  <c r="U49" i="5" s="1"/>
  <c r="J50" i="5"/>
  <c r="L50" i="5"/>
  <c r="N50" i="5" a="1"/>
  <c r="N50" i="5" s="1"/>
  <c r="D50" i="5"/>
  <c r="F50" i="5"/>
  <c r="R50" i="5"/>
  <c r="Q50" i="5" s="1"/>
  <c r="G50" i="5"/>
  <c r="I50" i="5"/>
  <c r="E50" i="5"/>
  <c r="O50" i="5"/>
  <c r="B51" i="5"/>
  <c r="P51" i="5" s="1"/>
  <c r="C50" i="5"/>
  <c r="F51" i="5" l="1"/>
  <c r="G51" i="5"/>
  <c r="R51" i="5"/>
  <c r="Q51" i="5" s="1"/>
  <c r="I51" i="5"/>
  <c r="J51" i="5"/>
  <c r="M51" i="5"/>
  <c r="D51" i="5"/>
  <c r="E51" i="5"/>
  <c r="O51" i="5"/>
  <c r="L51" i="5"/>
  <c r="B52" i="5"/>
  <c r="C51" i="5"/>
  <c r="N51" i="5" l="1" a="1"/>
  <c r="N51" i="5" s="1"/>
  <c r="T51" i="5" a="1"/>
  <c r="T51" i="5" s="1"/>
  <c r="U51" i="5" a="1"/>
  <c r="U51" i="5" s="1"/>
  <c r="M52" i="5"/>
  <c r="N52" i="5" s="1" a="1"/>
  <c r="N52" i="5" s="1"/>
  <c r="P52" i="5"/>
  <c r="O52" i="5" s="1"/>
  <c r="L52" i="5"/>
  <c r="D52" i="5"/>
  <c r="E52" i="5"/>
  <c r="G52" i="5"/>
  <c r="R52" i="5"/>
  <c r="Q52" i="5" s="1"/>
  <c r="I52" i="5"/>
  <c r="J52" i="5"/>
  <c r="F52" i="5"/>
  <c r="B53" i="5"/>
  <c r="P53" i="5" s="1"/>
  <c r="C52" i="5"/>
  <c r="T52" i="5" l="1" a="1"/>
  <c r="T52" i="5" s="1"/>
  <c r="U52" i="5" a="1"/>
  <c r="U52" i="5" s="1"/>
  <c r="F53" i="5"/>
  <c r="G53" i="5"/>
  <c r="I53" i="5"/>
  <c r="J53" i="5"/>
  <c r="M53" i="5"/>
  <c r="D53" i="5"/>
  <c r="O53" i="5"/>
  <c r="E53" i="5"/>
  <c r="R53" i="5"/>
  <c r="Q53" i="5" s="1"/>
  <c r="L53" i="5"/>
  <c r="B54" i="5"/>
  <c r="P54" i="5" s="1"/>
  <c r="C53" i="5"/>
  <c r="N53" i="5" l="1" a="1"/>
  <c r="N53" i="5" s="1"/>
  <c r="T53" i="5" a="1"/>
  <c r="T53" i="5" s="1"/>
  <c r="U53" i="5" a="1"/>
  <c r="U53" i="5" s="1"/>
  <c r="D54" i="5"/>
  <c r="E54" i="5"/>
  <c r="O54" i="5"/>
  <c r="F54" i="5"/>
  <c r="R54" i="5"/>
  <c r="Q54" i="5" s="1"/>
  <c r="G54" i="5"/>
  <c r="J54" i="5"/>
  <c r="L54" i="5"/>
  <c r="M54" i="5"/>
  <c r="I54" i="5"/>
  <c r="B55" i="5"/>
  <c r="P55" i="5" s="1"/>
  <c r="C54" i="5"/>
  <c r="N54" i="5" l="1" a="1"/>
  <c r="N54" i="5" s="1"/>
  <c r="T54" i="5" a="1"/>
  <c r="T54" i="5" s="1"/>
  <c r="U54" i="5" a="1"/>
  <c r="U54" i="5" s="1"/>
  <c r="J55" i="5"/>
  <c r="L55" i="5"/>
  <c r="M55" i="5"/>
  <c r="D55" i="5"/>
  <c r="F55" i="5"/>
  <c r="G55" i="5"/>
  <c r="R55" i="5"/>
  <c r="Q55" i="5" s="1"/>
  <c r="I55" i="5"/>
  <c r="O55" i="5"/>
  <c r="E55" i="5"/>
  <c r="B56" i="5"/>
  <c r="P56" i="5" s="1"/>
  <c r="C55" i="5"/>
  <c r="N55" i="5" l="1" a="1"/>
  <c r="N55" i="5" s="1"/>
  <c r="T55" i="5" a="1"/>
  <c r="T55" i="5" s="1"/>
  <c r="U55" i="5" a="1"/>
  <c r="U55" i="5" s="1"/>
  <c r="E56" i="5"/>
  <c r="F56" i="5"/>
  <c r="O56" i="5"/>
  <c r="G56" i="5"/>
  <c r="R56" i="5"/>
  <c r="Q56" i="5" s="1"/>
  <c r="I56" i="5"/>
  <c r="L56" i="5"/>
  <c r="M56" i="5"/>
  <c r="D56" i="5"/>
  <c r="J56" i="5"/>
  <c r="B57" i="5"/>
  <c r="P57" i="5" s="1"/>
  <c r="C56" i="5"/>
  <c r="N56" i="5" l="1" a="1"/>
  <c r="N56" i="5" s="1"/>
  <c r="U56" i="5" a="1"/>
  <c r="U56" i="5" s="1"/>
  <c r="T56" i="5" a="1"/>
  <c r="T56" i="5" s="1"/>
  <c r="J57" i="5"/>
  <c r="L57" i="5"/>
  <c r="M57" i="5"/>
  <c r="D57" i="5"/>
  <c r="O57" i="5"/>
  <c r="F57" i="5"/>
  <c r="G57" i="5"/>
  <c r="I57" i="5"/>
  <c r="R57" i="5"/>
  <c r="Q57" i="5" s="1"/>
  <c r="E57" i="5"/>
  <c r="B58" i="5"/>
  <c r="P58" i="5" s="1"/>
  <c r="C57" i="5"/>
  <c r="N57" i="5" l="1" a="1"/>
  <c r="N57" i="5" s="1"/>
  <c r="T57" i="5" a="1"/>
  <c r="T57" i="5" s="1"/>
  <c r="U57" i="5" a="1"/>
  <c r="U57" i="5" s="1"/>
  <c r="G58" i="5"/>
  <c r="I58" i="5"/>
  <c r="J58" i="5"/>
  <c r="L58" i="5"/>
  <c r="D58" i="5"/>
  <c r="E58" i="5"/>
  <c r="O58" i="5"/>
  <c r="F58" i="5"/>
  <c r="R58" i="5"/>
  <c r="Q58" i="5" s="1"/>
  <c r="M58" i="5"/>
  <c r="B59" i="5"/>
  <c r="P59" i="5" s="1"/>
  <c r="C58" i="5"/>
  <c r="N58" i="5" l="1" a="1"/>
  <c r="N58" i="5" s="1"/>
  <c r="T58" i="5" a="1"/>
  <c r="T58" i="5" s="1"/>
  <c r="U58" i="5" a="1"/>
  <c r="U58" i="5" s="1"/>
  <c r="D59" i="5"/>
  <c r="E59" i="5"/>
  <c r="O59" i="5"/>
  <c r="F59" i="5"/>
  <c r="G59" i="5"/>
  <c r="R59" i="5"/>
  <c r="Q59" i="5" s="1"/>
  <c r="J59" i="5"/>
  <c r="L59" i="5"/>
  <c r="M59" i="5"/>
  <c r="I59" i="5"/>
  <c r="B60" i="5"/>
  <c r="P60" i="5" s="1"/>
  <c r="C59" i="5"/>
  <c r="N59" i="5" l="1" a="1"/>
  <c r="N59" i="5" s="1"/>
  <c r="T59" i="5" a="1"/>
  <c r="T59" i="5" s="1"/>
  <c r="U59" i="5" a="1"/>
  <c r="U59" i="5" s="1"/>
  <c r="I60" i="5"/>
  <c r="J60" i="5"/>
  <c r="L60" i="5"/>
  <c r="M60" i="5"/>
  <c r="E60" i="5"/>
  <c r="F60" i="5"/>
  <c r="O60" i="5"/>
  <c r="G60" i="5"/>
  <c r="R60" i="5"/>
  <c r="Q60" i="5" s="1"/>
  <c r="D60" i="5"/>
  <c r="B61" i="5"/>
  <c r="P61" i="5" s="1"/>
  <c r="C60" i="5"/>
  <c r="N60" i="5" l="1" a="1"/>
  <c r="N60" i="5" s="1"/>
  <c r="T60" i="5" a="1"/>
  <c r="T60" i="5" s="1"/>
  <c r="U60" i="5" a="1"/>
  <c r="U60" i="5" s="1"/>
  <c r="G61" i="5"/>
  <c r="I61" i="5"/>
  <c r="J61" i="5"/>
  <c r="L61" i="5"/>
  <c r="D61" i="5"/>
  <c r="E61" i="5"/>
  <c r="F61" i="5"/>
  <c r="O61" i="5"/>
  <c r="M61" i="5"/>
  <c r="R61" i="5"/>
  <c r="Q61" i="5" s="1"/>
  <c r="B62" i="5"/>
  <c r="P62" i="5" s="1"/>
  <c r="C61" i="5"/>
  <c r="N61" i="5" l="1" a="1"/>
  <c r="N61" i="5" s="1"/>
  <c r="T61" i="5" a="1"/>
  <c r="T61" i="5" s="1"/>
  <c r="U61" i="5" a="1"/>
  <c r="U61" i="5" s="1"/>
  <c r="E62" i="5"/>
  <c r="O62" i="5"/>
  <c r="F62" i="5"/>
  <c r="R62" i="5"/>
  <c r="Q62" i="5" s="1"/>
  <c r="G62" i="5"/>
  <c r="I62" i="5"/>
  <c r="J62" i="5"/>
  <c r="L62" i="5"/>
  <c r="M62" i="5"/>
  <c r="D62" i="5"/>
  <c r="B63" i="5"/>
  <c r="P63" i="5" s="1"/>
  <c r="C62" i="5"/>
  <c r="N62" i="5" l="1" a="1"/>
  <c r="N62" i="5" s="1"/>
  <c r="T62" i="5" a="1"/>
  <c r="T62" i="5" s="1"/>
  <c r="U62" i="5" a="1"/>
  <c r="U62" i="5" s="1"/>
  <c r="L63" i="5"/>
  <c r="M63" i="5"/>
  <c r="D63" i="5"/>
  <c r="E63" i="5"/>
  <c r="O63" i="5"/>
  <c r="R63" i="5"/>
  <c r="Q63" i="5" s="1"/>
  <c r="G63" i="5"/>
  <c r="F63" i="5"/>
  <c r="I63" i="5"/>
  <c r="J63" i="5"/>
  <c r="B64" i="5"/>
  <c r="P64" i="5" s="1"/>
  <c r="C63" i="5"/>
  <c r="N63" i="5" l="1" a="1"/>
  <c r="N63" i="5" s="1"/>
  <c r="T63" i="5" a="1"/>
  <c r="T63" i="5" s="1"/>
  <c r="U63" i="5" a="1"/>
  <c r="U63" i="5" s="1"/>
  <c r="F64" i="5"/>
  <c r="O64" i="5"/>
  <c r="G64" i="5"/>
  <c r="R64" i="5"/>
  <c r="Q64" i="5" s="1"/>
  <c r="I64" i="5"/>
  <c r="J64" i="5"/>
  <c r="D64" i="5"/>
  <c r="E64" i="5"/>
  <c r="M64" i="5"/>
  <c r="L64" i="5"/>
  <c r="B65" i="5"/>
  <c r="P65" i="5" s="1"/>
  <c r="C64" i="5"/>
  <c r="N64" i="5" l="1" a="1"/>
  <c r="N64" i="5" s="1"/>
  <c r="U64" i="5" a="1"/>
  <c r="U64" i="5" s="1"/>
  <c r="T64" i="5" a="1"/>
  <c r="T64" i="5" s="1"/>
  <c r="L65" i="5"/>
  <c r="M65" i="5"/>
  <c r="D65" i="5"/>
  <c r="O65" i="5"/>
  <c r="E65" i="5"/>
  <c r="R65" i="5"/>
  <c r="Q65" i="5" s="1"/>
  <c r="F65" i="5"/>
  <c r="G65" i="5"/>
  <c r="I65" i="5"/>
  <c r="J65" i="5"/>
  <c r="B66" i="5"/>
  <c r="P66" i="5" s="1"/>
  <c r="C65" i="5"/>
  <c r="N65" i="5" l="1" a="1"/>
  <c r="N65" i="5" s="1"/>
  <c r="T65" i="5" a="1"/>
  <c r="T65" i="5" s="1"/>
  <c r="U65" i="5" a="1"/>
  <c r="U65" i="5" s="1"/>
  <c r="I66" i="5"/>
  <c r="J66" i="5"/>
  <c r="L66" i="5"/>
  <c r="M66" i="5"/>
  <c r="O66" i="5"/>
  <c r="R66" i="5"/>
  <c r="Q66" i="5" s="1"/>
  <c r="E66" i="5"/>
  <c r="F66" i="5"/>
  <c r="G66" i="5"/>
  <c r="D66" i="5"/>
  <c r="B67" i="5"/>
  <c r="P67" i="5" s="1"/>
  <c r="C66" i="5"/>
  <c r="N66" i="5" l="1" a="1"/>
  <c r="N66" i="5" s="1"/>
  <c r="T66" i="5" a="1"/>
  <c r="T66" i="5" s="1"/>
  <c r="U66" i="5" a="1"/>
  <c r="U66" i="5" s="1"/>
  <c r="E67" i="5"/>
  <c r="O67" i="5"/>
  <c r="F67" i="5"/>
  <c r="G67" i="5"/>
  <c r="R67" i="5"/>
  <c r="Q67" i="5" s="1"/>
  <c r="I67" i="5"/>
  <c r="D67" i="5"/>
  <c r="L67" i="5"/>
  <c r="J67" i="5"/>
  <c r="M67" i="5"/>
  <c r="B68" i="5"/>
  <c r="P68" i="5" s="1"/>
  <c r="C67" i="5"/>
  <c r="N67" i="5" l="1" a="1"/>
  <c r="N67" i="5" s="1"/>
  <c r="T67" i="5" a="1"/>
  <c r="T67" i="5" s="1"/>
  <c r="U67" i="5" a="1"/>
  <c r="U67" i="5" s="1"/>
  <c r="J68" i="5"/>
  <c r="L68" i="5"/>
  <c r="N68" i="5" a="1"/>
  <c r="N68" i="5" s="1"/>
  <c r="D68" i="5"/>
  <c r="E68" i="5"/>
  <c r="F68" i="5"/>
  <c r="G68" i="5"/>
  <c r="I68" i="5"/>
  <c r="O68" i="5"/>
  <c r="R68" i="5"/>
  <c r="Q68" i="5" s="1"/>
  <c r="B69" i="5"/>
  <c r="P69" i="5" s="1"/>
  <c r="C68" i="5"/>
  <c r="E69" i="5" l="1"/>
  <c r="R69" i="5"/>
  <c r="Q69" i="5" s="1"/>
  <c r="F69" i="5"/>
  <c r="G69" i="5"/>
  <c r="I69" i="5"/>
  <c r="J69" i="5"/>
  <c r="L69" i="5"/>
  <c r="M69" i="5"/>
  <c r="O69" i="5"/>
  <c r="D69" i="5"/>
  <c r="B70" i="5"/>
  <c r="P70" i="5" s="1"/>
  <c r="C69" i="5"/>
  <c r="N69" i="5" l="1" a="1"/>
  <c r="N69" i="5" s="1"/>
  <c r="T69" i="5" a="1"/>
  <c r="T69" i="5" s="1"/>
  <c r="U69" i="5" a="1"/>
  <c r="U69" i="5" s="1"/>
  <c r="N70" i="5" a="1"/>
  <c r="N70" i="5" s="1"/>
  <c r="D70" i="5"/>
  <c r="E70" i="5"/>
  <c r="O70" i="5"/>
  <c r="F70" i="5"/>
  <c r="R70" i="5"/>
  <c r="Q70" i="5" s="1"/>
  <c r="G70" i="5"/>
  <c r="I70" i="5"/>
  <c r="J70" i="5"/>
  <c r="L70" i="5"/>
  <c r="B71" i="5"/>
  <c r="P71" i="5" s="1"/>
  <c r="C70" i="5"/>
  <c r="I71" i="5" l="1"/>
  <c r="J71" i="5"/>
  <c r="L71" i="5"/>
  <c r="M71" i="5"/>
  <c r="D71" i="5"/>
  <c r="E71" i="5"/>
  <c r="F71" i="5"/>
  <c r="G71" i="5"/>
  <c r="R71" i="5"/>
  <c r="Q71" i="5" s="1"/>
  <c r="O71" i="5"/>
  <c r="B72" i="5"/>
  <c r="P72" i="5" s="1"/>
  <c r="C71" i="5"/>
  <c r="N71" i="5" l="1" a="1"/>
  <c r="N71" i="5" s="1"/>
  <c r="T71" i="5" a="1"/>
  <c r="T71" i="5" s="1"/>
  <c r="U71" i="5" a="1"/>
  <c r="U71" i="5" s="1"/>
  <c r="D72" i="5"/>
  <c r="E72" i="5"/>
  <c r="F72" i="5"/>
  <c r="O72" i="5"/>
  <c r="G72" i="5"/>
  <c r="R72" i="5"/>
  <c r="Q72" i="5" s="1"/>
  <c r="I72" i="5"/>
  <c r="J72" i="5"/>
  <c r="L72" i="5"/>
  <c r="M72" i="5"/>
  <c r="B73" i="5"/>
  <c r="P73" i="5" s="1"/>
  <c r="C72" i="5"/>
  <c r="N72" i="5" l="1" a="1"/>
  <c r="N72" i="5" s="1"/>
  <c r="U72" i="5" a="1"/>
  <c r="U72" i="5" s="1"/>
  <c r="T72" i="5" a="1"/>
  <c r="T72" i="5" s="1"/>
  <c r="I73" i="5"/>
  <c r="J73" i="5"/>
  <c r="L73" i="5"/>
  <c r="M73" i="5"/>
  <c r="O73" i="5"/>
  <c r="R73" i="5"/>
  <c r="Q73" i="5" s="1"/>
  <c r="D73" i="5"/>
  <c r="E73" i="5"/>
  <c r="F73" i="5"/>
  <c r="G73" i="5"/>
  <c r="B74" i="5"/>
  <c r="P74" i="5" s="1"/>
  <c r="C73" i="5"/>
  <c r="N73" i="5" l="1" a="1"/>
  <c r="N73" i="5" s="1"/>
  <c r="T73" i="5" a="1"/>
  <c r="T73" i="5" s="1"/>
  <c r="U73" i="5" a="1"/>
  <c r="U73" i="5" s="1"/>
  <c r="F74" i="5"/>
  <c r="R74" i="5"/>
  <c r="Q74" i="5" s="1"/>
  <c r="G74" i="5"/>
  <c r="I74" i="5"/>
  <c r="J74" i="5"/>
  <c r="D74" i="5"/>
  <c r="E74" i="5"/>
  <c r="L74" i="5"/>
  <c r="M74" i="5"/>
  <c r="O74" i="5"/>
  <c r="B75" i="5"/>
  <c r="P75" i="5" s="1"/>
  <c r="C74" i="5"/>
  <c r="N74" i="5" l="1" a="1"/>
  <c r="N74" i="5" s="1"/>
  <c r="T74" i="5" a="1"/>
  <c r="T74" i="5" s="1"/>
  <c r="U74" i="5" a="1"/>
  <c r="U74" i="5" s="1"/>
  <c r="M75" i="5"/>
  <c r="D75" i="5"/>
  <c r="E75" i="5"/>
  <c r="O75" i="5"/>
  <c r="F75" i="5"/>
  <c r="G75" i="5"/>
  <c r="I75" i="5"/>
  <c r="J75" i="5"/>
  <c r="L75" i="5"/>
  <c r="R75" i="5"/>
  <c r="Q75" i="5" s="1"/>
  <c r="B76" i="5"/>
  <c r="P76" i="5" s="1"/>
  <c r="C75" i="5"/>
  <c r="N75" i="5" l="1" a="1"/>
  <c r="N75" i="5" s="1"/>
  <c r="T75" i="5" a="1"/>
  <c r="T75" i="5" s="1"/>
  <c r="U75" i="5" a="1"/>
  <c r="U75" i="5" s="1"/>
  <c r="G76" i="5"/>
  <c r="R76" i="5"/>
  <c r="Q76" i="5" s="1"/>
  <c r="I76" i="5"/>
  <c r="J76" i="5"/>
  <c r="L76" i="5"/>
  <c r="M76" i="5"/>
  <c r="O76" i="5"/>
  <c r="D76" i="5"/>
  <c r="E76" i="5"/>
  <c r="F76" i="5"/>
  <c r="B77" i="5"/>
  <c r="P77" i="5" s="1"/>
  <c r="C76" i="5"/>
  <c r="N76" i="5" l="1" a="1"/>
  <c r="N76" i="5" s="1"/>
  <c r="T76" i="5" a="1"/>
  <c r="T76" i="5" s="1"/>
  <c r="U76" i="5" a="1"/>
  <c r="U76" i="5" s="1"/>
  <c r="M77" i="5"/>
  <c r="D77" i="5"/>
  <c r="O77" i="5"/>
  <c r="E77" i="5"/>
  <c r="R77" i="5"/>
  <c r="Q77" i="5" s="1"/>
  <c r="F77" i="5"/>
  <c r="I77" i="5"/>
  <c r="J77" i="5"/>
  <c r="L77" i="5"/>
  <c r="G77" i="5"/>
  <c r="B78" i="5"/>
  <c r="P78" i="5" s="1"/>
  <c r="C77" i="5"/>
  <c r="N77" i="5" l="1" a="1"/>
  <c r="N77" i="5" s="1"/>
  <c r="T77" i="5" a="1"/>
  <c r="T77" i="5" s="1"/>
  <c r="U77" i="5" a="1"/>
  <c r="U77" i="5" s="1"/>
  <c r="J78" i="5"/>
  <c r="L78" i="5"/>
  <c r="M78" i="5"/>
  <c r="D78" i="5"/>
  <c r="E78" i="5"/>
  <c r="F78" i="5"/>
  <c r="G78" i="5"/>
  <c r="I78" i="5"/>
  <c r="O78" i="5"/>
  <c r="R78" i="5"/>
  <c r="Q78" i="5" s="1"/>
  <c r="B79" i="5"/>
  <c r="P79" i="5" s="1"/>
  <c r="C78" i="5"/>
  <c r="N78" i="5" l="1" a="1"/>
  <c r="N78" i="5" s="1"/>
  <c r="T78" i="5" a="1"/>
  <c r="T78" i="5" s="1"/>
  <c r="U78" i="5" a="1"/>
  <c r="U78" i="5" s="1"/>
  <c r="F79" i="5"/>
  <c r="G79" i="5"/>
  <c r="R79" i="5"/>
  <c r="Q79" i="5" s="1"/>
  <c r="I79" i="5"/>
  <c r="J79" i="5"/>
  <c r="L79" i="5"/>
  <c r="M79" i="5"/>
  <c r="O79" i="5"/>
  <c r="D79" i="5"/>
  <c r="E79" i="5"/>
  <c r="B80" i="5"/>
  <c r="P80" i="5" s="1"/>
  <c r="C79" i="5"/>
  <c r="N79" i="5" l="1" a="1"/>
  <c r="N79" i="5" s="1"/>
  <c r="T79" i="5" a="1"/>
  <c r="T79" i="5" s="1"/>
  <c r="U79" i="5" a="1"/>
  <c r="U79" i="5" s="1"/>
  <c r="L80" i="5"/>
  <c r="N80" i="5" a="1"/>
  <c r="N80" i="5" s="1"/>
  <c r="D80" i="5"/>
  <c r="E80" i="5"/>
  <c r="O80" i="5"/>
  <c r="R80" i="5"/>
  <c r="Q80" i="5" s="1"/>
  <c r="F80" i="5"/>
  <c r="G80" i="5"/>
  <c r="I80" i="5"/>
  <c r="J80" i="5"/>
  <c r="B81" i="5"/>
  <c r="P81" i="5" s="1"/>
  <c r="C80" i="5"/>
  <c r="F81" i="5" l="1"/>
  <c r="G81" i="5"/>
  <c r="I81" i="5"/>
  <c r="J81" i="5"/>
  <c r="D81" i="5"/>
  <c r="E81" i="5"/>
  <c r="L81" i="5"/>
  <c r="N81" i="5" a="1"/>
  <c r="N81" i="5" s="1"/>
  <c r="O81" i="5"/>
  <c r="R81" i="5"/>
  <c r="Q81" i="5" s="1"/>
  <c r="B82" i="5"/>
  <c r="P82" i="5" s="1"/>
  <c r="C81" i="5"/>
  <c r="D82" i="5" l="1"/>
  <c r="E82" i="5"/>
  <c r="O82" i="5"/>
  <c r="F82" i="5"/>
  <c r="R82" i="5"/>
  <c r="Q82" i="5" s="1"/>
  <c r="G82" i="5"/>
  <c r="I82" i="5"/>
  <c r="J82" i="5"/>
  <c r="L82" i="5"/>
  <c r="N82" i="5" a="1"/>
  <c r="N82" i="5" s="1"/>
  <c r="B83" i="5"/>
  <c r="P83" i="5" s="1"/>
  <c r="C82" i="5"/>
  <c r="J83" i="5" l="1"/>
  <c r="L83" i="5"/>
  <c r="M83" i="5"/>
  <c r="D83" i="5"/>
  <c r="O83" i="5"/>
  <c r="R83" i="5"/>
  <c r="Q83" i="5" s="1"/>
  <c r="E83" i="5"/>
  <c r="F83" i="5"/>
  <c r="G83" i="5"/>
  <c r="I83" i="5"/>
  <c r="B84" i="5"/>
  <c r="P84" i="5" s="1"/>
  <c r="C83" i="5"/>
  <c r="N83" i="5" l="1" a="1"/>
  <c r="N83" i="5" s="1"/>
  <c r="T83" i="5" a="1"/>
  <c r="T83" i="5" s="1"/>
  <c r="U83" i="5" a="1"/>
  <c r="U83" i="5" s="1"/>
  <c r="E84" i="5"/>
  <c r="F84" i="5"/>
  <c r="O84" i="5"/>
  <c r="G84" i="5"/>
  <c r="R84" i="5"/>
  <c r="Q84" i="5" s="1"/>
  <c r="I84" i="5"/>
  <c r="D84" i="5"/>
  <c r="J84" i="5"/>
  <c r="L84" i="5"/>
  <c r="M84" i="5"/>
  <c r="B85" i="5"/>
  <c r="P85" i="5" s="1"/>
  <c r="C84" i="5"/>
  <c r="N84" i="5" l="1" a="1"/>
  <c r="N84" i="5" s="1"/>
  <c r="T84" i="5" a="1"/>
  <c r="T84" i="5" s="1"/>
  <c r="U84" i="5" a="1"/>
  <c r="U84" i="5" s="1"/>
  <c r="J85" i="5"/>
  <c r="L85" i="5"/>
  <c r="N85" i="5" a="1"/>
  <c r="N85" i="5" s="1"/>
  <c r="D85" i="5"/>
  <c r="O85" i="5"/>
  <c r="E85" i="5"/>
  <c r="F85" i="5"/>
  <c r="G85" i="5"/>
  <c r="I85" i="5"/>
  <c r="R85" i="5"/>
  <c r="Q85" i="5" s="1"/>
  <c r="B86" i="5"/>
  <c r="P86" i="5" s="1"/>
  <c r="C85" i="5"/>
  <c r="G86" i="5" l="1"/>
  <c r="I86" i="5"/>
  <c r="J86" i="5"/>
  <c r="L86" i="5"/>
  <c r="M86" i="5"/>
  <c r="O86" i="5"/>
  <c r="R86" i="5"/>
  <c r="Q86" i="5" s="1"/>
  <c r="E86" i="5"/>
  <c r="F86" i="5"/>
  <c r="D86" i="5"/>
  <c r="B87" i="5"/>
  <c r="P87" i="5" s="1"/>
  <c r="C86" i="5"/>
  <c r="N86" i="5" l="1" a="1"/>
  <c r="N86" i="5" s="1"/>
  <c r="T86" i="5" a="1"/>
  <c r="T86" i="5" s="1"/>
  <c r="U86" i="5" a="1"/>
  <c r="U86" i="5" s="1"/>
  <c r="D87" i="5"/>
  <c r="E87" i="5"/>
  <c r="O87" i="5"/>
  <c r="F87" i="5"/>
  <c r="G87" i="5"/>
  <c r="R87" i="5"/>
  <c r="Q87" i="5" s="1"/>
  <c r="I87" i="5"/>
  <c r="J87" i="5"/>
  <c r="L87" i="5"/>
  <c r="M87" i="5"/>
  <c r="B88" i="5"/>
  <c r="P88" i="5" s="1"/>
  <c r="C87" i="5"/>
  <c r="N87" i="5" l="1" a="1"/>
  <c r="N87" i="5" s="1"/>
  <c r="T87" i="5" a="1"/>
  <c r="T87" i="5" s="1"/>
  <c r="U87" i="5" a="1"/>
  <c r="U87" i="5" s="1"/>
  <c r="I88" i="5"/>
  <c r="J88" i="5"/>
  <c r="L88" i="5"/>
  <c r="N88" i="5" a="1"/>
  <c r="N88" i="5" s="1"/>
  <c r="D88" i="5"/>
  <c r="E88" i="5"/>
  <c r="F88" i="5"/>
  <c r="G88" i="5"/>
  <c r="O88" i="5"/>
  <c r="R88" i="5"/>
  <c r="Q88" i="5" s="1"/>
  <c r="B89" i="5"/>
  <c r="P89" i="5" s="1"/>
  <c r="C88" i="5"/>
  <c r="D89" i="5" l="1"/>
  <c r="O89" i="5"/>
  <c r="E89" i="5"/>
  <c r="R89" i="5"/>
  <c r="Q89" i="5" s="1"/>
  <c r="F89" i="5"/>
  <c r="G89" i="5"/>
  <c r="I89" i="5"/>
  <c r="J89" i="5"/>
  <c r="L89" i="5"/>
  <c r="M89" i="5"/>
  <c r="B90" i="5"/>
  <c r="P90" i="5" s="1"/>
  <c r="C89" i="5"/>
  <c r="N89" i="5" l="1" a="1"/>
  <c r="N89" i="5" s="1"/>
  <c r="T89" i="5" a="1"/>
  <c r="T89" i="5" s="1"/>
  <c r="U89" i="5" a="1"/>
  <c r="U89" i="5" s="1"/>
  <c r="L90" i="5"/>
  <c r="M90" i="5"/>
  <c r="D90" i="5"/>
  <c r="E90" i="5"/>
  <c r="O90" i="5"/>
  <c r="R90" i="5"/>
  <c r="Q90" i="5" s="1"/>
  <c r="F90" i="5"/>
  <c r="G90" i="5"/>
  <c r="I90" i="5"/>
  <c r="J90" i="5"/>
  <c r="B91" i="5"/>
  <c r="P91" i="5" s="1"/>
  <c r="C90" i="5"/>
  <c r="N90" i="5" l="1" a="1"/>
  <c r="N90" i="5" s="1"/>
  <c r="T90" i="5" a="1"/>
  <c r="T90" i="5" s="1"/>
  <c r="U90" i="5" a="1"/>
  <c r="U90" i="5" s="1"/>
  <c r="G91" i="5"/>
  <c r="R91" i="5"/>
  <c r="Q91" i="5" s="1"/>
  <c r="I91" i="5"/>
  <c r="J91" i="5"/>
  <c r="L91" i="5"/>
  <c r="D91" i="5"/>
  <c r="E91" i="5"/>
  <c r="F91" i="5"/>
  <c r="M91" i="5"/>
  <c r="O91" i="5"/>
  <c r="B92" i="5"/>
  <c r="P92" i="5" s="1"/>
  <c r="C91" i="5"/>
  <c r="N91" i="5" l="1" a="1"/>
  <c r="N91" i="5" s="1"/>
  <c r="T91" i="5" a="1"/>
  <c r="T91" i="5" s="1"/>
  <c r="U91" i="5" a="1"/>
  <c r="U91" i="5" s="1"/>
  <c r="M92" i="5"/>
  <c r="D92" i="5"/>
  <c r="E92" i="5"/>
  <c r="F92" i="5"/>
  <c r="O92" i="5"/>
  <c r="G92" i="5"/>
  <c r="I92" i="5"/>
  <c r="J92" i="5"/>
  <c r="L92" i="5"/>
  <c r="R92" i="5"/>
  <c r="Q92" i="5" s="1"/>
  <c r="B93" i="5"/>
  <c r="P93" i="5" s="1"/>
  <c r="C92" i="5"/>
  <c r="N92" i="5" l="1" a="1"/>
  <c r="N92" i="5" s="1"/>
  <c r="T92" i="5" a="1"/>
  <c r="T92" i="5" s="1"/>
  <c r="U92" i="5" a="1"/>
  <c r="U92" i="5" s="1"/>
  <c r="G93" i="5"/>
  <c r="I93" i="5"/>
  <c r="J93" i="5"/>
  <c r="L93" i="5"/>
  <c r="M93" i="5"/>
  <c r="O93" i="5"/>
  <c r="R93" i="5"/>
  <c r="Q93" i="5" s="1"/>
  <c r="D93" i="5"/>
  <c r="E93" i="5"/>
  <c r="F93" i="5"/>
  <c r="B94" i="5"/>
  <c r="P94" i="5" s="1"/>
  <c r="C93" i="5"/>
  <c r="N93" i="5" l="1" a="1"/>
  <c r="N93" i="5" s="1"/>
  <c r="T93" i="5" a="1"/>
  <c r="T93" i="5" s="1"/>
  <c r="U93" i="5" a="1"/>
  <c r="U93" i="5" s="1"/>
  <c r="E94" i="5"/>
  <c r="O94" i="5"/>
  <c r="F94" i="5"/>
  <c r="R94" i="5"/>
  <c r="Q94" i="5" s="1"/>
  <c r="G94" i="5"/>
  <c r="I94" i="5"/>
  <c r="D94" i="5"/>
  <c r="J94" i="5"/>
  <c r="L94" i="5"/>
  <c r="M94" i="5"/>
  <c r="B95" i="5"/>
  <c r="P95" i="5" s="1"/>
  <c r="C94" i="5"/>
  <c r="N94" i="5" l="1" a="1"/>
  <c r="N94" i="5" s="1"/>
  <c r="T94" i="5" a="1"/>
  <c r="T94" i="5" s="1"/>
  <c r="U94" i="5" a="1"/>
  <c r="U94" i="5" s="1"/>
  <c r="L95" i="5"/>
  <c r="M95" i="5"/>
  <c r="D95" i="5"/>
  <c r="E95" i="5"/>
  <c r="O95" i="5"/>
  <c r="F95" i="5"/>
  <c r="G95" i="5"/>
  <c r="I95" i="5"/>
  <c r="J95" i="5"/>
  <c r="R95" i="5"/>
  <c r="Q95" i="5" s="1"/>
  <c r="B96" i="5"/>
  <c r="P96" i="5" s="1"/>
  <c r="C95" i="5"/>
  <c r="N95" i="5" l="1" a="1"/>
  <c r="N95" i="5" s="1"/>
  <c r="T95" i="5" a="1"/>
  <c r="T95" i="5" s="1"/>
  <c r="U95" i="5" a="1"/>
  <c r="U95" i="5" s="1"/>
  <c r="F96" i="5"/>
  <c r="O96" i="5"/>
  <c r="G96" i="5"/>
  <c r="R96" i="5"/>
  <c r="Q96" i="5" s="1"/>
  <c r="I96" i="5"/>
  <c r="J96" i="5"/>
  <c r="L96" i="5"/>
  <c r="N96" i="5" a="1"/>
  <c r="N96" i="5" s="1"/>
  <c r="D96" i="5"/>
  <c r="E96" i="5"/>
  <c r="B97" i="5"/>
  <c r="P97" i="5" s="1"/>
  <c r="C96" i="5"/>
  <c r="L97" i="5" l="1"/>
  <c r="N97" i="5" a="1"/>
  <c r="N97" i="5" s="1"/>
  <c r="D97" i="5"/>
  <c r="O97" i="5"/>
  <c r="E97" i="5"/>
  <c r="R97" i="5"/>
  <c r="Q97" i="5" s="1"/>
  <c r="F97" i="5"/>
  <c r="G97" i="5"/>
  <c r="I97" i="5"/>
  <c r="J97" i="5"/>
  <c r="B98" i="5"/>
  <c r="P98" i="5" s="1"/>
  <c r="C97" i="5"/>
  <c r="I98" i="5" l="1"/>
  <c r="J98" i="5"/>
  <c r="L98" i="5"/>
  <c r="M98" i="5"/>
  <c r="D98" i="5"/>
  <c r="E98" i="5"/>
  <c r="F98" i="5"/>
  <c r="G98" i="5"/>
  <c r="O98" i="5"/>
  <c r="R98" i="5"/>
  <c r="Q98" i="5" s="1"/>
  <c r="B99" i="5"/>
  <c r="P99" i="5" s="1"/>
  <c r="C98" i="5"/>
  <c r="N98" i="5" l="1" a="1"/>
  <c r="N98" i="5" s="1"/>
  <c r="T98" i="5" a="1"/>
  <c r="T98" i="5" s="1"/>
  <c r="U98" i="5" a="1"/>
  <c r="U98" i="5" s="1"/>
  <c r="E99" i="5"/>
  <c r="O99" i="5"/>
  <c r="F99" i="5"/>
  <c r="G99" i="5"/>
  <c r="R99" i="5"/>
  <c r="Q99" i="5" s="1"/>
  <c r="I99" i="5"/>
  <c r="J99" i="5"/>
  <c r="L99" i="5"/>
  <c r="M99" i="5"/>
  <c r="D99" i="5"/>
  <c r="B100" i="5"/>
  <c r="P100" i="5" s="1"/>
  <c r="C99" i="5"/>
  <c r="N99" i="5" l="1" a="1"/>
  <c r="N99" i="5" s="1"/>
  <c r="T99" i="5" a="1"/>
  <c r="T99" i="5" s="1"/>
  <c r="U99" i="5" a="1"/>
  <c r="U99" i="5" s="1"/>
  <c r="J100" i="5"/>
  <c r="L100" i="5"/>
  <c r="M100" i="5"/>
  <c r="D100" i="5"/>
  <c r="O100" i="5"/>
  <c r="R100" i="5"/>
  <c r="Q100" i="5" s="1"/>
  <c r="F100" i="5"/>
  <c r="G100" i="5"/>
  <c r="I100" i="5"/>
  <c r="E100" i="5"/>
  <c r="B101" i="5"/>
  <c r="P101" i="5" s="1"/>
  <c r="C100" i="5"/>
  <c r="N100" i="5" l="1" a="1"/>
  <c r="N100" i="5" s="1"/>
  <c r="T100" i="5" a="1"/>
  <c r="T100" i="5" s="1"/>
  <c r="U100" i="5" a="1"/>
  <c r="U100" i="5" s="1"/>
  <c r="E101" i="5"/>
  <c r="R101" i="5"/>
  <c r="Q101" i="5" s="1"/>
  <c r="F101" i="5"/>
  <c r="G101" i="5"/>
  <c r="I101" i="5"/>
  <c r="D101" i="5"/>
  <c r="J101" i="5"/>
  <c r="L101" i="5"/>
  <c r="M101" i="5"/>
  <c r="O101" i="5"/>
  <c r="B102" i="5"/>
  <c r="P102" i="5" s="1"/>
  <c r="C101" i="5"/>
  <c r="N101" i="5" l="1" a="1"/>
  <c r="N101" i="5" s="1"/>
  <c r="T101" i="5" a="1"/>
  <c r="T101" i="5" s="1"/>
  <c r="U101" i="5" a="1"/>
  <c r="U101" i="5" s="1"/>
  <c r="M102" i="5"/>
  <c r="D102" i="5"/>
  <c r="E102" i="5"/>
  <c r="O102" i="5"/>
  <c r="F102" i="5"/>
  <c r="R102" i="5"/>
  <c r="Q102" i="5" s="1"/>
  <c r="G102" i="5"/>
  <c r="I102" i="5"/>
  <c r="J102" i="5"/>
  <c r="L102" i="5"/>
  <c r="B103" i="5"/>
  <c r="P103" i="5" s="1"/>
  <c r="C102" i="5"/>
  <c r="N102" i="5" l="1" a="1"/>
  <c r="N102" i="5" s="1"/>
  <c r="T102" i="5" a="1"/>
  <c r="T102" i="5" s="1"/>
  <c r="U102" i="5" a="1"/>
  <c r="U102" i="5" s="1"/>
  <c r="I103" i="5"/>
  <c r="J103" i="5"/>
  <c r="L103" i="5"/>
  <c r="M103" i="5"/>
  <c r="O103" i="5"/>
  <c r="R103" i="5"/>
  <c r="Q103" i="5" s="1"/>
  <c r="D103" i="5"/>
  <c r="E103" i="5"/>
  <c r="F103" i="5"/>
  <c r="G103" i="5"/>
  <c r="B104" i="5"/>
  <c r="P104" i="5" s="1"/>
  <c r="C103" i="5"/>
  <c r="N103" i="5" l="1" a="1"/>
  <c r="N103" i="5" s="1"/>
  <c r="T103" i="5" a="1"/>
  <c r="T103" i="5" s="1"/>
  <c r="U103" i="5" a="1"/>
  <c r="U103" i="5" s="1"/>
  <c r="D104" i="5"/>
  <c r="E104" i="5"/>
  <c r="F104" i="5"/>
  <c r="O104" i="5"/>
  <c r="G104" i="5"/>
  <c r="R104" i="5"/>
  <c r="Q104" i="5" s="1"/>
  <c r="I104" i="5"/>
  <c r="J104" i="5"/>
  <c r="L104" i="5"/>
  <c r="M104" i="5"/>
  <c r="B105" i="5"/>
  <c r="P105" i="5" s="1"/>
  <c r="C104" i="5"/>
  <c r="N104" i="5" l="1" a="1"/>
  <c r="N104" i="5" s="1"/>
  <c r="U104" i="5" a="1"/>
  <c r="U104" i="5" s="1"/>
  <c r="T104" i="5" a="1"/>
  <c r="T104" i="5" s="1"/>
  <c r="I105" i="5"/>
  <c r="J105" i="5"/>
  <c r="L105" i="5"/>
  <c r="M105" i="5"/>
  <c r="D105" i="5"/>
  <c r="E105" i="5"/>
  <c r="F105" i="5"/>
  <c r="G105" i="5"/>
  <c r="O105" i="5"/>
  <c r="R105" i="5"/>
  <c r="Q105" i="5" s="1"/>
  <c r="B106" i="5"/>
  <c r="P106" i="5" s="1"/>
  <c r="C105" i="5"/>
  <c r="N105" i="5" l="1" a="1"/>
  <c r="N105" i="5" s="1"/>
  <c r="T105" i="5" a="1"/>
  <c r="T105" i="5" s="1"/>
  <c r="U105" i="5" a="1"/>
  <c r="U105" i="5" s="1"/>
  <c r="F106" i="5"/>
  <c r="R106" i="5"/>
  <c r="Q106" i="5" s="1"/>
  <c r="G106" i="5"/>
  <c r="I106" i="5"/>
  <c r="J106" i="5"/>
  <c r="L106" i="5"/>
  <c r="M106" i="5"/>
  <c r="O106" i="5"/>
  <c r="D106" i="5"/>
  <c r="E106" i="5"/>
  <c r="B107" i="5"/>
  <c r="P107" i="5" s="1"/>
  <c r="C106" i="5"/>
  <c r="N106" i="5" l="1" a="1"/>
  <c r="N106" i="5" s="1"/>
  <c r="T106" i="5" a="1"/>
  <c r="T106" i="5" s="1"/>
  <c r="U106" i="5" a="1"/>
  <c r="U106" i="5" s="1"/>
  <c r="M107" i="5"/>
  <c r="D107" i="5"/>
  <c r="E107" i="5"/>
  <c r="O107" i="5"/>
  <c r="F107" i="5"/>
  <c r="R107" i="5"/>
  <c r="Q107" i="5" s="1"/>
  <c r="G107" i="5"/>
  <c r="I107" i="5"/>
  <c r="J107" i="5"/>
  <c r="L107" i="5"/>
  <c r="B108" i="5"/>
  <c r="P108" i="5" s="1"/>
  <c r="C107" i="5"/>
  <c r="N107" i="5" l="1" a="1"/>
  <c r="N107" i="5" s="1"/>
  <c r="T107" i="5" a="1"/>
  <c r="T107" i="5" s="1"/>
  <c r="U107" i="5" a="1"/>
  <c r="U107" i="5" s="1"/>
  <c r="I108" i="5"/>
  <c r="L108" i="5"/>
  <c r="M108" i="5"/>
  <c r="D108" i="5"/>
  <c r="R108" i="5"/>
  <c r="Q108" i="5" s="1"/>
  <c r="E108" i="5"/>
  <c r="F108" i="5"/>
  <c r="G108" i="5"/>
  <c r="O108" i="5"/>
  <c r="J108" i="5"/>
  <c r="B109" i="5"/>
  <c r="P109" i="5" s="1"/>
  <c r="C108" i="5"/>
  <c r="N108" i="5" l="1" a="1"/>
  <c r="N108" i="5" s="1"/>
  <c r="T108" i="5" a="1"/>
  <c r="T108" i="5" s="1"/>
  <c r="U108" i="5" a="1"/>
  <c r="U108" i="5" s="1"/>
  <c r="D109" i="5"/>
  <c r="O109" i="5"/>
  <c r="F109" i="5"/>
  <c r="G109" i="5"/>
  <c r="E109" i="5"/>
  <c r="I109" i="5"/>
  <c r="J109" i="5"/>
  <c r="L109" i="5"/>
  <c r="M109" i="5"/>
  <c r="R109" i="5"/>
  <c r="Q109" i="5" s="1"/>
  <c r="B110" i="5"/>
  <c r="P110" i="5" s="1"/>
  <c r="C109" i="5"/>
  <c r="N109" i="5" l="1" a="1"/>
  <c r="N109" i="5" s="1"/>
  <c r="T109" i="5" a="1"/>
  <c r="T109" i="5" s="1"/>
  <c r="U109" i="5" a="1"/>
  <c r="U109" i="5" s="1"/>
  <c r="L110" i="5"/>
  <c r="D110" i="5"/>
  <c r="O110" i="5"/>
  <c r="E110" i="5"/>
  <c r="R110" i="5"/>
  <c r="Q110" i="5" s="1"/>
  <c r="G110" i="5"/>
  <c r="I110" i="5"/>
  <c r="J110" i="5"/>
  <c r="M110" i="5"/>
  <c r="F110" i="5"/>
  <c r="B111" i="5"/>
  <c r="P111" i="5" s="1"/>
  <c r="C110" i="5"/>
  <c r="N110" i="5" l="1" a="1"/>
  <c r="N110" i="5" s="1"/>
  <c r="T110" i="5" a="1"/>
  <c r="T110" i="5" s="1"/>
  <c r="U110" i="5" a="1"/>
  <c r="U110" i="5" s="1"/>
  <c r="I111" i="5"/>
  <c r="L111" i="5"/>
  <c r="M111" i="5"/>
  <c r="J111" i="5"/>
  <c r="O111" i="5"/>
  <c r="R111" i="5"/>
  <c r="Q111" i="5" s="1"/>
  <c r="D111" i="5"/>
  <c r="E111" i="5"/>
  <c r="F111" i="5"/>
  <c r="G111" i="5"/>
  <c r="B112" i="5"/>
  <c r="P112" i="5" s="1"/>
  <c r="C111" i="5"/>
  <c r="N111" i="5" l="1" a="1"/>
  <c r="N111" i="5" s="1"/>
  <c r="T111" i="5" a="1"/>
  <c r="T111" i="5" s="1"/>
  <c r="U111" i="5" a="1"/>
  <c r="U111" i="5" s="1"/>
  <c r="F112" i="5"/>
  <c r="I112" i="5"/>
  <c r="R112" i="5"/>
  <c r="Q112" i="5" s="1"/>
  <c r="J112" i="5"/>
  <c r="O112" i="5"/>
  <c r="D112" i="5"/>
  <c r="E112" i="5"/>
  <c r="G112" i="5"/>
  <c r="L112" i="5"/>
  <c r="M112" i="5"/>
  <c r="B113" i="5"/>
  <c r="P113" i="5" s="1"/>
  <c r="C112" i="5"/>
  <c r="N112" i="5" l="1" a="1"/>
  <c r="N112" i="5" s="1"/>
  <c r="U112" i="5" a="1"/>
  <c r="U112" i="5" s="1"/>
  <c r="T112" i="5" a="1"/>
  <c r="T112" i="5" s="1"/>
  <c r="J113" i="5"/>
  <c r="M113" i="5"/>
  <c r="D113" i="5"/>
  <c r="O113" i="5"/>
  <c r="R113" i="5"/>
  <c r="Q113" i="5" s="1"/>
  <c r="E113" i="5"/>
  <c r="F113" i="5"/>
  <c r="G113" i="5"/>
  <c r="I113" i="5"/>
  <c r="L113" i="5"/>
  <c r="B114" i="5"/>
  <c r="P114" i="5" s="1"/>
  <c r="C113" i="5"/>
  <c r="N113" i="5" l="1" a="1"/>
  <c r="N113" i="5" s="1"/>
  <c r="T113" i="5" a="1"/>
  <c r="T113" i="5" s="1"/>
  <c r="U113" i="5" a="1"/>
  <c r="U113" i="5" s="1"/>
  <c r="F114" i="5"/>
  <c r="I114" i="5"/>
  <c r="J114" i="5"/>
  <c r="R114" i="5"/>
  <c r="Q114" i="5" s="1"/>
  <c r="D114" i="5"/>
  <c r="E114" i="5"/>
  <c r="G114" i="5"/>
  <c r="L114" i="5"/>
  <c r="M114" i="5"/>
  <c r="O114" i="5"/>
  <c r="B115" i="5"/>
  <c r="P115" i="5" s="1"/>
  <c r="C114" i="5"/>
  <c r="N114" i="5" l="1" a="1"/>
  <c r="N114" i="5" s="1"/>
  <c r="T114" i="5" a="1"/>
  <c r="T114" i="5" s="1"/>
  <c r="U114" i="5" a="1"/>
  <c r="U114" i="5" s="1"/>
  <c r="D115" i="5"/>
  <c r="F115" i="5"/>
  <c r="R115" i="5"/>
  <c r="Q115" i="5" s="1"/>
  <c r="G115" i="5"/>
  <c r="E115" i="5"/>
  <c r="I115" i="5"/>
  <c r="J115" i="5"/>
  <c r="L115" i="5"/>
  <c r="N115" i="5" a="1"/>
  <c r="N115" i="5" s="1"/>
  <c r="O115" i="5"/>
  <c r="B116" i="5"/>
  <c r="P116" i="5" s="1"/>
  <c r="C115" i="5"/>
  <c r="J116" i="5" l="1"/>
  <c r="M116" i="5"/>
  <c r="D116" i="5"/>
  <c r="F116" i="5"/>
  <c r="G116" i="5"/>
  <c r="I116" i="5"/>
  <c r="L116" i="5"/>
  <c r="O116" i="5"/>
  <c r="R116" i="5"/>
  <c r="Q116" i="5" s="1"/>
  <c r="E116" i="5"/>
  <c r="B117" i="5"/>
  <c r="P117" i="5" s="1"/>
  <c r="C116" i="5"/>
  <c r="N116" i="5" l="1" a="1"/>
  <c r="N116" i="5" s="1"/>
  <c r="T116" i="5" a="1"/>
  <c r="T116" i="5" s="1"/>
  <c r="U116" i="5" a="1"/>
  <c r="U116" i="5" s="1"/>
  <c r="E117" i="5"/>
  <c r="R117" i="5"/>
  <c r="Q117" i="5" s="1"/>
  <c r="G117" i="5"/>
  <c r="I117" i="5"/>
  <c r="F117" i="5"/>
  <c r="J117" i="5"/>
  <c r="L117" i="5"/>
  <c r="M117" i="5"/>
  <c r="D117" i="5"/>
  <c r="O117" i="5"/>
  <c r="B118" i="5"/>
  <c r="P118" i="5" s="1"/>
  <c r="C117" i="5"/>
  <c r="N117" i="5" l="1" a="1"/>
  <c r="N117" i="5" s="1"/>
  <c r="T117" i="5" a="1"/>
  <c r="T117" i="5" s="1"/>
  <c r="U117" i="5" a="1"/>
  <c r="U117" i="5" s="1"/>
  <c r="M118" i="5"/>
  <c r="E118" i="5"/>
  <c r="O118" i="5"/>
  <c r="F118" i="5"/>
  <c r="R118" i="5"/>
  <c r="Q118" i="5" s="1"/>
  <c r="J118" i="5"/>
  <c r="L118" i="5"/>
  <c r="D118" i="5"/>
  <c r="G118" i="5"/>
  <c r="I118" i="5"/>
  <c r="B119" i="5"/>
  <c r="P119" i="5" s="1"/>
  <c r="C118" i="5"/>
  <c r="N118" i="5" l="1" a="1"/>
  <c r="N118" i="5" s="1"/>
  <c r="T118" i="5" a="1"/>
  <c r="T118" i="5" s="1"/>
  <c r="U118" i="5" a="1"/>
  <c r="U118" i="5" s="1"/>
  <c r="I119" i="5"/>
  <c r="L119" i="5"/>
  <c r="N119" i="5" a="1"/>
  <c r="N119" i="5" s="1"/>
  <c r="O119" i="5"/>
  <c r="D119" i="5"/>
  <c r="R119" i="5"/>
  <c r="Q119" i="5" s="1"/>
  <c r="E119" i="5"/>
  <c r="F119" i="5"/>
  <c r="G119" i="5"/>
  <c r="J119" i="5"/>
  <c r="B120" i="5"/>
  <c r="P120" i="5" s="1"/>
  <c r="C119" i="5"/>
  <c r="D120" i="5" l="1"/>
  <c r="F120" i="5"/>
  <c r="G120" i="5"/>
  <c r="O120" i="5"/>
  <c r="M120" i="5"/>
  <c r="R120" i="5"/>
  <c r="Q120" i="5" s="1"/>
  <c r="I120" i="5"/>
  <c r="J120" i="5"/>
  <c r="L120" i="5"/>
  <c r="E120" i="5"/>
  <c r="B121" i="5"/>
  <c r="P121" i="5" s="1"/>
  <c r="C120" i="5"/>
  <c r="N120" i="5" l="1" a="1"/>
  <c r="N120" i="5" s="1"/>
  <c r="U120" i="5" a="1"/>
  <c r="U120" i="5" s="1"/>
  <c r="T120" i="5" a="1"/>
  <c r="T120" i="5" s="1"/>
  <c r="G121" i="5"/>
  <c r="J121" i="5"/>
  <c r="L121" i="5"/>
  <c r="O121" i="5"/>
  <c r="R121" i="5"/>
  <c r="Q121" i="5" s="1"/>
  <c r="D121" i="5"/>
  <c r="E121" i="5"/>
  <c r="F121" i="5"/>
  <c r="I121" i="5"/>
  <c r="M121" i="5"/>
  <c r="B122" i="5"/>
  <c r="P122" i="5" s="1"/>
  <c r="C121" i="5"/>
  <c r="N121" i="5" l="1" a="1"/>
  <c r="N121" i="5" s="1"/>
  <c r="T121" i="5" a="1"/>
  <c r="T121" i="5" s="1"/>
  <c r="U121" i="5" a="1"/>
  <c r="U121" i="5" s="1"/>
  <c r="D122" i="5"/>
  <c r="F122" i="5"/>
  <c r="R122" i="5"/>
  <c r="Q122" i="5" s="1"/>
  <c r="G122" i="5"/>
  <c r="O122" i="5"/>
  <c r="E122" i="5"/>
  <c r="I122" i="5"/>
  <c r="J122" i="5"/>
  <c r="L122" i="5"/>
  <c r="M122" i="5"/>
  <c r="B123" i="5"/>
  <c r="P123" i="5" s="1"/>
  <c r="C122" i="5"/>
  <c r="N122" i="5" l="1" a="1"/>
  <c r="N122" i="5" s="1"/>
  <c r="T122" i="5" a="1"/>
  <c r="T122" i="5" s="1"/>
  <c r="U122" i="5" a="1"/>
  <c r="U122" i="5" s="1"/>
  <c r="J123" i="5"/>
  <c r="M123" i="5"/>
  <c r="D123" i="5"/>
  <c r="O123" i="5"/>
  <c r="E123" i="5"/>
  <c r="F123" i="5"/>
  <c r="G123" i="5"/>
  <c r="I123" i="5"/>
  <c r="L123" i="5"/>
  <c r="R123" i="5"/>
  <c r="Q123" i="5" s="1"/>
  <c r="B124" i="5"/>
  <c r="P124" i="5" s="1"/>
  <c r="C123" i="5"/>
  <c r="N123" i="5" l="1" a="1"/>
  <c r="N123" i="5" s="1"/>
  <c r="T123" i="5" a="1"/>
  <c r="T123" i="5" s="1"/>
  <c r="U123" i="5" a="1"/>
  <c r="U123" i="5" s="1"/>
  <c r="G124" i="5"/>
  <c r="O124" i="5"/>
  <c r="J124" i="5"/>
  <c r="L124" i="5"/>
  <c r="E124" i="5"/>
  <c r="F124" i="5"/>
  <c r="I124" i="5"/>
  <c r="M124" i="5"/>
  <c r="D124" i="5"/>
  <c r="R124" i="5"/>
  <c r="Q124" i="5" s="1"/>
  <c r="B125" i="5"/>
  <c r="P125" i="5" s="1"/>
  <c r="C124" i="5"/>
  <c r="N124" i="5" l="1" a="1"/>
  <c r="N124" i="5" s="1"/>
  <c r="T124" i="5" a="1"/>
  <c r="T124" i="5" s="1"/>
  <c r="U124" i="5" a="1"/>
  <c r="U124" i="5" s="1"/>
  <c r="D125" i="5"/>
  <c r="O125" i="5"/>
  <c r="E125" i="5"/>
  <c r="F125" i="5"/>
  <c r="G125" i="5"/>
  <c r="I125" i="5"/>
  <c r="J125" i="5"/>
  <c r="L125" i="5"/>
  <c r="M125" i="5"/>
  <c r="R125" i="5"/>
  <c r="Q125" i="5" s="1"/>
  <c r="B126" i="5"/>
  <c r="P126" i="5" s="1"/>
  <c r="C125" i="5"/>
  <c r="N125" i="5" l="1" a="1"/>
  <c r="N125" i="5" s="1"/>
  <c r="T125" i="5" a="1"/>
  <c r="T125" i="5" s="1"/>
  <c r="U125" i="5" a="1"/>
  <c r="U125" i="5" s="1"/>
  <c r="J126" i="5"/>
  <c r="L126" i="5"/>
  <c r="E126" i="5"/>
  <c r="F126" i="5"/>
  <c r="G126" i="5"/>
  <c r="I126" i="5"/>
  <c r="R126" i="5"/>
  <c r="Q126" i="5" s="1"/>
  <c r="D126" i="5"/>
  <c r="M126" i="5"/>
  <c r="O126" i="5"/>
  <c r="B127" i="5"/>
  <c r="P127" i="5" s="1"/>
  <c r="C126" i="5"/>
  <c r="N126" i="5" l="1" a="1"/>
  <c r="N126" i="5" s="1"/>
  <c r="T126" i="5" a="1"/>
  <c r="T126" i="5" s="1"/>
  <c r="U126" i="5" a="1"/>
  <c r="U126" i="5" s="1"/>
  <c r="G127" i="5"/>
  <c r="I127" i="5"/>
  <c r="E127" i="5"/>
  <c r="F127" i="5"/>
  <c r="J127" i="5"/>
  <c r="L127" i="5"/>
  <c r="M127" i="5"/>
  <c r="O127" i="5"/>
  <c r="R127" i="5"/>
  <c r="Q127" i="5" s="1"/>
  <c r="D127" i="5"/>
  <c r="B128" i="5"/>
  <c r="P128" i="5" s="1"/>
  <c r="C127" i="5"/>
  <c r="N127" i="5" l="1" a="1"/>
  <c r="N127" i="5" s="1"/>
  <c r="T127" i="5" a="1"/>
  <c r="T127" i="5" s="1"/>
  <c r="U127" i="5" a="1"/>
  <c r="U127" i="5" s="1"/>
  <c r="E128" i="5"/>
  <c r="F128" i="5"/>
  <c r="O128" i="5"/>
  <c r="G128" i="5"/>
  <c r="I128" i="5"/>
  <c r="J128" i="5"/>
  <c r="L128" i="5"/>
  <c r="D128" i="5"/>
  <c r="M128" i="5"/>
  <c r="R128" i="5"/>
  <c r="Q128" i="5" s="1"/>
  <c r="B129" i="5"/>
  <c r="P129" i="5" s="1"/>
  <c r="C128" i="5"/>
  <c r="N128" i="5" l="1" a="1"/>
  <c r="N128" i="5" s="1"/>
  <c r="U128" i="5" a="1"/>
  <c r="U128" i="5" s="1"/>
  <c r="T128" i="5" a="1"/>
  <c r="T128" i="5" s="1"/>
  <c r="J129" i="5"/>
  <c r="L129" i="5"/>
  <c r="E129" i="5"/>
  <c r="F129" i="5"/>
  <c r="G129" i="5"/>
  <c r="I129" i="5"/>
  <c r="M129" i="5"/>
  <c r="O129" i="5"/>
  <c r="D129" i="5"/>
  <c r="R129" i="5"/>
  <c r="Q129" i="5" s="1"/>
  <c r="B130" i="5"/>
  <c r="P130" i="5" s="1"/>
  <c r="C129" i="5"/>
  <c r="N129" i="5" l="1" a="1"/>
  <c r="N129" i="5" s="1"/>
  <c r="T129" i="5" a="1"/>
  <c r="T129" i="5" s="1"/>
  <c r="U129" i="5" a="1"/>
  <c r="U129" i="5" s="1"/>
  <c r="F130" i="5"/>
  <c r="R130" i="5"/>
  <c r="Q130" i="5" s="1"/>
  <c r="G130" i="5"/>
  <c r="D130" i="5"/>
  <c r="E130" i="5"/>
  <c r="I130" i="5"/>
  <c r="J130" i="5"/>
  <c r="L130" i="5"/>
  <c r="M130" i="5"/>
  <c r="O130" i="5"/>
  <c r="B131" i="5"/>
  <c r="P131" i="5" s="1"/>
  <c r="C130" i="5"/>
  <c r="N130" i="5" l="1" a="1"/>
  <c r="N130" i="5" s="1"/>
  <c r="T130" i="5" a="1"/>
  <c r="T130" i="5" s="1"/>
  <c r="U130" i="5" a="1"/>
  <c r="U130" i="5" s="1"/>
  <c r="M131" i="5"/>
  <c r="D131" i="5"/>
  <c r="O131" i="5"/>
  <c r="E131" i="5"/>
  <c r="F131" i="5"/>
  <c r="G131" i="5"/>
  <c r="I131" i="5"/>
  <c r="J131" i="5"/>
  <c r="L131" i="5"/>
  <c r="R131" i="5"/>
  <c r="Q131" i="5" s="1"/>
  <c r="B132" i="5"/>
  <c r="P132" i="5" s="1"/>
  <c r="C131" i="5"/>
  <c r="N131" i="5" l="1" a="1"/>
  <c r="N131" i="5" s="1"/>
  <c r="T131" i="5" a="1"/>
  <c r="T131" i="5" s="1"/>
  <c r="U131" i="5" a="1"/>
  <c r="U131" i="5" s="1"/>
  <c r="J132" i="5"/>
  <c r="L132" i="5"/>
  <c r="E132" i="5"/>
  <c r="O132" i="5"/>
  <c r="F132" i="5"/>
  <c r="R132" i="5"/>
  <c r="Q132" i="5" s="1"/>
  <c r="G132" i="5"/>
  <c r="I132" i="5"/>
  <c r="D132" i="5"/>
  <c r="M132" i="5"/>
  <c r="B133" i="5"/>
  <c r="P133" i="5" s="1"/>
  <c r="C132" i="5"/>
  <c r="N132" i="5" l="1" a="1"/>
  <c r="N132" i="5" s="1"/>
  <c r="T132" i="5" a="1"/>
  <c r="T132" i="5" s="1"/>
  <c r="U132" i="5" a="1"/>
  <c r="U132" i="5" s="1"/>
  <c r="D133" i="5"/>
  <c r="O133" i="5"/>
  <c r="E133" i="5"/>
  <c r="R133" i="5"/>
  <c r="Q133" i="5" s="1"/>
  <c r="F133" i="5"/>
  <c r="G133" i="5"/>
  <c r="I133" i="5"/>
  <c r="J133" i="5"/>
  <c r="L133" i="5"/>
  <c r="M133" i="5"/>
  <c r="B134" i="5"/>
  <c r="P134" i="5" s="1"/>
  <c r="C133" i="5"/>
  <c r="N133" i="5" l="1" a="1"/>
  <c r="N133" i="5" s="1"/>
  <c r="T133" i="5" a="1"/>
  <c r="T133" i="5" s="1"/>
  <c r="U133" i="5" a="1"/>
  <c r="U133" i="5" s="1"/>
  <c r="J134" i="5"/>
  <c r="L134" i="5"/>
  <c r="O134" i="5"/>
  <c r="D134" i="5"/>
  <c r="E134" i="5"/>
  <c r="R134" i="5"/>
  <c r="Q134" i="5" s="1"/>
  <c r="F134" i="5"/>
  <c r="G134" i="5"/>
  <c r="I134" i="5"/>
  <c r="M134" i="5"/>
  <c r="B135" i="5"/>
  <c r="P135" i="5" s="1"/>
  <c r="C134" i="5"/>
  <c r="N134" i="5" l="1" a="1"/>
  <c r="N134" i="5" s="1"/>
  <c r="T134" i="5" a="1"/>
  <c r="T134" i="5" s="1"/>
  <c r="U134" i="5" a="1"/>
  <c r="U134" i="5" s="1"/>
  <c r="E135" i="5"/>
  <c r="F135" i="5"/>
  <c r="O135" i="5"/>
  <c r="M135" i="5"/>
  <c r="R135" i="5"/>
  <c r="Q135" i="5" s="1"/>
  <c r="D135" i="5"/>
  <c r="G135" i="5"/>
  <c r="I135" i="5"/>
  <c r="J135" i="5"/>
  <c r="L135" i="5"/>
  <c r="B136" i="5"/>
  <c r="P136" i="5" s="1"/>
  <c r="C135" i="5"/>
  <c r="N135" i="5" l="1" a="1"/>
  <c r="N135" i="5" s="1"/>
  <c r="T135" i="5" a="1"/>
  <c r="T135" i="5" s="1"/>
  <c r="U135" i="5" a="1"/>
  <c r="U135" i="5" s="1"/>
  <c r="J136" i="5"/>
  <c r="L136" i="5"/>
  <c r="M136" i="5"/>
  <c r="D136" i="5"/>
  <c r="O136" i="5"/>
  <c r="R136" i="5"/>
  <c r="Q136" i="5" s="1"/>
  <c r="F136" i="5"/>
  <c r="G136" i="5"/>
  <c r="I136" i="5"/>
  <c r="E136" i="5"/>
  <c r="B137" i="5"/>
  <c r="P137" i="5" s="1"/>
  <c r="C136" i="5"/>
  <c r="N136" i="5" l="1" a="1"/>
  <c r="N136" i="5" s="1"/>
  <c r="U136" i="5" a="1"/>
  <c r="U136" i="5" s="1"/>
  <c r="T136" i="5" a="1"/>
  <c r="T136" i="5" s="1"/>
  <c r="D137" i="5"/>
  <c r="E137" i="5"/>
  <c r="O137" i="5"/>
  <c r="I137" i="5"/>
  <c r="J137" i="5"/>
  <c r="L137" i="5"/>
  <c r="M137" i="5"/>
  <c r="F137" i="5"/>
  <c r="G137" i="5"/>
  <c r="R137" i="5"/>
  <c r="Q137" i="5" s="1"/>
  <c r="B138" i="5"/>
  <c r="P138" i="5" s="1"/>
  <c r="C137" i="5"/>
  <c r="N137" i="5" l="1" a="1"/>
  <c r="N137" i="5" s="1"/>
  <c r="T137" i="5" a="1"/>
  <c r="T137" i="5" s="1"/>
  <c r="U137" i="5" a="1"/>
  <c r="U137" i="5" s="1"/>
  <c r="J138" i="5"/>
  <c r="L138" i="5"/>
  <c r="G138" i="5"/>
  <c r="I138" i="5"/>
  <c r="M138" i="5"/>
  <c r="O138" i="5"/>
  <c r="R138" i="5"/>
  <c r="Q138" i="5" s="1"/>
  <c r="D138" i="5"/>
  <c r="E138" i="5"/>
  <c r="F138" i="5"/>
  <c r="B139" i="5"/>
  <c r="C138" i="5"/>
  <c r="N138" i="5" l="1" a="1"/>
  <c r="N138" i="5" s="1"/>
  <c r="T138" i="5" a="1"/>
  <c r="T138" i="5" s="1"/>
  <c r="U138" i="5" a="1"/>
  <c r="U138" i="5" s="1"/>
  <c r="C139" i="5"/>
  <c r="P139" i="5"/>
  <c r="O139" i="5" s="1"/>
  <c r="F139" i="5"/>
  <c r="G139" i="5"/>
  <c r="R139" i="5"/>
  <c r="Q139" i="5" s="1"/>
  <c r="I139" i="5"/>
  <c r="J139" i="5"/>
  <c r="L139" i="5"/>
  <c r="M139" i="5"/>
  <c r="D139" i="5"/>
  <c r="E139" i="5"/>
  <c r="B140" i="5"/>
  <c r="P140" i="5" s="1"/>
  <c r="N139" i="5" l="1" a="1"/>
  <c r="N139" i="5" s="1"/>
  <c r="T139" i="5" a="1"/>
  <c r="T139" i="5" s="1"/>
  <c r="U139" i="5" a="1"/>
  <c r="U139" i="5" s="1"/>
  <c r="L140" i="5"/>
  <c r="M140" i="5"/>
  <c r="F140" i="5"/>
  <c r="G140" i="5"/>
  <c r="I140" i="5"/>
  <c r="J140" i="5"/>
  <c r="O140" i="5"/>
  <c r="R140" i="5"/>
  <c r="Q140" i="5" s="1"/>
  <c r="D140" i="5"/>
  <c r="E140" i="5"/>
  <c r="B141" i="5"/>
  <c r="P141" i="5" s="1"/>
  <c r="C140" i="5"/>
  <c r="N140" i="5" l="1" a="1"/>
  <c r="N140" i="5" s="1"/>
  <c r="T140" i="5" a="1"/>
  <c r="T140" i="5" s="1"/>
  <c r="U140" i="5" a="1"/>
  <c r="U140" i="5" s="1"/>
  <c r="G141" i="5"/>
  <c r="I141" i="5"/>
  <c r="E141" i="5"/>
  <c r="F141" i="5"/>
  <c r="J141" i="5"/>
  <c r="L141" i="5"/>
  <c r="O141" i="5"/>
  <c r="R141" i="5"/>
  <c r="Q141" i="5" s="1"/>
  <c r="D141" i="5"/>
  <c r="M141" i="5"/>
  <c r="B142" i="5"/>
  <c r="P142" i="5" s="1"/>
  <c r="C141" i="5"/>
  <c r="N141" i="5" l="1" a="1"/>
  <c r="N141" i="5" s="1"/>
  <c r="T141" i="5" a="1"/>
  <c r="T141" i="5" s="1"/>
  <c r="U141" i="5" a="1"/>
  <c r="U141" i="5" s="1"/>
  <c r="D142" i="5"/>
  <c r="O142" i="5"/>
  <c r="E142" i="5"/>
  <c r="R142" i="5"/>
  <c r="Q142" i="5" s="1"/>
  <c r="F142" i="5"/>
  <c r="G142" i="5"/>
  <c r="I142" i="5"/>
  <c r="J142" i="5"/>
  <c r="L142" i="5"/>
  <c r="M142" i="5"/>
  <c r="B143" i="5"/>
  <c r="P143" i="5" s="1"/>
  <c r="C142" i="5"/>
  <c r="N142" i="5" l="1" a="1"/>
  <c r="N142" i="5" s="1"/>
  <c r="T142" i="5" a="1"/>
  <c r="T142" i="5" s="1"/>
  <c r="U142" i="5" a="1"/>
  <c r="U142" i="5" s="1"/>
  <c r="L143" i="5"/>
  <c r="M143" i="5"/>
  <c r="F143" i="5"/>
  <c r="G143" i="5"/>
  <c r="I143" i="5"/>
  <c r="J143" i="5"/>
  <c r="D143" i="5"/>
  <c r="E143" i="5"/>
  <c r="O143" i="5"/>
  <c r="R143" i="5"/>
  <c r="Q143" i="5" s="1"/>
  <c r="B144" i="5"/>
  <c r="P144" i="5" s="1"/>
  <c r="C143" i="5"/>
  <c r="N143" i="5" l="1" a="1"/>
  <c r="N143" i="5" s="1"/>
  <c r="T143" i="5" a="1"/>
  <c r="T143" i="5" s="1"/>
  <c r="U143" i="5" a="1"/>
  <c r="U143" i="5" s="1"/>
  <c r="G144" i="5"/>
  <c r="I144" i="5"/>
  <c r="E144" i="5"/>
  <c r="J144" i="5"/>
  <c r="L144" i="5"/>
  <c r="F144" i="5"/>
  <c r="M144" i="5"/>
  <c r="R144" i="5"/>
  <c r="Q144" i="5" s="1"/>
  <c r="D144" i="5"/>
  <c r="O144" i="5"/>
  <c r="B145" i="5"/>
  <c r="P145" i="5" s="1"/>
  <c r="C144" i="5"/>
  <c r="N144" i="5" l="1" a="1"/>
  <c r="N144" i="5" s="1"/>
  <c r="U144" i="5" a="1"/>
  <c r="U144" i="5" s="1"/>
  <c r="T144" i="5" a="1"/>
  <c r="T144" i="5" s="1"/>
  <c r="D145" i="5"/>
  <c r="O145" i="5"/>
  <c r="E145" i="5"/>
  <c r="F145" i="5"/>
  <c r="I145" i="5"/>
  <c r="J145" i="5"/>
  <c r="R145" i="5"/>
  <c r="Q145" i="5" s="1"/>
  <c r="G145" i="5"/>
  <c r="L145" i="5"/>
  <c r="M145" i="5"/>
  <c r="B146" i="5"/>
  <c r="P146" i="5" s="1"/>
  <c r="C145" i="5"/>
  <c r="N145" i="5" l="1" a="1"/>
  <c r="N145" i="5" s="1"/>
  <c r="T145" i="5" a="1"/>
  <c r="T145" i="5" s="1"/>
  <c r="U145" i="5" a="1"/>
  <c r="U145" i="5" s="1"/>
  <c r="J146" i="5"/>
  <c r="L146" i="5"/>
  <c r="E146" i="5"/>
  <c r="G146" i="5"/>
  <c r="I146" i="5"/>
  <c r="D146" i="5"/>
  <c r="F146" i="5"/>
  <c r="N146" i="5" a="1"/>
  <c r="N146" i="5" s="1"/>
  <c r="O146" i="5"/>
  <c r="R146" i="5"/>
  <c r="Q146" i="5" s="1"/>
  <c r="B147" i="5"/>
  <c r="P147" i="5" s="1"/>
  <c r="C146" i="5"/>
  <c r="F147" i="5" l="1"/>
  <c r="R147" i="5"/>
  <c r="Q147" i="5" s="1"/>
  <c r="G147" i="5"/>
  <c r="D147" i="5"/>
  <c r="I147" i="5"/>
  <c r="J147" i="5"/>
  <c r="L147" i="5"/>
  <c r="M147" i="5"/>
  <c r="E147" i="5"/>
  <c r="O147" i="5"/>
  <c r="B148" i="5"/>
  <c r="P148" i="5" s="1"/>
  <c r="C147" i="5"/>
  <c r="N147" i="5" l="1" a="1"/>
  <c r="N147" i="5" s="1"/>
  <c r="T147" i="5" a="1"/>
  <c r="T147" i="5" s="1"/>
  <c r="U147" i="5" a="1"/>
  <c r="U147" i="5" s="1"/>
  <c r="M148" i="5"/>
  <c r="D148" i="5"/>
  <c r="E148" i="5"/>
  <c r="O148" i="5"/>
  <c r="G148" i="5"/>
  <c r="I148" i="5"/>
  <c r="R148" i="5"/>
  <c r="Q148" i="5" s="1"/>
  <c r="F148" i="5"/>
  <c r="J148" i="5"/>
  <c r="L148" i="5"/>
  <c r="B149" i="5"/>
  <c r="P149" i="5" s="1"/>
  <c r="C148" i="5"/>
  <c r="N148" i="5" l="1" a="1"/>
  <c r="N148" i="5" s="1"/>
  <c r="T148" i="5" a="1"/>
  <c r="T148" i="5" s="1"/>
  <c r="U148" i="5" a="1"/>
  <c r="U148" i="5" s="1"/>
  <c r="F149" i="5"/>
  <c r="G149" i="5"/>
  <c r="O149" i="5"/>
  <c r="D149" i="5"/>
  <c r="E149" i="5"/>
  <c r="L149" i="5"/>
  <c r="M149" i="5"/>
  <c r="R149" i="5"/>
  <c r="Q149" i="5" s="1"/>
  <c r="I149" i="5"/>
  <c r="J149" i="5"/>
  <c r="B150" i="5"/>
  <c r="C149" i="5"/>
  <c r="N149" i="5" l="1" a="1"/>
  <c r="N149" i="5" s="1"/>
  <c r="T149" i="5" a="1"/>
  <c r="T149" i="5" s="1"/>
  <c r="U149" i="5" a="1"/>
  <c r="U149" i="5" s="1"/>
  <c r="C150" i="5"/>
  <c r="P150" i="5"/>
  <c r="O150" i="5" s="1"/>
  <c r="D150" i="5"/>
  <c r="E150" i="5"/>
  <c r="R150" i="5"/>
  <c r="Q150" i="5" s="1"/>
  <c r="F150" i="5"/>
  <c r="G150" i="5"/>
  <c r="I150" i="5"/>
  <c r="J150" i="5"/>
  <c r="L150" i="5"/>
  <c r="N150" i="5" a="1"/>
  <c r="N150" i="5" s="1"/>
  <c r="B151" i="5"/>
  <c r="P151" i="5" s="1"/>
  <c r="J151" i="5" l="1"/>
  <c r="L151" i="5"/>
  <c r="E151" i="5"/>
  <c r="O151" i="5"/>
  <c r="I151" i="5"/>
  <c r="M151" i="5"/>
  <c r="R151" i="5"/>
  <c r="Q151" i="5" s="1"/>
  <c r="D151" i="5"/>
  <c r="F151" i="5"/>
  <c r="G151" i="5"/>
  <c r="B152" i="5"/>
  <c r="P152" i="5" s="1"/>
  <c r="C151" i="5"/>
  <c r="N151" i="5" l="1" a="1"/>
  <c r="N151" i="5" s="1"/>
  <c r="T151" i="5" a="1"/>
  <c r="T151" i="5" s="1"/>
  <c r="U151" i="5" a="1"/>
  <c r="U151" i="5" s="1"/>
  <c r="D152" i="5"/>
  <c r="E152" i="5"/>
  <c r="O152" i="5"/>
  <c r="L152" i="5"/>
  <c r="J152" i="5"/>
  <c r="M152" i="5"/>
  <c r="R152" i="5"/>
  <c r="Q152" i="5" s="1"/>
  <c r="F152" i="5"/>
  <c r="G152" i="5"/>
  <c r="I152" i="5"/>
  <c r="B153" i="5"/>
  <c r="P153" i="5" s="1"/>
  <c r="C152" i="5"/>
  <c r="N152" i="5" l="1" a="1"/>
  <c r="N152" i="5" s="1"/>
  <c r="U152" i="5" a="1"/>
  <c r="U152" i="5" s="1"/>
  <c r="T152" i="5" a="1"/>
  <c r="T152" i="5" s="1"/>
  <c r="I153" i="5"/>
  <c r="J153" i="5"/>
  <c r="L153" i="5"/>
  <c r="O153" i="5"/>
  <c r="R153" i="5"/>
  <c r="Q153" i="5" s="1"/>
  <c r="G153" i="5"/>
  <c r="M153" i="5"/>
  <c r="D153" i="5"/>
  <c r="E153" i="5"/>
  <c r="F153" i="5"/>
  <c r="B154" i="5"/>
  <c r="P154" i="5" s="1"/>
  <c r="C153" i="5"/>
  <c r="N153" i="5" l="1" a="1"/>
  <c r="N153" i="5" s="1"/>
  <c r="T153" i="5" a="1"/>
  <c r="T153" i="5" s="1"/>
  <c r="U153" i="5" a="1"/>
  <c r="U153" i="5" s="1"/>
  <c r="E154" i="5"/>
  <c r="F154" i="5"/>
  <c r="O154" i="5"/>
  <c r="J154" i="5"/>
  <c r="N154" i="5" a="1"/>
  <c r="N154" i="5" s="1"/>
  <c r="D154" i="5"/>
  <c r="G154" i="5"/>
  <c r="I154" i="5"/>
  <c r="L154" i="5"/>
  <c r="R154" i="5"/>
  <c r="Q154" i="5" s="1"/>
  <c r="B155" i="5"/>
  <c r="P155" i="5" s="1"/>
  <c r="C154" i="5"/>
  <c r="J155" i="5" l="1"/>
  <c r="L155" i="5"/>
  <c r="G155" i="5"/>
  <c r="M155" i="5"/>
  <c r="D155" i="5"/>
  <c r="E155" i="5"/>
  <c r="F155" i="5"/>
  <c r="O155" i="5"/>
  <c r="R155" i="5"/>
  <c r="Q155" i="5" s="1"/>
  <c r="I155" i="5"/>
  <c r="B156" i="5"/>
  <c r="P156" i="5" s="1"/>
  <c r="C155" i="5"/>
  <c r="N155" i="5" l="1" a="1"/>
  <c r="N155" i="5" s="1"/>
  <c r="T155" i="5" a="1"/>
  <c r="T155" i="5" s="1"/>
  <c r="U155" i="5" a="1"/>
  <c r="U155" i="5" s="1"/>
  <c r="F156" i="5"/>
  <c r="G156" i="5"/>
  <c r="R156" i="5"/>
  <c r="Q156" i="5" s="1"/>
  <c r="I156" i="5"/>
  <c r="L156" i="5"/>
  <c r="E156" i="5"/>
  <c r="J156" i="5"/>
  <c r="M156" i="5"/>
  <c r="D156" i="5"/>
  <c r="O156" i="5"/>
  <c r="B157" i="5"/>
  <c r="P157" i="5" s="1"/>
  <c r="C156" i="5"/>
  <c r="N156" i="5" l="1" a="1"/>
  <c r="N156" i="5" s="1"/>
  <c r="T156" i="5" a="1"/>
  <c r="T156" i="5" s="1"/>
  <c r="U156" i="5" a="1"/>
  <c r="U156" i="5" s="1"/>
  <c r="L157" i="5"/>
  <c r="M157" i="5"/>
  <c r="F157" i="5"/>
  <c r="I157" i="5"/>
  <c r="J157" i="5"/>
  <c r="G157" i="5"/>
  <c r="O157" i="5"/>
  <c r="R157" i="5"/>
  <c r="Q157" i="5" s="1"/>
  <c r="D157" i="5"/>
  <c r="E157" i="5"/>
  <c r="B158" i="5"/>
  <c r="P158" i="5" s="1"/>
  <c r="C157" i="5"/>
  <c r="N157" i="5" l="1" a="1"/>
  <c r="N157" i="5" s="1"/>
  <c r="T157" i="5" a="1"/>
  <c r="T157" i="5" s="1"/>
  <c r="U157" i="5" a="1"/>
  <c r="U157" i="5" s="1"/>
  <c r="G158" i="5"/>
  <c r="D158" i="5"/>
  <c r="O158" i="5"/>
  <c r="F158" i="5"/>
  <c r="L158" i="5"/>
  <c r="M158" i="5"/>
  <c r="E158" i="5"/>
  <c r="I158" i="5"/>
  <c r="J158" i="5"/>
  <c r="R158" i="5"/>
  <c r="Q158" i="5" s="1"/>
  <c r="B159" i="5"/>
  <c r="P159" i="5" s="1"/>
  <c r="C158" i="5"/>
  <c r="N158" i="5" l="1" a="1"/>
  <c r="N158" i="5" s="1"/>
  <c r="T158" i="5" a="1"/>
  <c r="T158" i="5" s="1"/>
  <c r="U158" i="5" a="1"/>
  <c r="U158" i="5" s="1"/>
  <c r="D159" i="5"/>
  <c r="M159" i="5"/>
  <c r="E159" i="5"/>
  <c r="R159" i="5"/>
  <c r="Q159" i="5" s="1"/>
  <c r="L159" i="5"/>
  <c r="O159" i="5"/>
  <c r="G159" i="5"/>
  <c r="I159" i="5"/>
  <c r="J159" i="5"/>
  <c r="F159" i="5"/>
  <c r="B160" i="5"/>
  <c r="P160" i="5" s="1"/>
  <c r="C159" i="5"/>
  <c r="N159" i="5" l="1" a="1"/>
  <c r="N159" i="5" s="1"/>
  <c r="T159" i="5" a="1"/>
  <c r="T159" i="5" s="1"/>
  <c r="U159" i="5" a="1"/>
  <c r="U159" i="5" s="1"/>
  <c r="J160" i="5"/>
  <c r="L160" i="5"/>
  <c r="O160" i="5"/>
  <c r="R160" i="5"/>
  <c r="Q160" i="5" s="1"/>
  <c r="D160" i="5"/>
  <c r="E160" i="5"/>
  <c r="F160" i="5"/>
  <c r="G160" i="5"/>
  <c r="I160" i="5"/>
  <c r="N160" i="5" a="1"/>
  <c r="N160" i="5" s="1"/>
  <c r="B161" i="5"/>
  <c r="P161" i="5" s="1"/>
  <c r="C160" i="5"/>
  <c r="G161" i="5" l="1"/>
  <c r="R161" i="5"/>
  <c r="Q161" i="5" s="1"/>
  <c r="J161" i="5"/>
  <c r="N161" i="5" a="1"/>
  <c r="N161" i="5" s="1"/>
  <c r="O161" i="5"/>
  <c r="D161" i="5"/>
  <c r="E161" i="5"/>
  <c r="F161" i="5"/>
  <c r="I161" i="5"/>
  <c r="L161" i="5"/>
  <c r="B162" i="5"/>
  <c r="P162" i="5" s="1"/>
  <c r="C161" i="5"/>
  <c r="M162" i="5" l="1"/>
  <c r="F162" i="5"/>
  <c r="I162" i="5"/>
  <c r="R162" i="5"/>
  <c r="Q162" i="5" s="1"/>
  <c r="D162" i="5"/>
  <c r="E162" i="5"/>
  <c r="O162" i="5"/>
  <c r="G162" i="5"/>
  <c r="J162" i="5"/>
  <c r="L162" i="5"/>
  <c r="B163" i="5"/>
  <c r="P163" i="5" s="1"/>
  <c r="C162" i="5"/>
  <c r="N162" i="5" l="1" a="1"/>
  <c r="N162" i="5" s="1"/>
  <c r="T162" i="5" a="1"/>
  <c r="T162" i="5" s="1"/>
  <c r="U162" i="5" a="1"/>
  <c r="U162" i="5" s="1"/>
  <c r="I163" i="5"/>
  <c r="D163" i="5"/>
  <c r="O163" i="5"/>
  <c r="F163" i="5"/>
  <c r="E163" i="5"/>
  <c r="G163" i="5"/>
  <c r="J163" i="5"/>
  <c r="L163" i="5"/>
  <c r="M163" i="5"/>
  <c r="R163" i="5"/>
  <c r="Q163" i="5" s="1"/>
  <c r="B164" i="5"/>
  <c r="P164" i="5" s="1"/>
  <c r="C163" i="5"/>
  <c r="N163" i="5" l="1" a="1"/>
  <c r="N163" i="5" s="1"/>
  <c r="T163" i="5" a="1"/>
  <c r="T163" i="5" s="1"/>
  <c r="U163" i="5" a="1"/>
  <c r="U163" i="5" s="1"/>
  <c r="E164" i="5"/>
  <c r="N164" i="5" a="1"/>
  <c r="N164" i="5" s="1"/>
  <c r="D164" i="5"/>
  <c r="F164" i="5"/>
  <c r="G164" i="5"/>
  <c r="I164" i="5"/>
  <c r="L164" i="5"/>
  <c r="O164" i="5"/>
  <c r="R164" i="5"/>
  <c r="Q164" i="5" s="1"/>
  <c r="J164" i="5"/>
  <c r="B165" i="5"/>
  <c r="P165" i="5" s="1"/>
  <c r="C164" i="5"/>
  <c r="I165" i="5" l="1"/>
  <c r="G165" i="5"/>
  <c r="L165" i="5"/>
  <c r="D165" i="5"/>
  <c r="R165" i="5"/>
  <c r="Q165" i="5" s="1"/>
  <c r="E165" i="5"/>
  <c r="F165" i="5"/>
  <c r="J165" i="5"/>
  <c r="M165" i="5"/>
  <c r="O165" i="5"/>
  <c r="B166" i="5"/>
  <c r="P166" i="5" s="1"/>
  <c r="C165" i="5"/>
  <c r="N165" i="5" l="1" a="1"/>
  <c r="N165" i="5" s="1"/>
  <c r="T165" i="5" a="1"/>
  <c r="T165" i="5" s="1"/>
  <c r="U165" i="5" a="1"/>
  <c r="U165" i="5" s="1"/>
  <c r="D166" i="5"/>
  <c r="E166" i="5"/>
  <c r="G166" i="5"/>
  <c r="R166" i="5"/>
  <c r="Q166" i="5" s="1"/>
  <c r="F166" i="5"/>
  <c r="I166" i="5"/>
  <c r="J166" i="5"/>
  <c r="L166" i="5"/>
  <c r="M166" i="5"/>
  <c r="O166" i="5"/>
  <c r="B167" i="5"/>
  <c r="P167" i="5" s="1"/>
  <c r="C166" i="5"/>
  <c r="N166" i="5" l="1" a="1"/>
  <c r="N166" i="5" s="1"/>
  <c r="T166" i="5" a="1"/>
  <c r="T166" i="5" s="1"/>
  <c r="U166" i="5" a="1"/>
  <c r="U166" i="5" s="1"/>
  <c r="G167" i="5"/>
  <c r="L167" i="5"/>
  <c r="O167" i="5"/>
  <c r="D167" i="5"/>
  <c r="E167" i="5"/>
  <c r="F167" i="5"/>
  <c r="M167" i="5"/>
  <c r="R167" i="5"/>
  <c r="Q167" i="5" s="1"/>
  <c r="I167" i="5"/>
  <c r="J167" i="5"/>
  <c r="B168" i="5"/>
  <c r="P168" i="5" s="1"/>
  <c r="C167" i="5"/>
  <c r="N167" i="5" l="1" a="1"/>
  <c r="N167" i="5" s="1"/>
  <c r="T167" i="5" a="1"/>
  <c r="T167" i="5" s="1"/>
  <c r="U167" i="5" a="1"/>
  <c r="U167" i="5" s="1"/>
  <c r="D168" i="5"/>
  <c r="I168" i="5"/>
  <c r="L168" i="5"/>
  <c r="E168" i="5"/>
  <c r="R168" i="5"/>
  <c r="Q168" i="5" s="1"/>
  <c r="F168" i="5"/>
  <c r="G168" i="5"/>
  <c r="J168" i="5"/>
  <c r="N168" i="5" a="1"/>
  <c r="N168" i="5" s="1"/>
  <c r="O168" i="5"/>
  <c r="B169" i="5"/>
  <c r="P169" i="5" s="1"/>
  <c r="C168" i="5"/>
  <c r="G169" i="5" l="1"/>
  <c r="D169" i="5"/>
  <c r="F169" i="5"/>
  <c r="E169" i="5"/>
  <c r="I169" i="5"/>
  <c r="J169" i="5"/>
  <c r="L169" i="5"/>
  <c r="M169" i="5"/>
  <c r="O169" i="5"/>
  <c r="R169" i="5"/>
  <c r="Q169" i="5" s="1"/>
  <c r="B170" i="5"/>
  <c r="P170" i="5" s="1"/>
  <c r="C169" i="5"/>
  <c r="N169" i="5" l="1" a="1"/>
  <c r="N169" i="5" s="1"/>
  <c r="T169" i="5" a="1"/>
  <c r="T169" i="5" s="1"/>
  <c r="U169" i="5" a="1"/>
  <c r="U169" i="5" s="1"/>
  <c r="D170" i="5"/>
  <c r="M170" i="5"/>
  <c r="E170" i="5"/>
  <c r="F170" i="5"/>
  <c r="G170" i="5"/>
  <c r="I170" i="5"/>
  <c r="O170" i="5"/>
  <c r="R170" i="5"/>
  <c r="Q170" i="5" s="1"/>
  <c r="J170" i="5"/>
  <c r="L170" i="5"/>
  <c r="B171" i="5"/>
  <c r="P171" i="5" s="1"/>
  <c r="C170" i="5"/>
  <c r="N170" i="5" l="1" a="1"/>
  <c r="N170" i="5" s="1"/>
  <c r="T170" i="5" a="1"/>
  <c r="T170" i="5" s="1"/>
  <c r="U170" i="5" a="1"/>
  <c r="U170" i="5" s="1"/>
  <c r="G171" i="5"/>
  <c r="I171" i="5"/>
  <c r="L171" i="5"/>
  <c r="D171" i="5"/>
  <c r="E171" i="5"/>
  <c r="F171" i="5"/>
  <c r="J171" i="5"/>
  <c r="M171" i="5"/>
  <c r="O171" i="5"/>
  <c r="R171" i="5"/>
  <c r="Q171" i="5" s="1"/>
  <c r="B172" i="5"/>
  <c r="P172" i="5" s="1"/>
  <c r="C171" i="5"/>
  <c r="N171" i="5" l="1" a="1"/>
  <c r="N171" i="5" s="1"/>
  <c r="T171" i="5" a="1"/>
  <c r="T171" i="5" s="1"/>
  <c r="U171" i="5" a="1"/>
  <c r="U171" i="5" s="1"/>
  <c r="D172" i="5"/>
  <c r="F172" i="5"/>
  <c r="O172" i="5"/>
  <c r="I172" i="5"/>
  <c r="E172" i="5"/>
  <c r="G172" i="5"/>
  <c r="J172" i="5"/>
  <c r="M172" i="5"/>
  <c r="R172" i="5"/>
  <c r="Q172" i="5" s="1"/>
  <c r="L172" i="5"/>
  <c r="B173" i="5"/>
  <c r="P173" i="5" s="1"/>
  <c r="C172" i="5"/>
  <c r="N172" i="5" l="1" a="1"/>
  <c r="N172" i="5" s="1"/>
  <c r="T172" i="5" a="1"/>
  <c r="T172" i="5" s="1"/>
  <c r="U172" i="5" a="1"/>
  <c r="U172" i="5" s="1"/>
  <c r="G173" i="5"/>
  <c r="M173" i="5"/>
  <c r="D173" i="5"/>
  <c r="O173" i="5"/>
  <c r="E173" i="5"/>
  <c r="F173" i="5"/>
  <c r="I173" i="5"/>
  <c r="R173" i="5"/>
  <c r="Q173" i="5" s="1"/>
  <c r="J173" i="5"/>
  <c r="L173" i="5"/>
  <c r="B174" i="5"/>
  <c r="P174" i="5" s="1"/>
  <c r="C173" i="5"/>
  <c r="N173" i="5" l="1" a="1"/>
  <c r="N173" i="5" s="1"/>
  <c r="U173" i="5" a="1"/>
  <c r="U173" i="5" s="1"/>
  <c r="T173" i="5" a="1"/>
  <c r="T173" i="5" s="1"/>
  <c r="G174" i="5"/>
  <c r="O174" i="5"/>
  <c r="J174" i="5"/>
  <c r="D174" i="5"/>
  <c r="E174" i="5"/>
  <c r="R174" i="5"/>
  <c r="Q174" i="5" s="1"/>
  <c r="F174" i="5"/>
  <c r="I174" i="5"/>
  <c r="L174" i="5"/>
  <c r="M174" i="5"/>
  <c r="B175" i="5"/>
  <c r="P175" i="5" s="1"/>
  <c r="C174" i="5"/>
  <c r="N174" i="5" l="1" a="1"/>
  <c r="N174" i="5" s="1"/>
  <c r="T174" i="5" a="1"/>
  <c r="T174" i="5" s="1"/>
  <c r="U174" i="5" a="1"/>
  <c r="U174" i="5" s="1"/>
  <c r="L175" i="5"/>
  <c r="D175" i="5"/>
  <c r="O175" i="5"/>
  <c r="R175" i="5"/>
  <c r="Q175" i="5" s="1"/>
  <c r="E175" i="5"/>
  <c r="I175" i="5"/>
  <c r="J175" i="5"/>
  <c r="M175" i="5"/>
  <c r="F175" i="5"/>
  <c r="G175" i="5"/>
  <c r="B176" i="5"/>
  <c r="P176" i="5" s="1"/>
  <c r="C175" i="5"/>
  <c r="N175" i="5" l="1" a="1"/>
  <c r="N175" i="5" s="1"/>
  <c r="T175" i="5" a="1"/>
  <c r="T175" i="5" s="1"/>
  <c r="U175" i="5" a="1"/>
  <c r="U175" i="5" s="1"/>
  <c r="G176" i="5"/>
  <c r="O176" i="5"/>
  <c r="J176" i="5"/>
  <c r="D176" i="5"/>
  <c r="R176" i="5"/>
  <c r="Q176" i="5" s="1"/>
  <c r="E176" i="5"/>
  <c r="F176" i="5"/>
  <c r="I176" i="5"/>
  <c r="L176" i="5"/>
  <c r="M176" i="5"/>
  <c r="B177" i="5"/>
  <c r="P177" i="5" s="1"/>
  <c r="C176" i="5"/>
  <c r="N176" i="5" l="1" a="1"/>
  <c r="N176" i="5" s="1"/>
  <c r="U176" i="5" a="1"/>
  <c r="U176" i="5" s="1"/>
  <c r="T176" i="5" a="1"/>
  <c r="T176" i="5" s="1"/>
  <c r="L177" i="5"/>
  <c r="D177" i="5"/>
  <c r="O177" i="5"/>
  <c r="J177" i="5"/>
  <c r="M177" i="5"/>
  <c r="E177" i="5"/>
  <c r="F177" i="5"/>
  <c r="G177" i="5"/>
  <c r="I177" i="5"/>
  <c r="R177" i="5"/>
  <c r="Q177" i="5" s="1"/>
  <c r="B178" i="5"/>
  <c r="P178" i="5" s="1"/>
  <c r="C177" i="5"/>
  <c r="N177" i="5" l="1" a="1"/>
  <c r="N177" i="5" s="1"/>
  <c r="T177" i="5" a="1"/>
  <c r="T177" i="5" s="1"/>
  <c r="U177" i="5" a="1"/>
  <c r="U177" i="5" s="1"/>
  <c r="G178" i="5"/>
  <c r="O178" i="5"/>
  <c r="J178" i="5"/>
  <c r="L178" i="5"/>
  <c r="N178" i="5" a="1"/>
  <c r="N178" i="5" s="1"/>
  <c r="F178" i="5"/>
  <c r="I178" i="5"/>
  <c r="R178" i="5"/>
  <c r="Q178" i="5" s="1"/>
  <c r="D178" i="5"/>
  <c r="E178" i="5"/>
  <c r="B179" i="5"/>
  <c r="P179" i="5" s="1"/>
  <c r="C178" i="5"/>
  <c r="L179" i="5" l="1"/>
  <c r="D179" i="5"/>
  <c r="O179" i="5"/>
  <c r="G179" i="5"/>
  <c r="I179" i="5"/>
  <c r="J179" i="5"/>
  <c r="R179" i="5"/>
  <c r="Q179" i="5" s="1"/>
  <c r="E179" i="5"/>
  <c r="F179" i="5"/>
  <c r="M179" i="5"/>
  <c r="B180" i="5"/>
  <c r="P180" i="5" s="1"/>
  <c r="C179" i="5"/>
  <c r="N179" i="5" l="1" a="1"/>
  <c r="N179" i="5" s="1"/>
  <c r="T179" i="5" a="1"/>
  <c r="T179" i="5" s="1"/>
  <c r="U179" i="5" a="1"/>
  <c r="U179" i="5" s="1"/>
  <c r="G180" i="5"/>
  <c r="O180" i="5"/>
  <c r="J180" i="5"/>
  <c r="F180" i="5"/>
  <c r="I180" i="5"/>
  <c r="L180" i="5"/>
  <c r="R180" i="5"/>
  <c r="Q180" i="5" s="1"/>
  <c r="D180" i="5"/>
  <c r="E180" i="5"/>
  <c r="M180" i="5"/>
  <c r="B181" i="5"/>
  <c r="C180" i="5"/>
  <c r="M181" i="5" l="1"/>
  <c r="N181" i="5" s="1" a="1"/>
  <c r="N181" i="5" s="1"/>
  <c r="P181" i="5"/>
  <c r="O181" i="5" s="1"/>
  <c r="N180" i="5" a="1"/>
  <c r="N180" i="5" s="1"/>
  <c r="T180" i="5" a="1"/>
  <c r="T180" i="5" s="1"/>
  <c r="U180" i="5" a="1"/>
  <c r="U180" i="5" s="1"/>
  <c r="L181" i="5"/>
  <c r="D181" i="5"/>
  <c r="E181" i="5"/>
  <c r="F181" i="5"/>
  <c r="G181" i="5"/>
  <c r="I181" i="5"/>
  <c r="J181" i="5"/>
  <c r="R181" i="5"/>
  <c r="Q181" i="5" s="1"/>
  <c r="B182" i="5"/>
  <c r="P182" i="5" s="1"/>
  <c r="C181" i="5"/>
  <c r="U181" i="5" l="1" a="1"/>
  <c r="U181" i="5" s="1"/>
  <c r="T181" i="5" a="1"/>
  <c r="T181" i="5" s="1"/>
  <c r="G182" i="5"/>
  <c r="O182" i="5"/>
  <c r="J182" i="5"/>
  <c r="D182" i="5"/>
  <c r="E182" i="5"/>
  <c r="R182" i="5"/>
  <c r="Q182" i="5" s="1"/>
  <c r="F182" i="5"/>
  <c r="M182" i="5"/>
  <c r="I182" i="5"/>
  <c r="L182" i="5"/>
  <c r="B183" i="5"/>
  <c r="P183" i="5" s="1"/>
  <c r="C182" i="5"/>
  <c r="N182" i="5" l="1" a="1"/>
  <c r="N182" i="5" s="1"/>
  <c r="U182" i="5" a="1"/>
  <c r="U182" i="5" s="1"/>
  <c r="T182" i="5" a="1"/>
  <c r="T182" i="5" s="1"/>
  <c r="L183" i="5"/>
  <c r="D183" i="5"/>
  <c r="O183" i="5"/>
  <c r="R183" i="5"/>
  <c r="Q183" i="5" s="1"/>
  <c r="E183" i="5"/>
  <c r="F183" i="5"/>
  <c r="G183" i="5"/>
  <c r="I183" i="5"/>
  <c r="J183" i="5"/>
  <c r="M183" i="5"/>
  <c r="B184" i="5"/>
  <c r="P184" i="5" s="1"/>
  <c r="C183" i="5"/>
  <c r="N183" i="5" l="1" a="1"/>
  <c r="N183" i="5" s="1"/>
  <c r="T183" i="5" a="1"/>
  <c r="T183" i="5" s="1"/>
  <c r="U183" i="5" a="1"/>
  <c r="U183" i="5" s="1"/>
  <c r="G184" i="5"/>
  <c r="O184" i="5"/>
  <c r="J184" i="5"/>
  <c r="D184" i="5"/>
  <c r="E184" i="5"/>
  <c r="F184" i="5"/>
  <c r="I184" i="5"/>
  <c r="L184" i="5"/>
  <c r="M184" i="5"/>
  <c r="R184" i="5"/>
  <c r="Q184" i="5" s="1"/>
  <c r="B185" i="5"/>
  <c r="P185" i="5" s="1"/>
  <c r="C184" i="5"/>
  <c r="N184" i="5" l="1" a="1"/>
  <c r="N184" i="5" s="1"/>
  <c r="U184" i="5" a="1"/>
  <c r="U184" i="5" s="1"/>
  <c r="T184" i="5" a="1"/>
  <c r="T184" i="5" s="1"/>
  <c r="L185" i="5"/>
  <c r="D185" i="5"/>
  <c r="O185" i="5"/>
  <c r="J185" i="5"/>
  <c r="M185" i="5"/>
  <c r="G185" i="5"/>
  <c r="I185" i="5"/>
  <c r="R185" i="5"/>
  <c r="Q185" i="5" s="1"/>
  <c r="E185" i="5"/>
  <c r="F185" i="5"/>
  <c r="B186" i="5"/>
  <c r="P186" i="5" s="1"/>
  <c r="C185" i="5"/>
  <c r="N185" i="5" l="1" a="1"/>
  <c r="N185" i="5" s="1"/>
  <c r="T185" i="5" a="1"/>
  <c r="T185" i="5" s="1"/>
  <c r="U185" i="5" a="1"/>
  <c r="U185" i="5" s="1"/>
  <c r="G186" i="5"/>
  <c r="O186" i="5"/>
  <c r="J186" i="5"/>
  <c r="L186" i="5"/>
  <c r="M186" i="5"/>
  <c r="R186" i="5"/>
  <c r="Q186" i="5" s="1"/>
  <c r="D186" i="5"/>
  <c r="E186" i="5"/>
  <c r="F186" i="5"/>
  <c r="I186" i="5"/>
  <c r="B187" i="5"/>
  <c r="P187" i="5" s="1"/>
  <c r="C186" i="5"/>
  <c r="N186" i="5" l="1" a="1"/>
  <c r="N186" i="5" s="1"/>
  <c r="T186" i="5" a="1"/>
  <c r="T186" i="5" s="1"/>
  <c r="U186" i="5" a="1"/>
  <c r="U186" i="5" s="1"/>
  <c r="L187" i="5"/>
  <c r="D187" i="5"/>
  <c r="O187" i="5"/>
  <c r="G187" i="5"/>
  <c r="I187" i="5"/>
  <c r="J187" i="5"/>
  <c r="E187" i="5"/>
  <c r="F187" i="5"/>
  <c r="N187" i="5" a="1"/>
  <c r="N187" i="5" s="1"/>
  <c r="R187" i="5"/>
  <c r="Q187" i="5" s="1"/>
  <c r="B188" i="5"/>
  <c r="P188" i="5" s="1"/>
  <c r="C187" i="5"/>
  <c r="G188" i="5" l="1"/>
  <c r="O188" i="5"/>
  <c r="J188" i="5"/>
  <c r="F188" i="5"/>
  <c r="I188" i="5"/>
  <c r="L188" i="5"/>
  <c r="E188" i="5"/>
  <c r="M188" i="5"/>
  <c r="R188" i="5"/>
  <c r="Q188" i="5" s="1"/>
  <c r="D188" i="5"/>
  <c r="B189" i="5"/>
  <c r="P189" i="5" s="1"/>
  <c r="C188" i="5"/>
  <c r="N188" i="5" l="1" a="1"/>
  <c r="N188" i="5" s="1"/>
  <c r="U188" i="5" a="1"/>
  <c r="U188" i="5" s="1"/>
  <c r="T188" i="5" a="1"/>
  <c r="T188" i="5" s="1"/>
  <c r="L189" i="5"/>
  <c r="D189" i="5"/>
  <c r="O189" i="5"/>
  <c r="E189" i="5"/>
  <c r="F189" i="5"/>
  <c r="G189" i="5"/>
  <c r="M189" i="5"/>
  <c r="R189" i="5"/>
  <c r="Q189" i="5" s="1"/>
  <c r="I189" i="5"/>
  <c r="J189" i="5"/>
  <c r="B190" i="5"/>
  <c r="P190" i="5" s="1"/>
  <c r="C189" i="5"/>
  <c r="N189" i="5" l="1" a="1"/>
  <c r="N189" i="5" s="1"/>
  <c r="U189" i="5" a="1"/>
  <c r="U189" i="5" s="1"/>
  <c r="T189" i="5" a="1"/>
  <c r="T189" i="5" s="1"/>
  <c r="G190" i="5"/>
  <c r="O190" i="5"/>
  <c r="J190" i="5"/>
  <c r="D190" i="5"/>
  <c r="E190" i="5"/>
  <c r="R190" i="5"/>
  <c r="Q190" i="5" s="1"/>
  <c r="F190" i="5"/>
  <c r="I190" i="5"/>
  <c r="L190" i="5"/>
  <c r="M190" i="5"/>
  <c r="B191" i="5"/>
  <c r="P191" i="5" s="1"/>
  <c r="C190" i="5"/>
  <c r="N190" i="5" l="1" a="1"/>
  <c r="N190" i="5" s="1"/>
  <c r="U190" i="5" a="1"/>
  <c r="U190" i="5" s="1"/>
  <c r="T190" i="5" a="1"/>
  <c r="T190" i="5" s="1"/>
  <c r="L191" i="5"/>
  <c r="D191" i="5"/>
  <c r="O191" i="5"/>
  <c r="R191" i="5"/>
  <c r="Q191" i="5" s="1"/>
  <c r="E191" i="5"/>
  <c r="F191" i="5"/>
  <c r="G191" i="5"/>
  <c r="I191" i="5"/>
  <c r="J191" i="5"/>
  <c r="M191" i="5"/>
  <c r="B192" i="5"/>
  <c r="P192" i="5" s="1"/>
  <c r="C191" i="5"/>
  <c r="N191" i="5" l="1" a="1"/>
  <c r="N191" i="5" s="1"/>
  <c r="T191" i="5" a="1"/>
  <c r="T191" i="5" s="1"/>
  <c r="U191" i="5" a="1"/>
  <c r="U191" i="5" s="1"/>
  <c r="G192" i="5"/>
  <c r="O192" i="5"/>
  <c r="J192" i="5"/>
  <c r="D192" i="5"/>
  <c r="L192" i="5"/>
  <c r="M192" i="5"/>
  <c r="R192" i="5"/>
  <c r="Q192" i="5" s="1"/>
  <c r="E192" i="5"/>
  <c r="F192" i="5"/>
  <c r="I192" i="5"/>
  <c r="B193" i="5"/>
  <c r="P193" i="5" s="1"/>
  <c r="C192" i="5"/>
  <c r="N192" i="5" l="1" a="1"/>
  <c r="N192" i="5" s="1"/>
  <c r="U192" i="5" a="1"/>
  <c r="U192" i="5" s="1"/>
  <c r="T192" i="5" a="1"/>
  <c r="T192" i="5" s="1"/>
  <c r="L193" i="5"/>
  <c r="D193" i="5"/>
  <c r="J193" i="5"/>
  <c r="M193" i="5"/>
  <c r="O193" i="5"/>
  <c r="E193" i="5"/>
  <c r="F193" i="5"/>
  <c r="G193" i="5"/>
  <c r="I193" i="5"/>
  <c r="R193" i="5"/>
  <c r="Q193" i="5" s="1"/>
  <c r="B194" i="5"/>
  <c r="P194" i="5" s="1"/>
  <c r="C193" i="5"/>
  <c r="N193" i="5" l="1" a="1"/>
  <c r="N193" i="5" s="1"/>
  <c r="T193" i="5" a="1"/>
  <c r="T193" i="5" s="1"/>
  <c r="U193" i="5" a="1"/>
  <c r="U193" i="5" s="1"/>
  <c r="G194" i="5"/>
  <c r="O194" i="5"/>
  <c r="J194" i="5"/>
  <c r="L194" i="5"/>
  <c r="M194" i="5"/>
  <c r="D194" i="5"/>
  <c r="E194" i="5"/>
  <c r="F194" i="5"/>
  <c r="I194" i="5"/>
  <c r="R194" i="5"/>
  <c r="Q194" i="5" s="1"/>
  <c r="B195" i="5"/>
  <c r="P195" i="5" s="1"/>
  <c r="C194" i="5"/>
  <c r="N194" i="5" l="1" a="1"/>
  <c r="N194" i="5" s="1"/>
  <c r="T194" i="5" a="1"/>
  <c r="T194" i="5" s="1"/>
  <c r="U194" i="5" a="1"/>
  <c r="U194" i="5" s="1"/>
  <c r="L195" i="5"/>
  <c r="D195" i="5"/>
  <c r="O195" i="5"/>
  <c r="G195" i="5"/>
  <c r="I195" i="5"/>
  <c r="J195" i="5"/>
  <c r="F195" i="5"/>
  <c r="M195" i="5"/>
  <c r="R195" i="5"/>
  <c r="Q195" i="5" s="1"/>
  <c r="E195" i="5"/>
  <c r="B196" i="5"/>
  <c r="P196" i="5" s="1"/>
  <c r="C195" i="5"/>
  <c r="N195" i="5" l="1" a="1"/>
  <c r="N195" i="5" s="1"/>
  <c r="T195" i="5" a="1"/>
  <c r="T195" i="5" s="1"/>
  <c r="U195" i="5" a="1"/>
  <c r="U195" i="5" s="1"/>
  <c r="G196" i="5"/>
  <c r="R196" i="5"/>
  <c r="Q196" i="5" s="1"/>
  <c r="J196" i="5"/>
  <c r="F196" i="5"/>
  <c r="I196" i="5"/>
  <c r="L196" i="5"/>
  <c r="O196" i="5"/>
  <c r="D196" i="5"/>
  <c r="E196" i="5"/>
  <c r="M196" i="5"/>
  <c r="B197" i="5"/>
  <c r="P197" i="5" s="1"/>
  <c r="C196" i="5"/>
  <c r="N196" i="5" l="1" a="1"/>
  <c r="N196" i="5" s="1"/>
  <c r="U196" i="5" a="1"/>
  <c r="U196" i="5" s="1"/>
  <c r="T196" i="5" a="1"/>
  <c r="T196" i="5" s="1"/>
  <c r="M197" i="5"/>
  <c r="E197" i="5"/>
  <c r="F197" i="5"/>
  <c r="G197" i="5"/>
  <c r="I197" i="5"/>
  <c r="D197" i="5"/>
  <c r="J197" i="5"/>
  <c r="L197" i="5"/>
  <c r="O197" i="5"/>
  <c r="R197" i="5"/>
  <c r="Q197" i="5" s="1"/>
  <c r="B198" i="5"/>
  <c r="P198" i="5" s="1"/>
  <c r="C197" i="5"/>
  <c r="N197" i="5" l="1" a="1"/>
  <c r="N197" i="5" s="1"/>
  <c r="U197" i="5" a="1"/>
  <c r="U197" i="5" s="1"/>
  <c r="T197" i="5" a="1"/>
  <c r="T197" i="5" s="1"/>
  <c r="G198" i="5"/>
  <c r="O198" i="5"/>
  <c r="J198" i="5"/>
  <c r="R198" i="5"/>
  <c r="Q198" i="5" s="1"/>
  <c r="D198" i="5"/>
  <c r="E198" i="5"/>
  <c r="F198" i="5"/>
  <c r="I198" i="5"/>
  <c r="L198" i="5"/>
  <c r="M198" i="5"/>
  <c r="B199" i="5"/>
  <c r="P199" i="5" s="1"/>
  <c r="C198" i="5"/>
  <c r="N198" i="5" l="1" a="1"/>
  <c r="N198" i="5" s="1"/>
  <c r="U198" i="5" a="1"/>
  <c r="U198" i="5" s="1"/>
  <c r="T198" i="5" a="1"/>
  <c r="T198" i="5" s="1"/>
  <c r="J199" i="5"/>
  <c r="M199" i="5"/>
  <c r="O199" i="5"/>
  <c r="D199" i="5"/>
  <c r="R199" i="5"/>
  <c r="Q199" i="5" s="1"/>
  <c r="I199" i="5"/>
  <c r="L199" i="5"/>
  <c r="E199" i="5"/>
  <c r="F199" i="5"/>
  <c r="G199" i="5"/>
  <c r="B200" i="5"/>
  <c r="P200" i="5" s="1"/>
  <c r="C199" i="5"/>
  <c r="N199" i="5" l="1" a="1"/>
  <c r="N199" i="5" s="1"/>
  <c r="T199" i="5" a="1"/>
  <c r="T199" i="5" s="1"/>
  <c r="U199" i="5" a="1"/>
  <c r="U199" i="5" s="1"/>
  <c r="F200" i="5"/>
  <c r="R200" i="5"/>
  <c r="Q200" i="5" s="1"/>
  <c r="I200" i="5"/>
  <c r="M200" i="5"/>
  <c r="O200" i="5"/>
  <c r="D200" i="5"/>
  <c r="E200" i="5"/>
  <c r="G200" i="5"/>
  <c r="J200" i="5"/>
  <c r="L200" i="5"/>
  <c r="B201" i="5"/>
  <c r="P201" i="5" s="1"/>
  <c r="C200" i="5"/>
  <c r="N200" i="5" l="1" a="1"/>
  <c r="N200" i="5" s="1"/>
  <c r="U200" i="5" a="1"/>
  <c r="U200" i="5" s="1"/>
  <c r="T200" i="5" a="1"/>
  <c r="T200" i="5" s="1"/>
  <c r="M201" i="5"/>
  <c r="E201" i="5"/>
  <c r="L201" i="5"/>
  <c r="O201" i="5"/>
  <c r="F201" i="5"/>
  <c r="G201" i="5"/>
  <c r="I201" i="5"/>
  <c r="J201" i="5"/>
  <c r="R201" i="5"/>
  <c r="Q201" i="5" s="1"/>
  <c r="D201" i="5"/>
  <c r="B202" i="5"/>
  <c r="P202" i="5" s="1"/>
  <c r="C201" i="5"/>
  <c r="N201" i="5" l="1" a="1"/>
  <c r="N201" i="5" s="1"/>
  <c r="T201" i="5" a="1"/>
  <c r="T201" i="5" s="1"/>
  <c r="U201" i="5" a="1"/>
  <c r="U201" i="5" s="1"/>
  <c r="G202" i="5"/>
  <c r="J202" i="5"/>
  <c r="L202" i="5"/>
  <c r="M202" i="5"/>
  <c r="I202" i="5"/>
  <c r="O202" i="5"/>
  <c r="R202" i="5"/>
  <c r="Q202" i="5" s="1"/>
  <c r="D202" i="5"/>
  <c r="E202" i="5"/>
  <c r="F202" i="5"/>
  <c r="B203" i="5"/>
  <c r="P203" i="5" s="1"/>
  <c r="C202" i="5"/>
  <c r="N202" i="5" l="1" a="1"/>
  <c r="N202" i="5" s="1"/>
  <c r="T202" i="5" a="1"/>
  <c r="T202" i="5" s="1"/>
  <c r="U202" i="5" a="1"/>
  <c r="U202" i="5" s="1"/>
  <c r="L203" i="5"/>
  <c r="D203" i="5"/>
  <c r="O203" i="5"/>
  <c r="G203" i="5"/>
  <c r="I203" i="5"/>
  <c r="J203" i="5"/>
  <c r="R203" i="5"/>
  <c r="Q203" i="5" s="1"/>
  <c r="E203" i="5"/>
  <c r="F203" i="5"/>
  <c r="M203" i="5"/>
  <c r="B204" i="5"/>
  <c r="P204" i="5" s="1"/>
  <c r="C203" i="5"/>
  <c r="N203" i="5" l="1" a="1"/>
  <c r="N203" i="5" s="1"/>
  <c r="T203" i="5" a="1"/>
  <c r="T203" i="5" s="1"/>
  <c r="U203" i="5" a="1"/>
  <c r="U203" i="5" s="1"/>
  <c r="G204" i="5"/>
  <c r="J204" i="5"/>
  <c r="F204" i="5"/>
  <c r="I204" i="5"/>
  <c r="L204" i="5"/>
  <c r="D204" i="5"/>
  <c r="E204" i="5"/>
  <c r="M204" i="5"/>
  <c r="O204" i="5"/>
  <c r="R204" i="5"/>
  <c r="Q204" i="5" s="1"/>
  <c r="B205" i="5"/>
  <c r="P205" i="5" s="1"/>
  <c r="C204" i="5"/>
  <c r="N204" i="5" l="1" a="1"/>
  <c r="N204" i="5" s="1"/>
  <c r="U204" i="5" a="1"/>
  <c r="U204" i="5" s="1"/>
  <c r="T204" i="5" a="1"/>
  <c r="T204" i="5" s="1"/>
  <c r="D205" i="5"/>
  <c r="F205" i="5"/>
  <c r="R205" i="5"/>
  <c r="Q205" i="5" s="1"/>
  <c r="G205" i="5"/>
  <c r="I205" i="5"/>
  <c r="J205" i="5"/>
  <c r="L205" i="5"/>
  <c r="M205" i="5"/>
  <c r="O205" i="5"/>
  <c r="E205" i="5"/>
  <c r="B206" i="5"/>
  <c r="P206" i="5" s="1"/>
  <c r="C205" i="5"/>
  <c r="N205" i="5" l="1" a="1"/>
  <c r="N205" i="5" s="1"/>
  <c r="U205" i="5" a="1"/>
  <c r="U205" i="5" s="1"/>
  <c r="T205" i="5" a="1"/>
  <c r="T205" i="5" s="1"/>
  <c r="N206" i="5" a="1"/>
  <c r="N206" i="5" s="1"/>
  <c r="E206" i="5"/>
  <c r="F206" i="5"/>
  <c r="R206" i="5"/>
  <c r="Q206" i="5" s="1"/>
  <c r="G206" i="5"/>
  <c r="O206" i="5"/>
  <c r="D206" i="5"/>
  <c r="I206" i="5"/>
  <c r="J206" i="5"/>
  <c r="L206" i="5"/>
  <c r="B207" i="5"/>
  <c r="P207" i="5" s="1"/>
  <c r="C206" i="5"/>
  <c r="G207" i="5" l="1"/>
  <c r="M207" i="5"/>
  <c r="O207" i="5"/>
  <c r="D207" i="5"/>
  <c r="E207" i="5"/>
  <c r="F207" i="5"/>
  <c r="I207" i="5"/>
  <c r="J207" i="5"/>
  <c r="L207" i="5"/>
  <c r="R207" i="5"/>
  <c r="Q207" i="5" s="1"/>
  <c r="B208" i="5"/>
  <c r="P208" i="5" s="1"/>
  <c r="C207" i="5"/>
  <c r="N207" i="5" l="1" a="1"/>
  <c r="N207" i="5" s="1"/>
  <c r="U207" i="5" a="1"/>
  <c r="U207" i="5" s="1"/>
  <c r="T207" i="5" a="1"/>
  <c r="T207" i="5" s="1"/>
  <c r="D208" i="5"/>
  <c r="J208" i="5"/>
  <c r="L208" i="5"/>
  <c r="M208" i="5"/>
  <c r="E208" i="5"/>
  <c r="F208" i="5"/>
  <c r="G208" i="5"/>
  <c r="I208" i="5"/>
  <c r="O208" i="5"/>
  <c r="R208" i="5"/>
  <c r="Q208" i="5" s="1"/>
  <c r="B209" i="5"/>
  <c r="P209" i="5" s="1"/>
  <c r="C208" i="5"/>
  <c r="N208" i="5" l="1" a="1"/>
  <c r="N208" i="5" s="1"/>
  <c r="U208" i="5" a="1"/>
  <c r="U208" i="5" s="1"/>
  <c r="T208" i="5" a="1"/>
  <c r="T208" i="5" s="1"/>
  <c r="J209" i="5"/>
  <c r="G209" i="5"/>
  <c r="I209" i="5"/>
  <c r="L209" i="5"/>
  <c r="F209" i="5"/>
  <c r="N209" i="5" a="1"/>
  <c r="N209" i="5" s="1"/>
  <c r="O209" i="5"/>
  <c r="R209" i="5"/>
  <c r="Q209" i="5" s="1"/>
  <c r="D209" i="5"/>
  <c r="E209" i="5"/>
  <c r="B210" i="5"/>
  <c r="P210" i="5" s="1"/>
  <c r="C209" i="5"/>
  <c r="F210" i="5" l="1"/>
  <c r="O210" i="5"/>
  <c r="E210" i="5"/>
  <c r="G210" i="5"/>
  <c r="R210" i="5"/>
  <c r="Q210" i="5" s="1"/>
  <c r="I210" i="5"/>
  <c r="M210" i="5"/>
  <c r="D210" i="5"/>
  <c r="J210" i="5"/>
  <c r="L210" i="5"/>
  <c r="B211" i="5"/>
  <c r="P211" i="5" s="1"/>
  <c r="C210" i="5"/>
  <c r="N210" i="5" l="1" a="1"/>
  <c r="N210" i="5" s="1"/>
  <c r="T210" i="5" a="1"/>
  <c r="T210" i="5" s="1"/>
  <c r="U210" i="5" a="1"/>
  <c r="U210" i="5" s="1"/>
  <c r="J211" i="5"/>
  <c r="M211" i="5"/>
  <c r="O211" i="5"/>
  <c r="D211" i="5"/>
  <c r="R211" i="5"/>
  <c r="Q211" i="5" s="1"/>
  <c r="E211" i="5"/>
  <c r="F211" i="5"/>
  <c r="G211" i="5"/>
  <c r="I211" i="5"/>
  <c r="L211" i="5"/>
  <c r="B212" i="5"/>
  <c r="P212" i="5" s="1"/>
  <c r="C211" i="5"/>
  <c r="N211" i="5" l="1" a="1"/>
  <c r="N211" i="5" s="1"/>
  <c r="U211" i="5" a="1"/>
  <c r="U211" i="5" s="1"/>
  <c r="T211" i="5" a="1"/>
  <c r="T211" i="5" s="1"/>
  <c r="F212" i="5"/>
  <c r="R212" i="5"/>
  <c r="Q212" i="5" s="1"/>
  <c r="J212" i="5"/>
  <c r="L212" i="5"/>
  <c r="M212" i="5"/>
  <c r="D212" i="5"/>
  <c r="E212" i="5"/>
  <c r="G212" i="5"/>
  <c r="I212" i="5"/>
  <c r="O212" i="5"/>
  <c r="B213" i="5"/>
  <c r="P213" i="5" s="1"/>
  <c r="C212" i="5"/>
  <c r="N212" i="5" l="1" a="1"/>
  <c r="N212" i="5" s="1"/>
  <c r="U212" i="5" a="1"/>
  <c r="U212" i="5" s="1"/>
  <c r="T212" i="5" a="1"/>
  <c r="T212" i="5" s="1"/>
  <c r="M213" i="5"/>
  <c r="G213" i="5"/>
  <c r="I213" i="5"/>
  <c r="J213" i="5"/>
  <c r="E213" i="5"/>
  <c r="F213" i="5"/>
  <c r="L213" i="5"/>
  <c r="O213" i="5"/>
  <c r="R213" i="5"/>
  <c r="Q213" i="5" s="1"/>
  <c r="D213" i="5"/>
  <c r="B214" i="5"/>
  <c r="P214" i="5" s="1"/>
  <c r="C213" i="5"/>
  <c r="N213" i="5" l="1" a="1"/>
  <c r="N213" i="5" s="1"/>
  <c r="U213" i="5" a="1"/>
  <c r="U213" i="5" s="1"/>
  <c r="T213" i="5" a="1"/>
  <c r="T213" i="5" s="1"/>
  <c r="I214" i="5"/>
  <c r="R214" i="5"/>
  <c r="Q214" i="5" s="1"/>
  <c r="E214" i="5"/>
  <c r="O214" i="5"/>
  <c r="F214" i="5"/>
  <c r="G214" i="5"/>
  <c r="L214" i="5"/>
  <c r="M214" i="5"/>
  <c r="D214" i="5"/>
  <c r="J214" i="5"/>
  <c r="B215" i="5"/>
  <c r="P215" i="5" s="1"/>
  <c r="C214" i="5"/>
  <c r="N214" i="5" l="1" a="1"/>
  <c r="N214" i="5" s="1"/>
  <c r="U214" i="5" a="1"/>
  <c r="U214" i="5" s="1"/>
  <c r="T214" i="5" a="1"/>
  <c r="T214" i="5" s="1"/>
  <c r="L215" i="5"/>
  <c r="N215" i="5" a="1"/>
  <c r="N215" i="5" s="1"/>
  <c r="D215" i="5"/>
  <c r="O215" i="5"/>
  <c r="J215" i="5"/>
  <c r="R215" i="5"/>
  <c r="Q215" i="5" s="1"/>
  <c r="E215" i="5"/>
  <c r="F215" i="5"/>
  <c r="G215" i="5"/>
  <c r="I215" i="5"/>
  <c r="B216" i="5"/>
  <c r="P216" i="5" s="1"/>
  <c r="C215" i="5"/>
  <c r="G216" i="5" l="1"/>
  <c r="R216" i="5"/>
  <c r="Q216" i="5" s="1"/>
  <c r="I216" i="5"/>
  <c r="J216" i="5"/>
  <c r="O216" i="5"/>
  <c r="D216" i="5"/>
  <c r="E216" i="5"/>
  <c r="F216" i="5"/>
  <c r="L216" i="5"/>
  <c r="M216" i="5"/>
  <c r="B217" i="5"/>
  <c r="P217" i="5" s="1"/>
  <c r="C216" i="5"/>
  <c r="N216" i="5" l="1" a="1"/>
  <c r="N216" i="5" s="1"/>
  <c r="U216" i="5" a="1"/>
  <c r="U216" i="5" s="1"/>
  <c r="T216" i="5" a="1"/>
  <c r="T216" i="5" s="1"/>
  <c r="M217" i="5"/>
  <c r="D217" i="5"/>
  <c r="E217" i="5"/>
  <c r="O217" i="5"/>
  <c r="R217" i="5"/>
  <c r="Q217" i="5" s="1"/>
  <c r="F217" i="5"/>
  <c r="G217" i="5"/>
  <c r="I217" i="5"/>
  <c r="J217" i="5"/>
  <c r="L217" i="5"/>
  <c r="B218" i="5"/>
  <c r="P218" i="5" s="1"/>
  <c r="C217" i="5"/>
  <c r="N217" i="5" l="1" a="1"/>
  <c r="N217" i="5" s="1"/>
  <c r="T217" i="5" a="1"/>
  <c r="T217" i="5" s="1"/>
  <c r="U217" i="5" a="1"/>
  <c r="U217" i="5" s="1"/>
  <c r="I218" i="5"/>
  <c r="R218" i="5"/>
  <c r="Q218" i="5" s="1"/>
  <c r="J218" i="5"/>
  <c r="L218" i="5"/>
  <c r="O218" i="5"/>
  <c r="D218" i="5"/>
  <c r="E218" i="5"/>
  <c r="F218" i="5"/>
  <c r="G218" i="5"/>
  <c r="M218" i="5"/>
  <c r="B219" i="5"/>
  <c r="P219" i="5" s="1"/>
  <c r="C218" i="5"/>
  <c r="N218" i="5" l="1" a="1"/>
  <c r="N218" i="5" s="1"/>
  <c r="T218" i="5" a="1"/>
  <c r="T218" i="5" s="1"/>
  <c r="U218" i="5" a="1"/>
  <c r="U218" i="5" s="1"/>
  <c r="M219" i="5"/>
  <c r="D219" i="5"/>
  <c r="O219" i="5"/>
  <c r="E219" i="5"/>
  <c r="F219" i="5"/>
  <c r="G219" i="5"/>
  <c r="I219" i="5"/>
  <c r="J219" i="5"/>
  <c r="L219" i="5"/>
  <c r="R219" i="5"/>
  <c r="Q219" i="5" s="1"/>
  <c r="B220" i="5"/>
  <c r="P220" i="5" s="1"/>
  <c r="C219" i="5"/>
  <c r="N219" i="5" l="1" a="1"/>
  <c r="N219" i="5" s="1"/>
  <c r="U219" i="5" a="1"/>
  <c r="U219" i="5" s="1"/>
  <c r="T219" i="5" a="1"/>
  <c r="T219" i="5" s="1"/>
  <c r="I220" i="5"/>
  <c r="J220" i="5"/>
  <c r="L220" i="5"/>
  <c r="D220" i="5"/>
  <c r="R220" i="5"/>
  <c r="Q220" i="5" s="1"/>
  <c r="E220" i="5"/>
  <c r="F220" i="5"/>
  <c r="G220" i="5"/>
  <c r="M220" i="5"/>
  <c r="O220" i="5"/>
  <c r="B221" i="5"/>
  <c r="P221" i="5" s="1"/>
  <c r="C220" i="5"/>
  <c r="N220" i="5" l="1" a="1"/>
  <c r="N220" i="5" s="1"/>
  <c r="U220" i="5" a="1"/>
  <c r="U220" i="5" s="1"/>
  <c r="T220" i="5" a="1"/>
  <c r="T220" i="5" s="1"/>
  <c r="D221" i="5"/>
  <c r="E221" i="5"/>
  <c r="F221" i="5"/>
  <c r="O221" i="5"/>
  <c r="G221" i="5"/>
  <c r="I221" i="5"/>
  <c r="J221" i="5"/>
  <c r="L221" i="5"/>
  <c r="M221" i="5"/>
  <c r="R221" i="5"/>
  <c r="Q221" i="5" s="1"/>
  <c r="B222" i="5"/>
  <c r="P222" i="5" s="1"/>
  <c r="C221" i="5"/>
  <c r="N221" i="5" l="1" a="1"/>
  <c r="N221" i="5" s="1"/>
  <c r="U221" i="5" a="1"/>
  <c r="U221" i="5" s="1"/>
  <c r="T221" i="5" a="1"/>
  <c r="T221" i="5" s="1"/>
  <c r="I222" i="5"/>
  <c r="J222" i="5"/>
  <c r="L222" i="5"/>
  <c r="E222" i="5"/>
  <c r="F222" i="5"/>
  <c r="G222" i="5"/>
  <c r="M222" i="5"/>
  <c r="O222" i="5"/>
  <c r="D222" i="5"/>
  <c r="R222" i="5"/>
  <c r="Q222" i="5" s="1"/>
  <c r="B223" i="5"/>
  <c r="P223" i="5" s="1"/>
  <c r="C222" i="5"/>
  <c r="N222" i="5" l="1" a="1"/>
  <c r="N222" i="5" s="1"/>
  <c r="U222" i="5" a="1"/>
  <c r="U222" i="5" s="1"/>
  <c r="T222" i="5" a="1"/>
  <c r="T222" i="5" s="1"/>
  <c r="D223" i="5"/>
  <c r="O223" i="5"/>
  <c r="E223" i="5"/>
  <c r="F223" i="5"/>
  <c r="R223" i="5"/>
  <c r="Q223" i="5" s="1"/>
  <c r="G223" i="5"/>
  <c r="I223" i="5"/>
  <c r="J223" i="5"/>
  <c r="L223" i="5"/>
  <c r="M223" i="5"/>
  <c r="B224" i="5"/>
  <c r="P224" i="5" s="1"/>
  <c r="C223" i="5"/>
  <c r="N223" i="5" l="1" a="1"/>
  <c r="N223" i="5" s="1"/>
  <c r="U223" i="5" a="1"/>
  <c r="U223" i="5" s="1"/>
  <c r="T223" i="5" a="1"/>
  <c r="T223" i="5" s="1"/>
  <c r="J224" i="5"/>
  <c r="L224" i="5"/>
  <c r="M224" i="5"/>
  <c r="G224" i="5"/>
  <c r="I224" i="5"/>
  <c r="O224" i="5"/>
  <c r="D224" i="5"/>
  <c r="R224" i="5"/>
  <c r="Q224" i="5" s="1"/>
  <c r="E224" i="5"/>
  <c r="F224" i="5"/>
  <c r="B225" i="5"/>
  <c r="P225" i="5" s="1"/>
  <c r="C224" i="5"/>
  <c r="N224" i="5" l="1" a="1"/>
  <c r="N224" i="5" s="1"/>
  <c r="U224" i="5" a="1"/>
  <c r="U224" i="5" s="1"/>
  <c r="T224" i="5" a="1"/>
  <c r="T224" i="5" s="1"/>
  <c r="E225" i="5"/>
  <c r="F225" i="5"/>
  <c r="O225" i="5"/>
  <c r="G225" i="5"/>
  <c r="R225" i="5"/>
  <c r="Q225" i="5" s="1"/>
  <c r="J225" i="5"/>
  <c r="L225" i="5"/>
  <c r="M225" i="5"/>
  <c r="D225" i="5"/>
  <c r="I225" i="5"/>
  <c r="B226" i="5"/>
  <c r="P226" i="5" s="1"/>
  <c r="C225" i="5"/>
  <c r="N225" i="5" l="1" a="1"/>
  <c r="N225" i="5" s="1"/>
  <c r="T225" i="5" a="1"/>
  <c r="T225" i="5" s="1"/>
  <c r="U225" i="5" a="1"/>
  <c r="U225" i="5" s="1"/>
  <c r="J226" i="5"/>
  <c r="L226" i="5"/>
  <c r="M226" i="5"/>
  <c r="I226" i="5"/>
  <c r="O226" i="5"/>
  <c r="D226" i="5"/>
  <c r="R226" i="5"/>
  <c r="Q226" i="5" s="1"/>
  <c r="E226" i="5"/>
  <c r="F226" i="5"/>
  <c r="G226" i="5"/>
  <c r="B227" i="5"/>
  <c r="P227" i="5" s="1"/>
  <c r="C226" i="5"/>
  <c r="N226" i="5" l="1" a="1"/>
  <c r="N226" i="5" s="1"/>
  <c r="T226" i="5" a="1"/>
  <c r="T226" i="5" s="1"/>
  <c r="U226" i="5" a="1"/>
  <c r="U226" i="5" s="1"/>
  <c r="E227" i="5"/>
  <c r="F227" i="5"/>
  <c r="R227" i="5"/>
  <c r="Q227" i="5" s="1"/>
  <c r="G227" i="5"/>
  <c r="L227" i="5"/>
  <c r="M227" i="5"/>
  <c r="O227" i="5"/>
  <c r="D227" i="5"/>
  <c r="I227" i="5"/>
  <c r="J227" i="5"/>
  <c r="B228" i="5"/>
  <c r="P228" i="5" s="1"/>
  <c r="C227" i="5"/>
  <c r="N227" i="5" l="1" a="1"/>
  <c r="N227" i="5" s="1"/>
  <c r="U227" i="5" a="1"/>
  <c r="U227" i="5" s="1"/>
  <c r="T227" i="5" a="1"/>
  <c r="T227" i="5" s="1"/>
  <c r="L228" i="5"/>
  <c r="M228" i="5"/>
  <c r="D228" i="5"/>
  <c r="O228" i="5"/>
  <c r="R228" i="5"/>
  <c r="Q228" i="5" s="1"/>
  <c r="E228" i="5"/>
  <c r="F228" i="5"/>
  <c r="G228" i="5"/>
  <c r="I228" i="5"/>
  <c r="J228" i="5"/>
  <c r="B229" i="5"/>
  <c r="P229" i="5" s="1"/>
  <c r="C228" i="5"/>
  <c r="N228" i="5" l="1" a="1"/>
  <c r="N228" i="5" s="1"/>
  <c r="U228" i="5" a="1"/>
  <c r="U228" i="5" s="1"/>
  <c r="T228" i="5" a="1"/>
  <c r="T228" i="5" s="1"/>
  <c r="F229" i="5"/>
  <c r="O229" i="5"/>
  <c r="G229" i="5"/>
  <c r="R229" i="5"/>
  <c r="Q229" i="5" s="1"/>
  <c r="I229" i="5"/>
  <c r="D229" i="5"/>
  <c r="E229" i="5"/>
  <c r="J229" i="5"/>
  <c r="L229" i="5"/>
  <c r="M229" i="5"/>
  <c r="B230" i="5"/>
  <c r="P230" i="5" s="1"/>
  <c r="C229" i="5"/>
  <c r="N229" i="5" l="1" a="1"/>
  <c r="N229" i="5" s="1"/>
  <c r="U229" i="5" a="1"/>
  <c r="U229" i="5" s="1"/>
  <c r="T229" i="5" a="1"/>
  <c r="T229" i="5" s="1"/>
  <c r="L230" i="5"/>
  <c r="M230" i="5"/>
  <c r="D230" i="5"/>
  <c r="O230" i="5"/>
  <c r="R230" i="5"/>
  <c r="Q230" i="5" s="1"/>
  <c r="E230" i="5"/>
  <c r="F230" i="5"/>
  <c r="G230" i="5"/>
  <c r="I230" i="5"/>
  <c r="J230" i="5"/>
  <c r="B231" i="5"/>
  <c r="P231" i="5" s="1"/>
  <c r="C230" i="5"/>
  <c r="N230" i="5" l="1" a="1"/>
  <c r="N230" i="5" s="1"/>
  <c r="U230" i="5" a="1"/>
  <c r="U230" i="5" s="1"/>
  <c r="T230" i="5" a="1"/>
  <c r="T230" i="5" s="1"/>
  <c r="F231" i="5"/>
  <c r="R231" i="5"/>
  <c r="Q231" i="5" s="1"/>
  <c r="G231" i="5"/>
  <c r="I231" i="5"/>
  <c r="D231" i="5"/>
  <c r="E231" i="5"/>
  <c r="J231" i="5"/>
  <c r="L231" i="5"/>
  <c r="M231" i="5"/>
  <c r="O231" i="5"/>
  <c r="B232" i="5"/>
  <c r="P232" i="5" s="1"/>
  <c r="C231" i="5"/>
  <c r="N231" i="5" l="1" a="1"/>
  <c r="N231" i="5" s="1"/>
  <c r="U231" i="5" a="1"/>
  <c r="U231" i="5" s="1"/>
  <c r="T231" i="5" a="1"/>
  <c r="T231" i="5" s="1"/>
  <c r="N232" i="5" a="1"/>
  <c r="N232" i="5" s="1"/>
  <c r="D232" i="5"/>
  <c r="E232" i="5"/>
  <c r="F232" i="5"/>
  <c r="G232" i="5"/>
  <c r="I232" i="5"/>
  <c r="J232" i="5"/>
  <c r="L232" i="5"/>
  <c r="O232" i="5"/>
  <c r="R232" i="5"/>
  <c r="Q232" i="5" s="1"/>
  <c r="B233" i="5"/>
  <c r="P233" i="5" s="1"/>
  <c r="C232" i="5"/>
  <c r="G233" i="5" l="1"/>
  <c r="R233" i="5"/>
  <c r="Q233" i="5" s="1"/>
  <c r="I233" i="5"/>
  <c r="J233" i="5"/>
  <c r="D233" i="5"/>
  <c r="E233" i="5"/>
  <c r="F233" i="5"/>
  <c r="L233" i="5"/>
  <c r="M233" i="5"/>
  <c r="O233" i="5"/>
  <c r="B234" i="5"/>
  <c r="P234" i="5" s="1"/>
  <c r="C233" i="5"/>
  <c r="N233" i="5" l="1" a="1"/>
  <c r="N233" i="5" s="1"/>
  <c r="U233" i="5" a="1"/>
  <c r="U233" i="5" s="1"/>
  <c r="T233" i="5" a="1"/>
  <c r="T233" i="5" s="1"/>
  <c r="M234" i="5"/>
  <c r="D234" i="5"/>
  <c r="E234" i="5"/>
  <c r="F234" i="5"/>
  <c r="G234" i="5"/>
  <c r="I234" i="5"/>
  <c r="J234" i="5"/>
  <c r="O234" i="5"/>
  <c r="R234" i="5"/>
  <c r="Q234" i="5" s="1"/>
  <c r="L234" i="5"/>
  <c r="B235" i="5"/>
  <c r="P235" i="5" s="1"/>
  <c r="C234" i="5"/>
  <c r="N234" i="5" l="1" a="1"/>
  <c r="N234" i="5" s="1"/>
  <c r="U234" i="5" a="1"/>
  <c r="U234" i="5" s="1"/>
  <c r="T234" i="5" a="1"/>
  <c r="T234" i="5" s="1"/>
  <c r="G235" i="5"/>
  <c r="I235" i="5"/>
  <c r="J235" i="5"/>
  <c r="E235" i="5"/>
  <c r="F235" i="5"/>
  <c r="L235" i="5"/>
  <c r="N235" i="5" a="1"/>
  <c r="N235" i="5" s="1"/>
  <c r="R235" i="5"/>
  <c r="Q235" i="5" s="1"/>
  <c r="O235" i="5"/>
  <c r="D235" i="5"/>
  <c r="B236" i="5"/>
  <c r="P236" i="5" s="1"/>
  <c r="C235" i="5"/>
  <c r="D236" i="5" l="1"/>
  <c r="E236" i="5"/>
  <c r="F236" i="5"/>
  <c r="O236" i="5"/>
  <c r="I236" i="5"/>
  <c r="J236" i="5"/>
  <c r="L236" i="5"/>
  <c r="M236" i="5"/>
  <c r="G236" i="5"/>
  <c r="R236" i="5"/>
  <c r="Q236" i="5" s="1"/>
  <c r="B237" i="5"/>
  <c r="P237" i="5" s="1"/>
  <c r="C236" i="5"/>
  <c r="N236" i="5" l="1" a="1"/>
  <c r="N236" i="5" s="1"/>
  <c r="U236" i="5" a="1"/>
  <c r="U236" i="5" s="1"/>
  <c r="T236" i="5" a="1"/>
  <c r="T236" i="5" s="1"/>
  <c r="I237" i="5"/>
  <c r="J237" i="5"/>
  <c r="L237" i="5"/>
  <c r="G237" i="5"/>
  <c r="M237" i="5"/>
  <c r="D237" i="5"/>
  <c r="R237" i="5"/>
  <c r="Q237" i="5" s="1"/>
  <c r="E237" i="5"/>
  <c r="O237" i="5"/>
  <c r="F237" i="5"/>
  <c r="B238" i="5"/>
  <c r="P238" i="5" s="1"/>
  <c r="C237" i="5"/>
  <c r="N237" i="5" l="1" a="1"/>
  <c r="N237" i="5" s="1"/>
  <c r="U237" i="5" a="1"/>
  <c r="U237" i="5" s="1"/>
  <c r="T237" i="5" a="1"/>
  <c r="T237" i="5" s="1"/>
  <c r="D238" i="5"/>
  <c r="E238" i="5"/>
  <c r="F238" i="5"/>
  <c r="O238" i="5"/>
  <c r="J238" i="5"/>
  <c r="L238" i="5"/>
  <c r="N238" i="5" a="1"/>
  <c r="N238" i="5" s="1"/>
  <c r="R238" i="5"/>
  <c r="Q238" i="5" s="1"/>
  <c r="G238" i="5"/>
  <c r="I238" i="5"/>
  <c r="B239" i="5"/>
  <c r="P239" i="5" s="1"/>
  <c r="C238" i="5"/>
  <c r="I239" i="5" l="1"/>
  <c r="J239" i="5"/>
  <c r="L239" i="5"/>
  <c r="M239" i="5"/>
  <c r="O239" i="5"/>
  <c r="R239" i="5"/>
  <c r="Q239" i="5" s="1"/>
  <c r="E239" i="5"/>
  <c r="F239" i="5"/>
  <c r="D239" i="5"/>
  <c r="G239" i="5"/>
  <c r="B240" i="5"/>
  <c r="P240" i="5" s="1"/>
  <c r="C239" i="5"/>
  <c r="N239" i="5" l="1" a="1"/>
  <c r="N239" i="5" s="1"/>
  <c r="U239" i="5" a="1"/>
  <c r="U239" i="5" s="1"/>
  <c r="T239" i="5" a="1"/>
  <c r="T239" i="5" s="1"/>
  <c r="E240" i="5"/>
  <c r="F240" i="5"/>
  <c r="O240" i="5"/>
  <c r="G240" i="5"/>
  <c r="R240" i="5"/>
  <c r="Q240" i="5" s="1"/>
  <c r="M240" i="5"/>
  <c r="I240" i="5"/>
  <c r="J240" i="5"/>
  <c r="L240" i="5"/>
  <c r="D240" i="5"/>
  <c r="B241" i="5"/>
  <c r="P241" i="5" s="1"/>
  <c r="C240" i="5"/>
  <c r="N240" i="5" l="1" a="1"/>
  <c r="N240" i="5" s="1"/>
  <c r="U240" i="5" a="1"/>
  <c r="U240" i="5" s="1"/>
  <c r="T240" i="5" a="1"/>
  <c r="T240" i="5" s="1"/>
  <c r="J241" i="5"/>
  <c r="L241" i="5"/>
  <c r="M241" i="5"/>
  <c r="O241" i="5"/>
  <c r="D241" i="5"/>
  <c r="R241" i="5"/>
  <c r="Q241" i="5" s="1"/>
  <c r="E241" i="5"/>
  <c r="G241" i="5"/>
  <c r="I241" i="5"/>
  <c r="F241" i="5"/>
  <c r="B242" i="5"/>
  <c r="P242" i="5" s="1"/>
  <c r="C241" i="5"/>
  <c r="N241" i="5" l="1" a="1"/>
  <c r="N241" i="5" s="1"/>
  <c r="U241" i="5" a="1"/>
  <c r="U241" i="5" s="1"/>
  <c r="T241" i="5" a="1"/>
  <c r="T241" i="5" s="1"/>
  <c r="E242" i="5"/>
  <c r="F242" i="5"/>
  <c r="R242" i="5"/>
  <c r="Q242" i="5" s="1"/>
  <c r="G242" i="5"/>
  <c r="O242" i="5"/>
  <c r="D242" i="5"/>
  <c r="J242" i="5"/>
  <c r="L242" i="5"/>
  <c r="I242" i="5"/>
  <c r="N242" i="5" a="1"/>
  <c r="N242" i="5" s="1"/>
  <c r="B243" i="5"/>
  <c r="P243" i="5" s="1"/>
  <c r="C242" i="5"/>
  <c r="L243" i="5" l="1"/>
  <c r="M243" i="5"/>
  <c r="D243" i="5"/>
  <c r="O243" i="5"/>
  <c r="E243" i="5"/>
  <c r="F243" i="5"/>
  <c r="G243" i="5"/>
  <c r="J243" i="5"/>
  <c r="R243" i="5"/>
  <c r="Q243" i="5" s="1"/>
  <c r="I243" i="5"/>
  <c r="B244" i="5"/>
  <c r="P244" i="5" s="1"/>
  <c r="C243" i="5"/>
  <c r="N243" i="5" l="1" a="1"/>
  <c r="N243" i="5" s="1"/>
  <c r="U243" i="5" a="1"/>
  <c r="U243" i="5" s="1"/>
  <c r="T243" i="5" a="1"/>
  <c r="T243" i="5" s="1"/>
  <c r="I244" i="5"/>
  <c r="J244" i="5"/>
  <c r="L244" i="5"/>
  <c r="E244" i="5"/>
  <c r="F244" i="5"/>
  <c r="G244" i="5"/>
  <c r="M244" i="5"/>
  <c r="O244" i="5"/>
  <c r="R244" i="5"/>
  <c r="Q244" i="5" s="1"/>
  <c r="D244" i="5"/>
  <c r="B245" i="5"/>
  <c r="P245" i="5" s="1"/>
  <c r="C244" i="5"/>
  <c r="N244" i="5" l="1" a="1"/>
  <c r="N244" i="5" s="1"/>
  <c r="U244" i="5" a="1"/>
  <c r="U244" i="5" s="1"/>
  <c r="T244" i="5" a="1"/>
  <c r="T244" i="5" s="1"/>
  <c r="D245" i="5"/>
  <c r="E245" i="5"/>
  <c r="O245" i="5"/>
  <c r="F245" i="5"/>
  <c r="G245" i="5"/>
  <c r="I245" i="5"/>
  <c r="J245" i="5"/>
  <c r="L245" i="5"/>
  <c r="R245" i="5"/>
  <c r="Q245" i="5" s="1"/>
  <c r="M245" i="5"/>
  <c r="B246" i="5"/>
  <c r="P246" i="5" s="1"/>
  <c r="C245" i="5"/>
  <c r="N245" i="5" l="1" a="1"/>
  <c r="N245" i="5" s="1"/>
  <c r="U245" i="5" a="1"/>
  <c r="U245" i="5" s="1"/>
  <c r="T245" i="5" a="1"/>
  <c r="T245" i="5" s="1"/>
  <c r="I246" i="5"/>
  <c r="J246" i="5"/>
  <c r="L246" i="5"/>
  <c r="F246" i="5"/>
  <c r="G246" i="5"/>
  <c r="N246" i="5" a="1"/>
  <c r="N246" i="5" s="1"/>
  <c r="O246" i="5"/>
  <c r="D246" i="5"/>
  <c r="R246" i="5"/>
  <c r="Q246" i="5" s="1"/>
  <c r="E246" i="5"/>
  <c r="B247" i="5"/>
  <c r="P247" i="5" s="1"/>
  <c r="C246" i="5"/>
  <c r="F247" i="5" l="1"/>
  <c r="R247" i="5"/>
  <c r="Q247" i="5" s="1"/>
  <c r="G247" i="5"/>
  <c r="I247" i="5"/>
  <c r="L247" i="5"/>
  <c r="M247" i="5"/>
  <c r="O247" i="5"/>
  <c r="D247" i="5"/>
  <c r="E247" i="5"/>
  <c r="J247" i="5"/>
  <c r="B248" i="5"/>
  <c r="P248" i="5" s="1"/>
  <c r="C247" i="5"/>
  <c r="N247" i="5" l="1" a="1"/>
  <c r="N247" i="5" s="1"/>
  <c r="U247" i="5" a="1"/>
  <c r="U247" i="5" s="1"/>
  <c r="T247" i="5" a="1"/>
  <c r="T247" i="5" s="1"/>
  <c r="M248" i="5"/>
  <c r="D248" i="5"/>
  <c r="E248" i="5"/>
  <c r="O248" i="5"/>
  <c r="L248" i="5"/>
  <c r="R248" i="5"/>
  <c r="Q248" i="5" s="1"/>
  <c r="G248" i="5"/>
  <c r="I248" i="5"/>
  <c r="F248" i="5"/>
  <c r="J248" i="5"/>
  <c r="B249" i="5"/>
  <c r="P249" i="5" s="1"/>
  <c r="C248" i="5"/>
  <c r="N248" i="5" l="1" a="1"/>
  <c r="N248" i="5" s="1"/>
  <c r="U248" i="5" a="1"/>
  <c r="U248" i="5" s="1"/>
  <c r="T248" i="5" a="1"/>
  <c r="T248" i="5" s="1"/>
  <c r="I249" i="5"/>
  <c r="J249" i="5"/>
  <c r="L249" i="5"/>
  <c r="R249" i="5"/>
  <c r="Q249" i="5" s="1"/>
  <c r="D249" i="5"/>
  <c r="E249" i="5"/>
  <c r="G249" i="5"/>
  <c r="M249" i="5"/>
  <c r="F249" i="5"/>
  <c r="O249" i="5"/>
  <c r="B250" i="5"/>
  <c r="P250" i="5" s="1"/>
  <c r="C249" i="5"/>
  <c r="N249" i="5" l="1" a="1"/>
  <c r="N249" i="5" s="1"/>
  <c r="U249" i="5" a="1"/>
  <c r="U249" i="5" s="1"/>
  <c r="T249" i="5" a="1"/>
  <c r="T249" i="5" s="1"/>
  <c r="F250" i="5"/>
  <c r="O250" i="5"/>
  <c r="G250" i="5"/>
  <c r="R250" i="5"/>
  <c r="Q250" i="5" s="1"/>
  <c r="I250" i="5"/>
  <c r="D250" i="5"/>
  <c r="E250" i="5"/>
  <c r="J250" i="5"/>
  <c r="M250" i="5"/>
  <c r="L250" i="5"/>
  <c r="B251" i="5"/>
  <c r="P251" i="5" s="1"/>
  <c r="C250" i="5"/>
  <c r="N250" i="5" l="1" a="1"/>
  <c r="N250" i="5" s="1"/>
  <c r="U250" i="5" a="1"/>
  <c r="U250" i="5" s="1"/>
  <c r="T250" i="5" a="1"/>
  <c r="T250" i="5" s="1"/>
  <c r="L251" i="5"/>
  <c r="N251" i="5" a="1"/>
  <c r="N251" i="5" s="1"/>
  <c r="D251" i="5"/>
  <c r="E251" i="5"/>
  <c r="R251" i="5"/>
  <c r="Q251" i="5" s="1"/>
  <c r="F251" i="5"/>
  <c r="G251" i="5"/>
  <c r="J251" i="5"/>
  <c r="I251" i="5"/>
  <c r="O251" i="5"/>
  <c r="B252" i="5"/>
  <c r="P252" i="5" s="1"/>
  <c r="C251" i="5"/>
  <c r="F252" i="5" l="1"/>
  <c r="G252" i="5"/>
  <c r="O252" i="5"/>
  <c r="R252" i="5"/>
  <c r="Q252" i="5" s="1"/>
  <c r="D252" i="5"/>
  <c r="E252" i="5"/>
  <c r="J252" i="5"/>
  <c r="L252" i="5"/>
  <c r="I252" i="5"/>
  <c r="N252" i="5" a="1"/>
  <c r="N252" i="5" s="1"/>
  <c r="B253" i="5"/>
  <c r="P253" i="5" s="1"/>
  <c r="C252" i="5"/>
  <c r="D253" i="5" l="1"/>
  <c r="E253" i="5"/>
  <c r="O253" i="5"/>
  <c r="F253" i="5"/>
  <c r="R253" i="5"/>
  <c r="Q253" i="5" s="1"/>
  <c r="G253" i="5"/>
  <c r="J253" i="5"/>
  <c r="L253" i="5"/>
  <c r="N253" i="5" a="1"/>
  <c r="N253" i="5" s="1"/>
  <c r="I253" i="5"/>
  <c r="B254" i="5"/>
  <c r="P254" i="5" s="1"/>
  <c r="C253" i="5"/>
  <c r="G254" i="5" l="1"/>
  <c r="R254" i="5"/>
  <c r="Q254" i="5" s="1"/>
  <c r="I254" i="5"/>
  <c r="M254" i="5"/>
  <c r="O254" i="5"/>
  <c r="D254" i="5"/>
  <c r="F254" i="5"/>
  <c r="J254" i="5"/>
  <c r="E254" i="5"/>
  <c r="L254" i="5"/>
  <c r="B255" i="5"/>
  <c r="P255" i="5" s="1"/>
  <c r="C254" i="5"/>
  <c r="N254" i="5" l="1" a="1"/>
  <c r="N254" i="5" s="1"/>
  <c r="U254" i="5" a="1"/>
  <c r="U254" i="5" s="1"/>
  <c r="T254" i="5" a="1"/>
  <c r="T254" i="5" s="1"/>
  <c r="M255" i="5"/>
  <c r="D255" i="5"/>
  <c r="O255" i="5"/>
  <c r="J255" i="5"/>
  <c r="L255" i="5"/>
  <c r="R255" i="5"/>
  <c r="Q255" i="5" s="1"/>
  <c r="F255" i="5"/>
  <c r="G255" i="5"/>
  <c r="E255" i="5"/>
  <c r="I255" i="5"/>
  <c r="B256" i="5"/>
  <c r="P256" i="5" s="1"/>
  <c r="C255" i="5"/>
  <c r="N255" i="5" l="1" a="1"/>
  <c r="N255" i="5" s="1"/>
  <c r="U255" i="5" a="1"/>
  <c r="U255" i="5" s="1"/>
  <c r="T255" i="5" a="1"/>
  <c r="T255" i="5" s="1"/>
  <c r="J256" i="5"/>
  <c r="L256" i="5"/>
  <c r="M256" i="5"/>
  <c r="D256" i="5"/>
  <c r="O256" i="5"/>
  <c r="F256" i="5"/>
  <c r="G256" i="5"/>
  <c r="E256" i="5"/>
  <c r="R256" i="5"/>
  <c r="Q256" i="5" s="1"/>
  <c r="I256" i="5"/>
  <c r="B257" i="5"/>
  <c r="P257" i="5" s="1"/>
  <c r="C256" i="5"/>
  <c r="N256" i="5" l="1" a="1"/>
  <c r="N256" i="5" s="1"/>
  <c r="U256" i="5" a="1"/>
  <c r="U256" i="5" s="1"/>
  <c r="T256" i="5" a="1"/>
  <c r="T256" i="5" s="1"/>
  <c r="E257" i="5"/>
  <c r="F257" i="5"/>
  <c r="J257" i="5"/>
  <c r="L257" i="5"/>
  <c r="M257" i="5"/>
  <c r="D257" i="5"/>
  <c r="G257" i="5"/>
  <c r="R257" i="5"/>
  <c r="Q257" i="5" s="1"/>
  <c r="I257" i="5"/>
  <c r="O257" i="5"/>
  <c r="B258" i="5"/>
  <c r="P258" i="5" s="1"/>
  <c r="C257" i="5"/>
  <c r="N257" i="5" l="1" a="1"/>
  <c r="N257" i="5" s="1"/>
  <c r="U257" i="5" a="1"/>
  <c r="U257" i="5" s="1"/>
  <c r="T257" i="5" a="1"/>
  <c r="T257" i="5" s="1"/>
  <c r="E258" i="5"/>
  <c r="F258" i="5"/>
  <c r="O258" i="5"/>
  <c r="G258" i="5"/>
  <c r="I258" i="5"/>
  <c r="R258" i="5"/>
  <c r="Q258" i="5" s="1"/>
  <c r="L258" i="5"/>
  <c r="M258" i="5"/>
  <c r="J258" i="5"/>
  <c r="D258" i="5"/>
  <c r="B259" i="5"/>
  <c r="P259" i="5" s="1"/>
  <c r="C258" i="5"/>
  <c r="N258" i="5" l="1" a="1"/>
  <c r="N258" i="5" s="1"/>
  <c r="U258" i="5" a="1"/>
  <c r="U258" i="5" s="1"/>
  <c r="T258" i="5" a="1"/>
  <c r="T258" i="5" s="1"/>
  <c r="I259" i="5"/>
  <c r="J259" i="5"/>
  <c r="L259" i="5"/>
  <c r="M259" i="5"/>
  <c r="E259" i="5"/>
  <c r="R259" i="5"/>
  <c r="Q259" i="5" s="1"/>
  <c r="F259" i="5"/>
  <c r="D259" i="5"/>
  <c r="O259" i="5"/>
  <c r="G259" i="5"/>
  <c r="B260" i="5"/>
  <c r="P260" i="5" s="1"/>
  <c r="C259" i="5"/>
  <c r="N259" i="5" l="1" a="1"/>
  <c r="N259" i="5" s="1"/>
  <c r="U259" i="5" a="1"/>
  <c r="U259" i="5" s="1"/>
  <c r="T259" i="5" a="1"/>
  <c r="T259" i="5" s="1"/>
  <c r="F260" i="5"/>
  <c r="G260" i="5"/>
  <c r="O260" i="5"/>
  <c r="I260" i="5"/>
  <c r="R260" i="5"/>
  <c r="Q260" i="5" s="1"/>
  <c r="J260" i="5"/>
  <c r="M260" i="5"/>
  <c r="D260" i="5"/>
  <c r="E260" i="5"/>
  <c r="L260" i="5"/>
  <c r="B261" i="5"/>
  <c r="P261" i="5" s="1"/>
  <c r="C260" i="5"/>
  <c r="N260" i="5" l="1" a="1"/>
  <c r="N260" i="5" s="1"/>
  <c r="U260" i="5" a="1"/>
  <c r="U260" i="5" s="1"/>
  <c r="T260" i="5" a="1"/>
  <c r="T260" i="5" s="1"/>
  <c r="J261" i="5"/>
  <c r="L261" i="5"/>
  <c r="M261" i="5"/>
  <c r="D261" i="5"/>
  <c r="O261" i="5"/>
  <c r="F261" i="5"/>
  <c r="R261" i="5"/>
  <c r="Q261" i="5" s="1"/>
  <c r="G261" i="5"/>
  <c r="E261" i="5"/>
  <c r="I261" i="5"/>
  <c r="B262" i="5"/>
  <c r="P262" i="5" s="1"/>
  <c r="C261" i="5"/>
  <c r="N261" i="5" l="1" a="1"/>
  <c r="N261" i="5" s="1"/>
  <c r="U261" i="5" a="1"/>
  <c r="U261" i="5" s="1"/>
  <c r="T261" i="5" a="1"/>
  <c r="T261" i="5" s="1"/>
  <c r="F262" i="5"/>
  <c r="O262" i="5"/>
  <c r="G262" i="5"/>
  <c r="R262" i="5"/>
  <c r="Q262" i="5" s="1"/>
  <c r="I262" i="5"/>
  <c r="J262" i="5"/>
  <c r="M262" i="5"/>
  <c r="D262" i="5"/>
  <c r="L262" i="5"/>
  <c r="E262" i="5"/>
  <c r="B263" i="5"/>
  <c r="P263" i="5" s="1"/>
  <c r="C262" i="5"/>
  <c r="N262" i="5" l="1" a="1"/>
  <c r="N262" i="5" s="1"/>
  <c r="U262" i="5" a="1"/>
  <c r="U262" i="5" s="1"/>
  <c r="T262" i="5" a="1"/>
  <c r="T262" i="5" s="1"/>
  <c r="L263" i="5"/>
  <c r="N263" i="5" a="1"/>
  <c r="N263" i="5" s="1"/>
  <c r="D263" i="5"/>
  <c r="O263" i="5"/>
  <c r="E263" i="5"/>
  <c r="R263" i="5"/>
  <c r="Q263" i="5" s="1"/>
  <c r="G263" i="5"/>
  <c r="I263" i="5"/>
  <c r="F263" i="5"/>
  <c r="J263" i="5"/>
  <c r="B264" i="5"/>
  <c r="P264" i="5" s="1"/>
  <c r="C263" i="5"/>
  <c r="I264" i="5" l="1"/>
  <c r="R264" i="5"/>
  <c r="Q264" i="5" s="1"/>
  <c r="J264" i="5"/>
  <c r="L264" i="5"/>
  <c r="M264" i="5"/>
  <c r="E264" i="5"/>
  <c r="F264" i="5"/>
  <c r="D264" i="5"/>
  <c r="G264" i="5"/>
  <c r="O264" i="5"/>
  <c r="B265" i="5"/>
  <c r="P265" i="5" s="1"/>
  <c r="C264" i="5"/>
  <c r="N264" i="5" l="1" a="1"/>
  <c r="N264" i="5" s="1"/>
  <c r="U264" i="5" a="1"/>
  <c r="U264" i="5" s="1"/>
  <c r="T264" i="5" a="1"/>
  <c r="T264" i="5" s="1"/>
  <c r="M265" i="5"/>
  <c r="D265" i="5"/>
  <c r="O265" i="5"/>
  <c r="E265" i="5"/>
  <c r="F265" i="5"/>
  <c r="R265" i="5"/>
  <c r="Q265" i="5" s="1"/>
  <c r="I265" i="5"/>
  <c r="J265" i="5"/>
  <c r="G265" i="5"/>
  <c r="L265" i="5"/>
  <c r="B266" i="5"/>
  <c r="P266" i="5" s="1"/>
  <c r="C265" i="5"/>
  <c r="N265" i="5" l="1" a="1"/>
  <c r="N265" i="5" s="1"/>
  <c r="U265" i="5" a="1"/>
  <c r="U265" i="5" s="1"/>
  <c r="T265" i="5" a="1"/>
  <c r="T265" i="5" s="1"/>
  <c r="I266" i="5"/>
  <c r="J266" i="5"/>
  <c r="L266" i="5"/>
  <c r="M266" i="5"/>
  <c r="E266" i="5"/>
  <c r="F266" i="5"/>
  <c r="O266" i="5"/>
  <c r="R266" i="5"/>
  <c r="Q266" i="5" s="1"/>
  <c r="D266" i="5"/>
  <c r="G266" i="5"/>
  <c r="B267" i="5"/>
  <c r="P267" i="5" s="1"/>
  <c r="C266" i="5"/>
  <c r="N266" i="5" l="1" a="1"/>
  <c r="N266" i="5" s="1"/>
  <c r="U266" i="5" a="1"/>
  <c r="U266" i="5" s="1"/>
  <c r="T266" i="5" a="1"/>
  <c r="T266" i="5" s="1"/>
  <c r="D267" i="5"/>
  <c r="O267" i="5"/>
  <c r="E267" i="5"/>
  <c r="R267" i="5"/>
  <c r="Q267" i="5" s="1"/>
  <c r="F267" i="5"/>
  <c r="G267" i="5"/>
  <c r="J267" i="5"/>
  <c r="L267" i="5"/>
  <c r="I267" i="5"/>
  <c r="M267" i="5"/>
  <c r="B268" i="5"/>
  <c r="P268" i="5" s="1"/>
  <c r="C267" i="5"/>
  <c r="N267" i="5" l="1" a="1"/>
  <c r="N267" i="5" s="1"/>
  <c r="U267" i="5" a="1"/>
  <c r="U267" i="5" s="1"/>
  <c r="T267" i="5" a="1"/>
  <c r="T267" i="5" s="1"/>
  <c r="L268" i="5"/>
  <c r="M268" i="5"/>
  <c r="D268" i="5"/>
  <c r="E268" i="5"/>
  <c r="G268" i="5"/>
  <c r="O268" i="5"/>
  <c r="I268" i="5"/>
  <c r="R268" i="5"/>
  <c r="Q268" i="5" s="1"/>
  <c r="F268" i="5"/>
  <c r="J268" i="5"/>
  <c r="B269" i="5"/>
  <c r="P269" i="5" s="1"/>
  <c r="C268" i="5"/>
  <c r="N268" i="5" l="1" a="1"/>
  <c r="N268" i="5" s="1"/>
  <c r="U268" i="5" a="1"/>
  <c r="U268" i="5" s="1"/>
  <c r="T268" i="5" a="1"/>
  <c r="T268" i="5" s="1"/>
  <c r="E269" i="5"/>
  <c r="F269" i="5"/>
  <c r="R269" i="5"/>
  <c r="Q269" i="5" s="1"/>
  <c r="G269" i="5"/>
  <c r="I269" i="5"/>
  <c r="L269" i="5"/>
  <c r="M269" i="5"/>
  <c r="J269" i="5"/>
  <c r="O269" i="5"/>
  <c r="D269" i="5"/>
  <c r="B270" i="5"/>
  <c r="P270" i="5" s="1"/>
  <c r="C269" i="5"/>
  <c r="N269" i="5" l="1" a="1"/>
  <c r="N269" i="5" s="1"/>
  <c r="U269" i="5" a="1"/>
  <c r="U269" i="5" s="1"/>
  <c r="T269" i="5" a="1"/>
  <c r="T269" i="5" s="1"/>
  <c r="L270" i="5"/>
  <c r="N270" i="5" a="1"/>
  <c r="N270" i="5" s="1"/>
  <c r="D270" i="5"/>
  <c r="E270" i="5"/>
  <c r="G270" i="5"/>
  <c r="R270" i="5"/>
  <c r="Q270" i="5" s="1"/>
  <c r="I270" i="5"/>
  <c r="F270" i="5"/>
  <c r="O270" i="5"/>
  <c r="J270" i="5"/>
  <c r="B271" i="5"/>
  <c r="P271" i="5" s="1"/>
  <c r="C270" i="5"/>
  <c r="F271" i="5" l="1"/>
  <c r="G271" i="5"/>
  <c r="I271" i="5"/>
  <c r="J271" i="5"/>
  <c r="N271" i="5" a="1"/>
  <c r="N271" i="5" s="1"/>
  <c r="D271" i="5"/>
  <c r="O271" i="5"/>
  <c r="E271" i="5"/>
  <c r="L271" i="5"/>
  <c r="R271" i="5"/>
  <c r="Q271" i="5" s="1"/>
  <c r="B272" i="5"/>
  <c r="P272" i="5" s="1"/>
  <c r="C271" i="5"/>
  <c r="D272" i="5" l="1"/>
  <c r="E272" i="5"/>
  <c r="F272" i="5"/>
  <c r="G272" i="5"/>
  <c r="O272" i="5"/>
  <c r="J272" i="5"/>
  <c r="L272" i="5"/>
  <c r="I272" i="5"/>
  <c r="M272" i="5"/>
  <c r="R272" i="5"/>
  <c r="Q272" i="5" s="1"/>
  <c r="B273" i="5"/>
  <c r="P273" i="5" s="1"/>
  <c r="C272" i="5"/>
  <c r="N272" i="5" l="1" a="1"/>
  <c r="N272" i="5" s="1"/>
  <c r="U272" i="5" a="1"/>
  <c r="U272" i="5" s="1"/>
  <c r="T272" i="5" a="1"/>
  <c r="T272" i="5" s="1"/>
  <c r="C273" i="5"/>
  <c r="G273" i="5"/>
  <c r="I273" i="5"/>
  <c r="J273" i="5"/>
  <c r="L273" i="5"/>
  <c r="D273" i="5"/>
  <c r="O273" i="5"/>
  <c r="E273" i="5"/>
  <c r="R273" i="5"/>
  <c r="Q273" i="5" s="1"/>
  <c r="N273" i="5" a="1"/>
  <c r="N273" i="5" s="1"/>
  <c r="F273" i="5"/>
  <c r="G19" i="3" l="1" a="1"/>
  <c r="G19" i="3" s="1"/>
  <c r="C19" i="3" a="1"/>
  <c r="C19" i="3" s="1"/>
  <c r="D19" i="3" a="1"/>
  <c r="D19" i="3" s="1"/>
  <c r="E19" i="3" a="1"/>
  <c r="E19" i="3" s="1"/>
  <c r="F19" i="3" a="1"/>
  <c r="F19" i="3" s="1"/>
  <c r="J26" i="3" a="1"/>
  <c r="J26" i="3" s="1"/>
  <c r="M26" i="3" a="1"/>
  <c r="M26" i="3" s="1"/>
  <c r="H26" i="3" a="1"/>
  <c r="H26" i="3" s="1"/>
  <c r="D15" i="3" a="1"/>
  <c r="D15" i="3" s="1"/>
  <c r="J15" i="3" a="1"/>
  <c r="J15" i="3" s="1"/>
  <c r="H15" i="3" a="1"/>
  <c r="H15" i="3" s="1"/>
  <c r="I15" i="3" a="1"/>
  <c r="I15" i="3" s="1"/>
  <c r="F15" i="3" a="1"/>
  <c r="F15" i="3" s="1"/>
  <c r="K8" i="3" a="1"/>
  <c r="K8" i="3" s="1"/>
  <c r="K9" i="3"/>
  <c r="K10" i="3"/>
  <c r="K7" i="3"/>
  <c r="G15" i="3" a="1"/>
  <c r="G15" i="3" s="1"/>
  <c r="K15" i="3" a="1"/>
  <c r="K15" i="3" s="1"/>
  <c r="H25" i="3"/>
  <c r="M25" i="3"/>
  <c r="D25" i="3"/>
  <c r="C25" i="3"/>
  <c r="F25" i="3"/>
  <c r="I25" i="3"/>
  <c r="L25" i="3"/>
  <c r="J25" i="3"/>
  <c r="G25" i="3"/>
  <c r="K25" i="3"/>
  <c r="E25" i="3"/>
  <c r="E26" i="3" a="1"/>
  <c r="E26" i="3" s="1"/>
  <c r="I26" i="3" a="1"/>
  <c r="I26" i="3" s="1"/>
  <c r="L26" i="3" a="1"/>
  <c r="L26" i="3" s="1"/>
  <c r="C26" i="3" a="1"/>
  <c r="C26" i="3" s="1"/>
  <c r="K26" i="3" a="1"/>
  <c r="K26" i="3" s="1"/>
  <c r="D26" i="3" a="1"/>
  <c r="D26" i="3" s="1"/>
  <c r="G26" i="3" a="1"/>
  <c r="G26" i="3" s="1"/>
  <c r="F26" i="3" a="1"/>
  <c r="F26" i="3" s="1"/>
  <c r="F8" i="3" a="1"/>
  <c r="F8" i="3" s="1"/>
  <c r="J7" i="3"/>
  <c r="E8" i="3" a="1"/>
  <c r="E8" i="3" s="1"/>
  <c r="G10" i="3"/>
  <c r="H10" i="3"/>
  <c r="D7" i="3"/>
  <c r="D9" i="3"/>
  <c r="E10" i="3"/>
  <c r="H9" i="3"/>
  <c r="G7" i="3"/>
  <c r="E9" i="3"/>
  <c r="I8" i="3" a="1"/>
  <c r="I8" i="3" s="1"/>
  <c r="J8" i="3" a="1"/>
  <c r="J8" i="3" s="1"/>
  <c r="I10" i="3"/>
  <c r="I9" i="3"/>
  <c r="F10" i="3"/>
  <c r="D8" i="3" a="1"/>
  <c r="D8" i="3" s="1"/>
  <c r="G9" i="3"/>
  <c r="F7" i="3"/>
  <c r="J9" i="3"/>
  <c r="H8" i="3" a="1"/>
  <c r="H8" i="3" s="1"/>
  <c r="J10" i="3"/>
  <c r="E7" i="3"/>
  <c r="D10" i="3"/>
  <c r="H7" i="3"/>
  <c r="G8" i="3" a="1"/>
  <c r="G8" i="3" s="1"/>
  <c r="F9" i="3"/>
  <c r="I7" i="3"/>
  <c r="C8" i="3"/>
  <c r="C7" i="3"/>
  <c r="C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tc={3E91C15C-834A-4B5C-95C8-3F1BA7B34A63}</author>
    <author>tc={47D75171-7514-41B6-8029-0B92D3F3A32F}</author>
    <author>tc={2E8AAEB3-CF38-40F2-B509-8904CD800015}</author>
    <author>tc={6B39D4D4-2CD4-4D2F-8674-5546A5D4769E}</author>
  </authors>
  <commentList>
    <comment ref="B33" authorId="0" shapeId="0" xr:uid="{3E91C15C-834A-4B5C-95C8-3F1BA7B34A63}">
      <text>
        <t>[Threaded comment]
Your version of Excel allows you to read this threaded comment; however, any edits to it will get removed if the file is opened in a newer version of Excel. Learn more: https://go.microsoft.com/fwlink/?linkid=870924
Comment:
    Share % reflects as share of number of investors; it does not reflect % participation in deal size (USD M)</t>
      </text>
    </comment>
    <comment ref="B34" authorId="1" shapeId="0" xr:uid="{47D75171-7514-41B6-8029-0B92D3F3A32F}">
      <text>
        <t>[Threaded comment]
Your version of Excel allows you to read this threaded comment; however, any edits to it will get removed if the file is opened in a newer version of Excel. Learn more: https://go.microsoft.com/fwlink/?linkid=870924
Comment:
    Share % reflects as share of number of investors; it does not reflect % participation in deal size (USD M)</t>
      </text>
    </comment>
    <comment ref="B65" authorId="2" shapeId="0" xr:uid="{2E8AAEB3-CF38-40F2-B509-8904CD800015}">
      <text>
        <t>[Threaded comment]
Your version of Excel allows you to read this threaded comment; however, any edits to it will get removed if the file is opened in a newer version of Excel. Learn more: https://go.microsoft.com/fwlink/?linkid=870924
Comment:
    Reflects median debt share *only* in deals that reported debt</t>
      </text>
    </comment>
    <comment ref="B66" authorId="3" shapeId="0" xr:uid="{6B39D4D4-2CD4-4D2F-8674-5546A5D4769E}">
      <text>
        <t>[Threaded comment]
Your version of Excel allows you to read this threaded comment; however, any edits to it will get removed if the file is opened in a newer version of Excel. Learn more: https://go.microsoft.com/fwlink/?linkid=870924
Comment:
    Average share of debt across all deals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tc={DB861BA5-A21D-46D7-9626-EE387575986E}</author>
    <author>tc={5E57D191-07C5-41C9-BC0B-830113D32B58}</author>
    <author>tc={24211D77-090C-46E1-83EC-F099235134E2}</author>
    <author>tc={1AC53312-2287-4EDB-9D6F-DC616E66C3FC}</author>
  </authors>
  <commentList>
    <comment ref="I2" authorId="0" shapeId="0" xr:uid="{DB861BA5-A21D-46D7-9626-EE387575986E}">
      <text>
        <t xml:space="preserve">[Threaded comment]
Your version of Excel allows you to read this threaded comment; however, any edits to it will get removed if the file is opened in a newer version of Excel. Learn more: https://go.microsoft.com/fwlink/?linkid=870924
Comment:
    Refers to total capital (USD M) raised until the date of the focus deal (bridge) and not up to date (i.e., Dec-25, if more rounds have been raised subsequently) </t>
      </text>
    </comment>
    <comment ref="S2" authorId="1" shapeId="0" xr:uid="{5E57D191-07C5-41C9-BC0B-830113D32B58}">
      <text>
        <t xml:space="preserve">[Threaded comment]
Your version of Excel allows you to read this threaded comment; however, any edits to it will get removed if the file is opened in a newer version of Excel. Learn more: https://go.microsoft.com/fwlink/?linkid=870924
Comment:
    This only filters for *new* strategic investors </t>
      </text>
    </comment>
    <comment ref="T2" authorId="2" shapeId="0" xr:uid="{24211D77-090C-46E1-83EC-F099235134E2}">
      <text>
        <t>[Threaded comment]
Your version of Excel allows you to read this threaded comment; however, any edits to it will get removed if the file is opened in a newer version of Excel. Learn more: https://go.microsoft.com/fwlink/?linkid=870924
Comment:
    This scans for philanthropic capital across all participating investors</t>
      </text>
    </comment>
    <comment ref="U2" authorId="3" shapeId="0" xr:uid="{1AC53312-2287-4EDB-9D6F-DC616E66C3FC}">
      <text>
        <t>[Threaded comment]
Your version of Excel allows you to read this threaded comment; however, any edits to it will get removed if the file is opened in a newer version of Excel. Learn more: https://go.microsoft.com/fwlink/?linkid=870924
Comment:
    This reflects the investor mix among all participating investors (new and follow-on)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tc={41E8C41A-6A39-4599-8F9E-92613BA14C01}</author>
  </authors>
  <commentList>
    <comment ref="I2" authorId="0" shapeId="0" xr:uid="{41E8C41A-6A39-4599-8F9E-92613BA14C01}">
      <text>
        <t xml:space="preserve">[Threaded comment]
Your version of Excel allows you to read this threaded comment; however, any edits to it will get removed if the file is opened in a newer version of Excel. Learn more: https://go.microsoft.com/fwlink/?linkid=870924
Comment:
    Refers to USD amount raised up to the date of the focus deal (bridge) and not up to today (if more rounds have been raised subsequently)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tc={3C58899D-13E7-46A2-B1D4-1A20B4D5DFAB}</author>
    <author>tc={7903F85C-A91E-473D-B95B-0AA78802A256}</author>
  </authors>
  <commentList>
    <comment ref="B2" authorId="0" shapeId="0" xr:uid="{3C58899D-13E7-46A2-B1D4-1A20B4D5DFAB}">
      <text>
        <t>[Threaded comment]
Your version of Excel allows you to read this threaded comment; however, any edits to it will get removed if the file is opened in a newer version of Excel. Learn more: https://go.microsoft.com/fwlink/?linkid=870924
Comment:
    These companies have been excluded on the basis of scope for either of two reasons 1) Although strictly in scope, the technologies/ solutions offered by these companies are not priority sectors for Trellis’ investment strategy 2) The company  profile and development stage does not serve the purpose of this analysis (i.e., development capital for solar/ wind project developers would not provide insights regarding the commercialization pathways of early-of-a-kind technologies)</t>
      </text>
    </comment>
    <comment ref="E2" authorId="1" shapeId="0" xr:uid="{7903F85C-A91E-473D-B95B-0AA78802A256}">
      <text>
        <t xml:space="preserve">[Threaded comment]
Your version of Excel allows you to read this threaded comment; however, any edits to it will get removed if the file is opened in a newer version of Excel. Learn more: https://go.microsoft.com/fwlink/?linkid=870924
Comment:
    These companies were included even though it is unclear if the deals that cape up in the search would strictly fall under our definition of “bridge”. The reason for their inclusion was to boost the statistical significance of the analysis through a larger dataset, which, based on all factors we prioritize (solution, stage of development, capital access), fall in the scope of this analysis. Further bottom -up search of each of these rounds would be required to exclude them without compromising the dataset.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<sst xmlns="http://schemas.openxmlformats.org/spreadsheetml/2006/main" count="5913" uniqueCount="2324">
  <si>
    <t>Farmshelf</t>
  </si>
  <si>
    <t>Cooperative Energy Futures</t>
  </si>
  <si>
    <t>Gradiant</t>
  </si>
  <si>
    <t>Elevation</t>
  </si>
  <si>
    <t>Pristine Sun</t>
  </si>
  <si>
    <t>Tidal Vision</t>
  </si>
  <si>
    <t>Cambrian Innovation</t>
  </si>
  <si>
    <t>Apex</t>
  </si>
  <si>
    <t>38 degrees north</t>
  </si>
  <si>
    <t>Agilitas</t>
  </si>
  <si>
    <t>Altus</t>
  </si>
  <si>
    <t>APR</t>
  </si>
  <si>
    <t>Avantus</t>
  </si>
  <si>
    <t>Aypa</t>
  </si>
  <si>
    <t>AdBm</t>
  </si>
  <si>
    <t>Baja</t>
  </si>
  <si>
    <t>Biofiltro</t>
  </si>
  <si>
    <t>Aqua Membranes</t>
  </si>
  <si>
    <t>BlueWave solar</t>
  </si>
  <si>
    <t>Budderfly</t>
  </si>
  <si>
    <t>California Cultured</t>
  </si>
  <si>
    <t>Catalyze</t>
  </si>
  <si>
    <t>Cenergy</t>
  </si>
  <si>
    <t>Cherry Street</t>
  </si>
  <si>
    <t>Clean Chemistry</t>
  </si>
  <si>
    <t>Clean Energy Hydro</t>
  </si>
  <si>
    <t>Cogentrix</t>
  </si>
  <si>
    <t>Creston</t>
  </si>
  <si>
    <t>Cypress Creek</t>
  </si>
  <si>
    <t>Deep Blue</t>
  </si>
  <si>
    <t>Dispatch Energy</t>
  </si>
  <si>
    <t>Distributed Solar</t>
  </si>
  <si>
    <t>Doral</t>
  </si>
  <si>
    <t>e2companies</t>
  </si>
  <si>
    <t>Enchanted Rosk</t>
  </si>
  <si>
    <t>energyRe</t>
  </si>
  <si>
    <t>Enfinity Global</t>
  </si>
  <si>
    <t>esVolta</t>
  </si>
  <si>
    <t>Evensol</t>
  </si>
  <si>
    <t>Fastgrids</t>
  </si>
  <si>
    <t>Finless Foods</t>
  </si>
  <si>
    <t>Forever Oceans</t>
  </si>
  <si>
    <t>Global Water Farms</t>
  </si>
  <si>
    <t>Greenspark</t>
  </si>
  <si>
    <t xml:space="preserve">Hecate </t>
  </si>
  <si>
    <t>Industrial Sun</t>
  </si>
  <si>
    <t>Innovatreat</t>
  </si>
  <si>
    <t>Linea Energy</t>
  </si>
  <si>
    <t>MN8 Energy</t>
  </si>
  <si>
    <t>Momentum Solar</t>
  </si>
  <si>
    <t>New Columbia Solar</t>
  </si>
  <si>
    <t>NineDot Energy</t>
  </si>
  <si>
    <t>Nouvel Technologies</t>
  </si>
  <si>
    <t xml:space="preserve">OneEnergy </t>
  </si>
  <si>
    <t>Orbital energy</t>
  </si>
  <si>
    <t>Origis</t>
  </si>
  <si>
    <t>Powur</t>
  </si>
  <si>
    <t>Relight US</t>
  </si>
  <si>
    <t>Renewable Properties</t>
  </si>
  <si>
    <t>Renewavia</t>
  </si>
  <si>
    <t>SB Energy</t>
  </si>
  <si>
    <t>Segue Sustainable Infrastructure</t>
  </si>
  <si>
    <t>Silicon Ranch</t>
  </si>
  <si>
    <t>Soltage</t>
  </si>
  <si>
    <t>Summit Ridge Energy</t>
  </si>
  <si>
    <t>Suneast Development</t>
  </si>
  <si>
    <t>Sunstream Partners</t>
  </si>
  <si>
    <t>Suncest</t>
  </si>
  <si>
    <t>Terra Energy</t>
  </si>
  <si>
    <t>Torch Clean Energy</t>
  </si>
  <si>
    <t>Turning Point Energy</t>
  </si>
  <si>
    <t>Urban Grid Solar</t>
  </si>
  <si>
    <t>World Water Works</t>
  </si>
  <si>
    <t>Zapata Solar</t>
  </si>
  <si>
    <t>Aces Delta</t>
  </si>
  <si>
    <t>Development capital</t>
  </si>
  <si>
    <t xml:space="preserve">Aither </t>
  </si>
  <si>
    <t xml:space="preserve">Alva </t>
  </si>
  <si>
    <t>Amai</t>
  </si>
  <si>
    <t>Series 1</t>
  </si>
  <si>
    <t>Amber Kinetics</t>
  </si>
  <si>
    <t>Anthro</t>
  </si>
  <si>
    <t>Aymium</t>
  </si>
  <si>
    <t>BayoTech</t>
  </si>
  <si>
    <t>Brightmark</t>
  </si>
  <si>
    <t>California Bioenergy</t>
  </si>
  <si>
    <t>Chestnut Carbbon</t>
  </si>
  <si>
    <t>Clean Energy Terminals</t>
  </si>
  <si>
    <t>Clean Hydrogen Technologies</t>
  </si>
  <si>
    <t>ClearShift</t>
  </si>
  <si>
    <t>Cool Energy</t>
  </si>
  <si>
    <t>Dimensional Energy</t>
  </si>
  <si>
    <t>DTG Recycle</t>
  </si>
  <si>
    <t>Dynami</t>
  </si>
  <si>
    <t>Earth Grid</t>
  </si>
  <si>
    <t xml:space="preserve">Eco Carbon </t>
  </si>
  <si>
    <t>Emrgy</t>
  </si>
  <si>
    <t>Energy Dome</t>
  </si>
  <si>
    <t>EnGoPlanet</t>
  </si>
  <si>
    <t>N/A</t>
  </si>
  <si>
    <t>Envocore</t>
  </si>
  <si>
    <t>EPC Power</t>
  </si>
  <si>
    <t>Evergreen</t>
  </si>
  <si>
    <t>Footprint Power</t>
  </si>
  <si>
    <t>Frontier Carbon Solution</t>
  </si>
  <si>
    <t>Greenway</t>
  </si>
  <si>
    <t>H2MOF</t>
  </si>
  <si>
    <t>Heat Recovery Innovations</t>
  </si>
  <si>
    <t>iwi life</t>
  </si>
  <si>
    <t xml:space="preserve">Kaizen </t>
  </si>
  <si>
    <t>Lapis</t>
  </si>
  <si>
    <t>Maas Energy</t>
  </si>
  <si>
    <t>Mobius</t>
  </si>
  <si>
    <t>Momentum Technologies</t>
  </si>
  <si>
    <t>Montana Reneables</t>
  </si>
  <si>
    <t>MVCE</t>
  </si>
  <si>
    <t>Nacero</t>
  </si>
  <si>
    <t>Noria Energy</t>
  </si>
  <si>
    <t xml:space="preserve">Ocean Renewable </t>
  </si>
  <si>
    <t>Phase Change</t>
  </si>
  <si>
    <t>Phoam Labs</t>
  </si>
  <si>
    <t>Phoenix Hydrogen</t>
  </si>
  <si>
    <t>Posh Robotics</t>
  </si>
  <si>
    <t>Princeton NuEnergy</t>
  </si>
  <si>
    <t>Pure Green Farms</t>
  </si>
  <si>
    <t>Qualterra</t>
  </si>
  <si>
    <t>Raven</t>
  </si>
  <si>
    <t>ReElement</t>
  </si>
  <si>
    <t>Rove</t>
  </si>
  <si>
    <t>Scale Microgrid Solutions</t>
  </si>
  <si>
    <t>Scape Carbon</t>
  </si>
  <si>
    <t>Scooterson</t>
  </si>
  <si>
    <t>SGP Bioenergy</t>
  </si>
  <si>
    <t>Sinclair</t>
  </si>
  <si>
    <t>Smart wires (only 2nd)</t>
  </si>
  <si>
    <t>Sol Clarity</t>
  </si>
  <si>
    <t>Spotlight Solar</t>
  </si>
  <si>
    <t>Sundensity</t>
  </si>
  <si>
    <t>Suniva</t>
  </si>
  <si>
    <t>SunModo</t>
  </si>
  <si>
    <t>Sunstream</t>
  </si>
  <si>
    <t>Swiftmile (only 1st)</t>
  </si>
  <si>
    <t>Tandem Repeat</t>
  </si>
  <si>
    <t>TemperPack</t>
  </si>
  <si>
    <t>Tomtex</t>
  </si>
  <si>
    <t>Tyfast</t>
  </si>
  <si>
    <t>UCAP</t>
  </si>
  <si>
    <t>Unirac</t>
  </si>
  <si>
    <t>Urbix</t>
  </si>
  <si>
    <t>Verenovo</t>
  </si>
  <si>
    <t>Vivid EV</t>
  </si>
  <si>
    <t>Volexion (only 1st)</t>
  </si>
  <si>
    <t>Company</t>
  </si>
  <si>
    <t>Round</t>
  </si>
  <si>
    <t>Wabash</t>
  </si>
  <si>
    <t>wasted</t>
  </si>
  <si>
    <t>Wildcat Discovery</t>
  </si>
  <si>
    <t>Windlift</t>
  </si>
  <si>
    <t>Zero Emission Industries (only 1st)</t>
  </si>
  <si>
    <t>Zincfive</t>
  </si>
  <si>
    <t>HQ Location</t>
  </si>
  <si>
    <t>Year Founded</t>
  </si>
  <si>
    <t>Verticals</t>
  </si>
  <si>
    <t>Description</t>
  </si>
  <si>
    <t>Company Website</t>
  </si>
  <si>
    <t>247Solar</t>
  </si>
  <si>
    <t>Great Falls, VA</t>
  </si>
  <si>
    <t>New York, NY</t>
  </si>
  <si>
    <t>Holladay, UT</t>
  </si>
  <si>
    <t>Addis Energy</t>
  </si>
  <si>
    <t>Somewille, MA</t>
  </si>
  <si>
    <t>Advanced Battery Concepts</t>
  </si>
  <si>
    <t>Clare, MI</t>
  </si>
  <si>
    <t>Aither Systems</t>
  </si>
  <si>
    <t>Alien, TX</t>
  </si>
  <si>
    <t>Alva Energy (Commercial Services)</t>
  </si>
  <si>
    <t>Cambridge, MA</t>
  </si>
  <si>
    <t>Amai (Food Products)</t>
  </si>
  <si>
    <t>Vista, CA</t>
  </si>
  <si>
    <t>Union City, CA</t>
  </si>
  <si>
    <t>Manufacturing</t>
  </si>
  <si>
    <t>Amogy</t>
  </si>
  <si>
    <t>San Jose, CA</t>
  </si>
  <si>
    <t>Anesi</t>
  </si>
  <si>
    <t>TN</t>
  </si>
  <si>
    <t>Anthro Energy</t>
  </si>
  <si>
    <t>Alameda, CA</t>
  </si>
  <si>
    <t>Antora Energy</t>
  </si>
  <si>
    <t>Sunnyuale, CA</t>
  </si>
  <si>
    <t>Fort Collins, CO</t>
  </si>
  <si>
    <t>Gwinn, MI</t>
  </si>
  <si>
    <t>Baja Carports</t>
  </si>
  <si>
    <t>Martinez, CA</t>
  </si>
  <si>
    <t>Houston, TX</t>
  </si>
  <si>
    <t>Biomason</t>
  </si>
  <si>
    <t>Durham, NC</t>
  </si>
  <si>
    <t>Blue Frontier</t>
  </si>
  <si>
    <t>Boca Raton, FL</t>
  </si>
  <si>
    <t>San Francisco, CA</t>
  </si>
  <si>
    <t>C-Power</t>
  </si>
  <si>
    <t>Charlottesville, VA</t>
  </si>
  <si>
    <t>Cadenza Innovation</t>
  </si>
  <si>
    <t>Danbury, CT</t>
  </si>
  <si>
    <t>Caelux</t>
  </si>
  <si>
    <t>Baldwin Park, CA</t>
  </si>
  <si>
    <t>Chatsworth, CA</t>
  </si>
  <si>
    <t>Visalia, CA</t>
  </si>
  <si>
    <t># ID</t>
  </si>
  <si>
    <t>Raised to Date</t>
  </si>
  <si>
    <t>Deal Date</t>
  </si>
  <si>
    <t>Wa tertown MA</t>
  </si>
  <si>
    <t>Climate Tech</t>
  </si>
  <si>
    <t>Capacitech Energy</t>
  </si>
  <si>
    <t>Orlando, FL</t>
  </si>
  <si>
    <t>Charm Industrial</t>
  </si>
  <si>
    <t>Chestnut Carbon</t>
  </si>
  <si>
    <t>Circ</t>
  </si>
  <si>
    <t>Danville, VA</t>
  </si>
  <si>
    <t>Valencia, CA</t>
  </si>
  <si>
    <t>Clean Fiber</t>
  </si>
  <si>
    <t>Blasdell, NY</t>
  </si>
  <si>
    <t>Clear Energy Hydro</t>
  </si>
  <si>
    <t>Castle Rock, CO</t>
  </si>
  <si>
    <t>Infrastructure</t>
  </si>
  <si>
    <t>Dallas, TX</t>
  </si>
  <si>
    <t>Commonwealth Fusion Systems</t>
  </si>
  <si>
    <t>Devens, MA</t>
  </si>
  <si>
    <t>Conamix</t>
  </si>
  <si>
    <t>Ithaca, NY</t>
  </si>
  <si>
    <t>Boulder, CO</t>
  </si>
  <si>
    <t>Dandelion Energy</t>
  </si>
  <si>
    <t>Mount Kisco, NY</t>
  </si>
  <si>
    <t>Digital Power Optimization</t>
  </si>
  <si>
    <t>Disa Technologies</t>
  </si>
  <si>
    <t>Casper, WY</t>
  </si>
  <si>
    <t>Bothell, WA</t>
  </si>
  <si>
    <t>Binghamton, NY</t>
  </si>
  <si>
    <t>e-Zinc</t>
  </si>
  <si>
    <t>Mississauga, Canada</t>
  </si>
  <si>
    <t>EarthGrid</t>
  </si>
  <si>
    <t>Richmond, CA</t>
  </si>
  <si>
    <t>Ebb Carbon</t>
  </si>
  <si>
    <t>South San Francisco, CA</t>
  </si>
  <si>
    <t>Eco Carbon</t>
  </si>
  <si>
    <t>Bala Cynwyd, PA</t>
  </si>
  <si>
    <t>EGI Battery</t>
  </si>
  <si>
    <t>Ann Arbor, MI</t>
  </si>
  <si>
    <t>Emission Free Generators</t>
  </si>
  <si>
    <t>San Diego, CA</t>
  </si>
  <si>
    <t>Atlanta, GA</t>
  </si>
  <si>
    <t>Milan, Italy</t>
  </si>
  <si>
    <t>EnGoPIanet Energy Solutions</t>
  </si>
  <si>
    <t>Gambrills, MD</t>
  </si>
  <si>
    <t>Poway, CA</t>
  </si>
  <si>
    <t>Evergreen (Other Commercial Products)</t>
  </si>
  <si>
    <t>Albany, NY</t>
  </si>
  <si>
    <t>Exowatt</t>
  </si>
  <si>
    <t>Miami, FL</t>
  </si>
  <si>
    <t>Gardena, CA</t>
  </si>
  <si>
    <t>Fermata Energy</t>
  </si>
  <si>
    <t>Fervo Energy</t>
  </si>
  <si>
    <t>San Francisco,CA</t>
  </si>
  <si>
    <t>Flow Environmental Systems</t>
  </si>
  <si>
    <t>Rogers, MN</t>
  </si>
  <si>
    <t>Bridgewater , NJ</t>
  </si>
  <si>
    <t>Bethesda, MD</t>
  </si>
  <si>
    <t>Form Energy</t>
  </si>
  <si>
    <t>Weirton, V'W</t>
  </si>
  <si>
    <t>Full cycle</t>
  </si>
  <si>
    <t>Aiken, SC</t>
  </si>
  <si>
    <t>GruEnergy</t>
  </si>
  <si>
    <t>Irvine, CA</t>
  </si>
  <si>
    <t>Portsmouth, NH</t>
  </si>
  <si>
    <t>Industrials</t>
  </si>
  <si>
    <t>Heirloom</t>
  </si>
  <si>
    <t>Brisbane, CA</t>
  </si>
  <si>
    <t>Hover Energy</t>
  </si>
  <si>
    <t>Huue</t>
  </si>
  <si>
    <t>Berkeley, CA</t>
  </si>
  <si>
    <t>HyperSciences</t>
  </si>
  <si>
    <t>Spokane, WA</t>
  </si>
  <si>
    <t>Impossible Foods</t>
  </si>
  <si>
    <t>Redwood City, CA</t>
  </si>
  <si>
    <t>Independence Hydrogen</t>
  </si>
  <si>
    <t>Ashburn, VA</t>
  </si>
  <si>
    <t>Indigo Technologies</t>
  </si>
  <si>
    <t>Woburn, MA</t>
  </si>
  <si>
    <t>Austin, TX</t>
  </si>
  <si>
    <t>Infinitum</t>
  </si>
  <si>
    <t>INOVUES</t>
  </si>
  <si>
    <t>Ion Storage Systems</t>
  </si>
  <si>
    <t>Beltsville, MD</t>
  </si>
  <si>
    <t>Joule Case</t>
  </si>
  <si>
    <t>Seattle, WA</t>
  </si>
  <si>
    <t>Kaizen Clean Energy</t>
  </si>
  <si>
    <t>Tomball, TX</t>
  </si>
  <si>
    <t>Morrisville, NC</t>
  </si>
  <si>
    <t>Kite Hill</t>
  </si>
  <si>
    <t>Hayward, CA</t>
  </si>
  <si>
    <t>Knip (Commercial Products)</t>
  </si>
  <si>
    <t>Boston, MA</t>
  </si>
  <si>
    <t>Kula Bio</t>
  </si>
  <si>
    <t>Natick, MA</t>
  </si>
  <si>
    <t>LAND</t>
  </si>
  <si>
    <t>Cleveland, OH</t>
  </si>
  <si>
    <t>Lapis Energy</t>
  </si>
  <si>
    <t>Lilac</t>
  </si>
  <si>
    <t>Oakland, CA</t>
  </si>
  <si>
    <t>Limelight Steel</t>
  </si>
  <si>
    <t>LineVision</t>
  </si>
  <si>
    <t>Loliware</t>
  </si>
  <si>
    <t>Loop (Electrical Equipment)</t>
  </si>
  <si>
    <t>El Segundo, CA</t>
  </si>
  <si>
    <t>Lygos</t>
  </si>
  <si>
    <t>Maas Energy Works</t>
  </si>
  <si>
    <t>Redding. CA</t>
  </si>
  <si>
    <t>Manus</t>
  </si>
  <si>
    <t>Waltham, MA</t>
  </si>
  <si>
    <t>Membrion</t>
  </si>
  <si>
    <t>Somerville, MA</t>
  </si>
  <si>
    <t>Mitra Chem</t>
  </si>
  <si>
    <t>Mountain View, CA</t>
  </si>
  <si>
    <t>Tusti n, CA</t>
  </si>
  <si>
    <t>Modern Hydrogen</t>
  </si>
  <si>
    <t>Woodinville, WA</t>
  </si>
  <si>
    <t>Momentum Technologies (Dallas)</t>
  </si>
  <si>
    <t>Carrollton, TX</t>
  </si>
  <si>
    <t>Montana Renewables</t>
  </si>
  <si>
    <t>Great Fais, MT</t>
  </si>
  <si>
    <t>Mori (Specialty Chemicals)</t>
  </si>
  <si>
    <t>Mozza</t>
  </si>
  <si>
    <t>Los Angeles, CA</t>
  </si>
  <si>
    <t>MVCE Gulf coast</t>
  </si>
  <si>
    <t>New Castle, DE</t>
  </si>
  <si>
    <t>Mycocycle</t>
  </si>
  <si>
    <t>Bolingbrook, IL</t>
  </si>
  <si>
    <t>MyForest Foods</t>
  </si>
  <si>
    <t>Natel Energy</t>
  </si>
  <si>
    <t>Nature Coatings</t>
  </si>
  <si>
    <t>Las Vegas, NV</t>
  </si>
  <si>
    <t>New Culture</t>
  </si>
  <si>
    <t>San Leandro, CA</t>
  </si>
  <si>
    <t>Sausalito, CA</t>
  </si>
  <si>
    <t>Novaphos</t>
  </si>
  <si>
    <t>Fort Meade, FL</t>
  </si>
  <si>
    <t>NuCicer</t>
  </si>
  <si>
    <t>Davis, CA</t>
  </si>
  <si>
    <t>OBE Power</t>
  </si>
  <si>
    <t>Ocean Renewable Power Company</t>
  </si>
  <si>
    <t>Portland, ME</t>
  </si>
  <si>
    <t>Miami Beach, FL</t>
  </si>
  <si>
    <t>Okèanos</t>
  </si>
  <si>
    <t>OnePIanet Solar Recycling</t>
  </si>
  <si>
    <t>Jacksonville, FL</t>
  </si>
  <si>
    <t>OnePointOne</t>
  </si>
  <si>
    <t>Avondale, AZ</t>
  </si>
  <si>
    <t>Pajarito Powder</t>
  </si>
  <si>
    <t>Albuquerque, NM</t>
  </si>
  <si>
    <t>Pellucere Technologies</t>
  </si>
  <si>
    <t>Pendulum Technologies</t>
  </si>
  <si>
    <t>Columbus, IN</t>
  </si>
  <si>
    <t>Perfect Day</t>
  </si>
  <si>
    <t>Phase Change Solutions</t>
  </si>
  <si>
    <t>Asheboro, NC</t>
  </si>
  <si>
    <t>20/1</t>
  </si>
  <si>
    <t>Eden Prairie, MN</t>
  </si>
  <si>
    <t>Phospholutions</t>
  </si>
  <si>
    <t>PA</t>
  </si>
  <si>
    <t>Haywoard, CA</t>
  </si>
  <si>
    <t>Bordentown, NJ</t>
  </si>
  <si>
    <t>South Bend, IN</t>
  </si>
  <si>
    <t>Madison, WI</t>
  </si>
  <si>
    <t>Quaise Energy</t>
  </si>
  <si>
    <t>Pullman, WA</t>
  </si>
  <si>
    <t>Raven SR</t>
  </si>
  <si>
    <t>Pinedale,WY</t>
  </si>
  <si>
    <t>ReCarbon</t>
  </si>
  <si>
    <t>Fremont, CA</t>
  </si>
  <si>
    <t>ReEIement Technologies</t>
  </si>
  <si>
    <t>Fishers, IN</t>
  </si>
  <si>
    <t>ReMo Energy</t>
  </si>
  <si>
    <t>Rondo Energy</t>
  </si>
  <si>
    <t>Rove (Other Services (B2C Non-Financial)</t>
  </si>
  <si>
    <t>Costa Mesa, CA</t>
  </si>
  <si>
    <t>RWDC Industries</t>
  </si>
  <si>
    <t>Athens, GA</t>
  </si>
  <si>
    <t>Ridgewood, NJ</t>
  </si>
  <si>
    <t>SGP BioEnergy</t>
  </si>
  <si>
    <t>SimpliPhi Power</t>
  </si>
  <si>
    <t>Oxnard, CA</t>
  </si>
  <si>
    <t>Sinclair Designs and Engineering</t>
  </si>
  <si>
    <t>Albion, W</t>
  </si>
  <si>
    <t>Sionic Energy</t>
  </si>
  <si>
    <t>Rochester, NY</t>
  </si>
  <si>
    <t>Smart Wires</t>
  </si>
  <si>
    <t>Solarlytics</t>
  </si>
  <si>
    <t>Livermore, CA</t>
  </si>
  <si>
    <t>Solugen</t>
  </si>
  <si>
    <t>Chapel Hill, NC</t>
  </si>
  <si>
    <t>Steelhead Composites</t>
  </si>
  <si>
    <t>Golden, CO</t>
  </si>
  <si>
    <t>Sun Density</t>
  </si>
  <si>
    <t>Norcross, GA</t>
  </si>
  <si>
    <t>Sun Modo</t>
  </si>
  <si>
    <t>Vancouver, WA</t>
  </si>
  <si>
    <t>SunStream Partners</t>
  </si>
  <si>
    <t>Swift Solar</t>
  </si>
  <si>
    <t>San Carlos, CA</t>
  </si>
  <si>
    <t>Belmont, CA</t>
  </si>
  <si>
    <t>Syzygy Plasmonics</t>
  </si>
  <si>
    <t>Tandem PV</t>
  </si>
  <si>
    <t>Philadelphia, PA</t>
  </si>
  <si>
    <t>TemperPack Technologies</t>
  </si>
  <si>
    <t>Richmond, VA</t>
  </si>
  <si>
    <t>Terradot</t>
  </si>
  <si>
    <t>Stanford, CA</t>
  </si>
  <si>
    <t>Terraformation</t>
  </si>
  <si>
    <t>Honolulu, HI</t>
  </si>
  <si>
    <t>Terrapower</t>
  </si>
  <si>
    <t>Bellevue, WA</t>
  </si>
  <si>
    <t>Tethis (Erwironmental Services (B2B)</t>
  </si>
  <si>
    <t>Raleigh, NC</t>
  </si>
  <si>
    <t>TrueAIgae</t>
  </si>
  <si>
    <t>Chantilly, VA</t>
  </si>
  <si>
    <t>TS-Nano</t>
  </si>
  <si>
    <t>Twelve</t>
  </si>
  <si>
    <t>Ubiquitous Energy</t>
  </si>
  <si>
    <t>UCAP Power</t>
  </si>
  <si>
    <t>UPSIDE Foods</t>
  </si>
  <si>
    <t>Upstart Power</t>
  </si>
  <si>
    <t>Southborough, MA</t>
  </si>
  <si>
    <t>Mesa, AZ</t>
  </si>
  <si>
    <t>Denver, CO</t>
  </si>
  <si>
    <t>VEIR</t>
  </si>
  <si>
    <t>Wayne, PA</t>
  </si>
  <si>
    <t>Verdox</t>
  </si>
  <si>
    <t>Verenovo Energy</t>
  </si>
  <si>
    <t>North Wilkesboro, NC</t>
  </si>
  <si>
    <t>Vestaron</t>
  </si>
  <si>
    <t>Fort Myers, FL</t>
  </si>
  <si>
    <t>VM Agritech</t>
  </si>
  <si>
    <t>Geneva, NY</t>
  </si>
  <si>
    <t>Volexion</t>
  </si>
  <si>
    <t>Evanston, IL</t>
  </si>
  <si>
    <t>Vulcan Elements</t>
  </si>
  <si>
    <t>Wabash Valley Resources</t>
  </si>
  <si>
    <t>West Terre Haute, IN</t>
  </si>
  <si>
    <t>wasted*</t>
  </si>
  <si>
    <t>Williston, VT</t>
  </si>
  <si>
    <t>Wildcat Discovery Technologies</t>
  </si>
  <si>
    <t>Wrightspeed</t>
  </si>
  <si>
    <t>XGS Energy</t>
  </si>
  <si>
    <t>Palo Alto, CA</t>
  </si>
  <si>
    <t>Zap Energy</t>
  </si>
  <si>
    <t>Everett, WA</t>
  </si>
  <si>
    <t>Zauben</t>
  </si>
  <si>
    <t>Zero Emission Industries</t>
  </si>
  <si>
    <t>ZincFive</t>
  </si>
  <si>
    <t>Tualatin, OR</t>
  </si>
  <si>
    <t>Deal Size</t>
  </si>
  <si>
    <t>Post Valuation</t>
  </si>
  <si>
    <t>Valuation Step-up</t>
  </si>
  <si>
    <t>VC Round Up/Down/Flat</t>
  </si>
  <si>
    <t>Debt Raised in Round</t>
  </si>
  <si>
    <t>Participating investors</t>
  </si>
  <si>
    <t xml:space="preserve">Follow-On Investors </t>
  </si>
  <si>
    <t xml:space="preserve"># Follow-On Investors </t>
  </si>
  <si>
    <t>New Investors</t>
  </si>
  <si>
    <t># New Investors</t>
  </si>
  <si>
    <t>Safar Partners</t>
  </si>
  <si>
    <t>BlueWater Angels</t>
  </si>
  <si>
    <t>Up Round</t>
  </si>
  <si>
    <t>Energy Impact Partners</t>
  </si>
  <si>
    <t>Jackson Investment Group</t>
  </si>
  <si>
    <t>Down Round</t>
  </si>
  <si>
    <t>Khosla Ventures</t>
  </si>
  <si>
    <t>Spring Lane Capital</t>
  </si>
  <si>
    <t>Calicat</t>
  </si>
  <si>
    <t>Deal Type 2</t>
  </si>
  <si>
    <t>Primary Industry Code</t>
  </si>
  <si>
    <t>Rijn Capital</t>
  </si>
  <si>
    <t>CPP Investments</t>
  </si>
  <si>
    <t>Salutem Capital</t>
  </si>
  <si>
    <t>Green Reach</t>
  </si>
  <si>
    <t>Greenbacker Capital Management</t>
  </si>
  <si>
    <t xml:space="preserve">Castlelake </t>
  </si>
  <si>
    <t xml:space="preserve">Highland Ventures Group </t>
  </si>
  <si>
    <t xml:space="preserve">Encap Investments </t>
  </si>
  <si>
    <t>Sana Sano Capital</t>
  </si>
  <si>
    <t>SOSV</t>
  </si>
  <si>
    <t>Treehouse Investments</t>
  </si>
  <si>
    <t xml:space="preserve">KRF capital </t>
  </si>
  <si>
    <t xml:space="preserve">Longmont Capital </t>
  </si>
  <si>
    <t xml:space="preserve">The Sterling Group </t>
  </si>
  <si>
    <t>Draper Associates</t>
  </si>
  <si>
    <t xml:space="preserve">Tailwater Capital (Edward Herring) </t>
  </si>
  <si>
    <t xml:space="preserve">Giant Leap </t>
  </si>
  <si>
    <t xml:space="preserve">Revonence Technologies </t>
  </si>
  <si>
    <t>Hasatano Capital</t>
  </si>
  <si>
    <t>Flat Round</t>
  </si>
  <si>
    <t xml:space="preserve">Impact Assets </t>
  </si>
  <si>
    <t xml:space="preserve">Stonepeak Partners </t>
  </si>
  <si>
    <t>NextCorps Luminate</t>
  </si>
  <si>
    <t>Global Emerging Markets</t>
  </si>
  <si>
    <t>Red Devil Investors</t>
  </si>
  <si>
    <t>Novare</t>
  </si>
  <si>
    <t>MMA Capital Holdings (Robert Hopper)</t>
  </si>
  <si>
    <t>Tupras Ventures</t>
  </si>
  <si>
    <t>Plug and Play Tech Center</t>
  </si>
  <si>
    <t xml:space="preserve">Eagle Private Capital </t>
  </si>
  <si>
    <t xml:space="preserve">Aliment Capital </t>
  </si>
  <si>
    <t>DeltaCap</t>
  </si>
  <si>
    <t xml:space="preserve">Marathon Capital Management </t>
  </si>
  <si>
    <t># Investors</t>
  </si>
  <si>
    <t xml:space="preserve">% Follow-On Investors </t>
  </si>
  <si>
    <t xml:space="preserve">% New Investors </t>
  </si>
  <si>
    <t>% Debt</t>
  </si>
  <si>
    <t>x</t>
  </si>
  <si>
    <t>Black Mountain Ventures; Cameron Drummond; Dorm Room Fund</t>
  </si>
  <si>
    <t>Connecticut Innovations; Daniel Hagedorn</t>
  </si>
  <si>
    <t>Icebook Investments; Varnadore Financial</t>
  </si>
  <si>
    <t>Impact Assets; PRIME Coalition; Seek Ventures; Social Impact Capital</t>
  </si>
  <si>
    <t>Catalus Capital Management (Saif Qazi); Plug and Play Tech Center</t>
  </si>
  <si>
    <t>13Capital; Cleanhill Partners; Goldman Sachs Asset Management</t>
  </si>
  <si>
    <t>Checkmate Capital; Cowles Ventures; Milkbox Partners</t>
  </si>
  <si>
    <t>Hivers &amp; Strivers (Rachel Hobert); Smart City' Works - Infrastructure Actuator</t>
  </si>
  <si>
    <t xml:space="preserve">Impact Science Ventures; Khosla Ventures </t>
  </si>
  <si>
    <t>Equinor Ventures; Techstars</t>
  </si>
  <si>
    <t>Helios Climate Ventures; Innova Capital Partners</t>
  </si>
  <si>
    <t>Social Venture Circle; Solidarity Capital Group</t>
  </si>
  <si>
    <t xml:space="preserve">Climate Capital; Hacker Capital; Kanca Ventures </t>
  </si>
  <si>
    <t>BELLE Impact Fund; Mickey Swortzel; Texas Halo Fund</t>
  </si>
  <si>
    <t>K Street Capital; Triangle Tweener Fund</t>
  </si>
  <si>
    <t>Edgewater Captial Group; Firsthand Capital Management</t>
  </si>
  <si>
    <t>Carnite Ventures; Houston Angel Network</t>
  </si>
  <si>
    <t>DBL Partners; Gray's Creek Capital Partners</t>
  </si>
  <si>
    <t>Subsector</t>
  </si>
  <si>
    <t>Aanika</t>
  </si>
  <si>
    <t>Ampcera</t>
  </si>
  <si>
    <t>AtmosZero</t>
  </si>
  <si>
    <t>Faraday Future Intelligent Electric (NAS: FFAI)</t>
  </si>
  <si>
    <t>Greenway Energy (Aiken)</t>
  </si>
  <si>
    <t>Keel.Labs</t>
  </si>
  <si>
    <t>Mesodyme</t>
  </si>
  <si>
    <t>Pyran</t>
  </si>
  <si>
    <t>QuantumScape (NYS: QS)</t>
  </si>
  <si>
    <t>Swiftmile</t>
  </si>
  <si>
    <t>Sylvatex</t>
  </si>
  <si>
    <t>Tarform</t>
  </si>
  <si>
    <t>Vartega</t>
  </si>
  <si>
    <t>Verdafresh</t>
  </si>
  <si>
    <t>WaHa</t>
  </si>
  <si>
    <t>Wildtype</t>
  </si>
  <si>
    <t>CleanTech</t>
  </si>
  <si>
    <t xml:space="preserve">CleanTech </t>
  </si>
  <si>
    <t xml:space="preserve">Manufacturing </t>
  </si>
  <si>
    <t>Reason for exclusion</t>
  </si>
  <si>
    <t>Renewables</t>
  </si>
  <si>
    <t>Time Since Last Deal (Months)</t>
  </si>
  <si>
    <t>Deal Type 1</t>
  </si>
  <si>
    <t>Engine Ventures; Pillar VC</t>
  </si>
  <si>
    <t>Bluewater Angels</t>
  </si>
  <si>
    <t xml:space="preserve">NGP Energy Capital Management </t>
  </si>
  <si>
    <t xml:space="preserve">Chartered Investment Managers </t>
  </si>
  <si>
    <t xml:space="preserve">Innova Capital Partners </t>
  </si>
  <si>
    <t>Overture Climate VC</t>
  </si>
  <si>
    <t>Cottonwood Technology Fund; Sun Mountain Capital</t>
  </si>
  <si>
    <t xml:space="preserve">2150; Celesta Capital; Noel Ventures; Nova Holdings </t>
  </si>
  <si>
    <t>2150; Breakthrough Energy; Volo Earth Ventures</t>
  </si>
  <si>
    <t>Khosla Ventures; Reliance Industries</t>
  </si>
  <si>
    <t>Icebook Investments</t>
  </si>
  <si>
    <t>CPP Investments; Kimmeridge</t>
  </si>
  <si>
    <t>8090 Partners; Alante Capital; Card Sound Capital; Circulate Capital; City Light Capital; Envisioning Partners; Marubeni</t>
  </si>
  <si>
    <t xml:space="preserve">WNY Impact Investment Fund </t>
  </si>
  <si>
    <t>Collaborative Fund; Comcast Ventures; Ground Up Ventures; GV; Lennar Ventures; New Enterprise Associates</t>
  </si>
  <si>
    <t>Breakthrough Energy; Building Ventures; Collaborative Fund; GV; Lennar Ventures; New Enterprise Associates</t>
  </si>
  <si>
    <t>New York Ventures</t>
  </si>
  <si>
    <t>Evok Innovations; Haliburton Labs</t>
  </si>
  <si>
    <t>Draper Cygnus</t>
  </si>
  <si>
    <t>Arborview Capital</t>
  </si>
  <si>
    <t>Capital Southwest</t>
  </si>
  <si>
    <t>Draper Associates; Hemisphere Ventures; Magic Hour (New York)</t>
  </si>
  <si>
    <t>Cowles Ventures</t>
  </si>
  <si>
    <t>GV; Horizons Ventures; Khosla Ventures; Late Stage Management; Next Play Capital; Open Philanthropy Project; Sailing Capital; Temasek Holdings; UBS Group; Viking Global Investors; William Gates</t>
  </si>
  <si>
    <t xml:space="preserve">AFW Partners; AP Ventures; Aramco Ventures; BHP Ventures; KDB Investment; SV Investment; MOL PLUS; Yanmar Holdings; Samsung Heavy Industries; BHP Ventures; MOL Switch; JB Investment (Private Equity); GS Engineering &amp; Construction; Xplor Investment; GS Futures; Marunouchi Innovation Partners; Pathway Capital Management; Seoul Investment Partners; AFW Partners; AP Ventures; Odyssey Ventures (London); BonAngels Venture Partners; Quantum Ventures Korea; Kibo Invest; Temasek Holdings; Hanwha Investment &amp; Securities Company; Gorilla Private Equity </t>
  </si>
  <si>
    <t>COCONUT GROVE; First Financial Bankshares; M10Lean capital; Mintz</t>
  </si>
  <si>
    <t>Alex Chung; Draper Associates; Kabir Misra; RPS Ventures; SOSV</t>
  </si>
  <si>
    <t xml:space="preserve">Alberta Investment Management; GIC Private; Haddington Ventures, Manulife Financial; Onterio Teachers Pension Plan </t>
  </si>
  <si>
    <t>At One Ventures; Engine Ventures; Pillar VC</t>
  </si>
  <si>
    <t xml:space="preserve">BlueWater Angels; RSVP Ventures </t>
  </si>
  <si>
    <t>AP Ventures; Aramco Ventures; DCVC; Guernsey Holdings; Korea Zinc; Mitsui &amp; Company; MOL PLUS; SK Innovation; Temasek Holdings; Yanmar Holdings; Zeon Ventures</t>
  </si>
  <si>
    <t>AP Ventures; Aramco Ventures; DCVC; SK Innovation</t>
  </si>
  <si>
    <t xml:space="preserve">AP Ventures; Aramco Ventures; MOL PLUS, Temasek Holdings; Yanmar Holdings </t>
  </si>
  <si>
    <t>Breakthrough Energy; Engine Ventures; Future Ventures; Khosla Ventures; Moore Stratefic Partners; Safar Ventures; Schooner Capital; Starlight Ventures</t>
  </si>
  <si>
    <t>Breakthrough Energy; Emerson Collective; Eni Next; Future Ventures; Gigascale Capital; Google Foundation; Hostplus Superannuation Fund; Khosla Ventures; Lowercarbon Capital; NEVA SGR; Safar Partners; Starlight Ventures; Tiger Global Management</t>
  </si>
  <si>
    <t>Congruent Ventures; Evok Innovations; Incite Ventures; Neglected Climate Opportunities; Prelude Ventures</t>
  </si>
  <si>
    <t xml:space="preserve">Borun Capital </t>
  </si>
  <si>
    <t>8090 Industries; Andreessen Horowitz; Atomic; Felicis; Leonardo Di Caprio; MCJ; MVP Ventures; Overmatch; Protagonist; Starwood Capital Group</t>
  </si>
  <si>
    <t>Lockheed Martin Ventures; StartX</t>
  </si>
  <si>
    <t>Enbridge</t>
  </si>
  <si>
    <t>CalSEED; Keybridge Venture Partners; Overture Climate VC; Reaction Global; StartX</t>
  </si>
  <si>
    <t xml:space="preserve">AENU; Energy Impact Partners </t>
  </si>
  <si>
    <t>Nippon Steel Trading; Rio Tinto; Sandton Capital Partners; Steel Dynamics</t>
  </si>
  <si>
    <t xml:space="preserve">Compass Group Equity Partners </t>
  </si>
  <si>
    <t>Cottonwood Technology Fund+S32; Fortistar; Newlight Partners; Sun Mountain Capital</t>
  </si>
  <si>
    <t>2150; Celesta Capital; Noel Ventures; Novo Holdings</t>
  </si>
  <si>
    <t>2150; Breakthrough Energy; Florida Opportunity Fund; Tech Square Ventures; Volo Earth Ventures</t>
  </si>
  <si>
    <t xml:space="preserve">Reliance Industries </t>
  </si>
  <si>
    <t>31 Ventures; F-Prime Capital; Global Brain; Khosla Ventures; Mitsui Fudosan; NextEra Energy; Reliance Industries; Temasek Holdins</t>
  </si>
  <si>
    <t>Dolby Family Ventures; Freeflow Ventures; Hess; Jericho Energy Ventures; Motus Ventures; TSV Capital; Volo Earth Ventures</t>
  </si>
  <si>
    <t>Acario Innovation; Dolby Family Ventures; Freeflow Ventures; Hess; Jericho Energy Ventures; MOL Switch; Motus Ventures; Tokyo Gas; TSV Capital; Volo Earth Ventures</t>
  </si>
  <si>
    <t>Brookfield Corporation</t>
  </si>
  <si>
    <t>Broadscale Group</t>
  </si>
  <si>
    <t>Beresford Ventures; Flobas Ventures; Icebook Investments; New World Angels; Westlake Ventures</t>
  </si>
  <si>
    <t>David Ulevitch; Incite Ventures; James Tamplin; Lowercarbon Capital; Nat Friedman; Peter Reinhardt; Stripe; Thomas Mvlnerney; Valor Equity Partners</t>
  </si>
  <si>
    <t xml:space="preserve">Cloverlay; CPP Investments; DBL Partners; Kimmeridge </t>
  </si>
  <si>
    <t xml:space="preserve">CPP Investments </t>
  </si>
  <si>
    <t>8090 Industries; 8090 Partners; Alante Capital; Avery Dennison; Breaktrhough Energy; Card Sound Capital; Cerity Partners Ventures; Circulate Capital; City Light Capital; Envisioning Partners; Industrial de Diseno Textil; Lansdowne Partners; Marubeni; Milliken &amp; Company; Pandion Innovation for Impact; Plug &amp; Play Tech Center; Temasek Holdings; Vodia Capital; Youngone; Zalando</t>
  </si>
  <si>
    <t>Homecoming Capital</t>
  </si>
  <si>
    <t xml:space="preserve">BPH Energy </t>
  </si>
  <si>
    <t>Artfo Holdings; Beni Venture Capital; Breakthrough Energy; Devonshire Investors; Engine Ventures; Equinor Venturses; Futures Ventures; Hostplus Superannuation Fund; Khosla Ventures; Lowercarbon Capital; Moore Strategic Ventures; Prime Movers Lab; Safar Partners; Schooner Capital; Starlight Ventures; Temasek Holdings; Yild Capital Partners</t>
  </si>
  <si>
    <t>31Ventures; Breakthrough Energy;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Gigascale Capital; NEVA SGR; Standish Spring Investments; Khosla Ventures; Future Ventures; Safar Partners; Starlight Ventures; Lowercarbon Capital; Tiger Global Management; Global Brain; Galaxy Interactive; Gates Frontier; Stanley F. Druckenmiller; Eric Schmidt; Sumitomo Mitsui Trust Bank; Sumitomo Mitsui Banking; JGC Holdings; Brightwing Capital; One Madison Group; Emerson Collective; Google Foundation; Hostplus Superannuation Fund; Ripple Impact Investments; Doorga Capital; Counterpoint Global</t>
  </si>
  <si>
    <t>Catchlight Ventures; Collaborative Fund; Comcast Ventures; Ground Up Ventures; GV; Lennar Ventures; New Enterprise Associates</t>
  </si>
  <si>
    <t>Breakthrough Energy; Building Ventures; Collaborative Fund;  David Stark; GV; HiJoJo Partners; Lennar Ventures; Michael Sachse; New Enterprise Associates; NGP Energy Capital Management; NGP Energy Technology Partners; OurCrowd; Sam Landman; Tim Krebs; Travis Connors</t>
  </si>
  <si>
    <t>Beni Venture Capital; Demos Capital; Ithaca Area Economic Development; New Climate Ventures; New York Ventures; United Airlines Ventures</t>
  </si>
  <si>
    <t>Bacchus Venture Capital; Constellation Technology Ventures; Evok Innovations; Halliburton Labs; The Think &amp; Act Differently; Valor Equity Partners; Veriten</t>
  </si>
  <si>
    <t xml:space="preserve">Clair-vest Group </t>
  </si>
  <si>
    <t>Beresford Ventures; Draper Cygnus; Ecosphere Ventures; Globalive Capital; Murchison Capital Partners; Murchison Ventures; Threshold Impact; William Tunstall-Pedoe</t>
  </si>
  <si>
    <t>EDC Investments; Evok Innovations; Graphite Ventures; Mitsubishi Heavy Industries; Ultratech Capital Partners</t>
  </si>
  <si>
    <t>Chan Zuckerberg Initiative; Cisco Foundation; Congruent Ventures; Course Correction Capital; Elemental Impact; Evok Innovations; Neglected Climate Opportunities; Prelude Ventures; PRIME Coalition; Propeller; The Grantham Foundation</t>
  </si>
  <si>
    <t>Borun Capital (Xiamen); BR Capital; Dayone Capital; GAC Capital; Hongshan Capital Group; Niuli Venture; Tianqi Capital; Unreasonable Impact</t>
  </si>
  <si>
    <t xml:space="preserve">Alphabet </t>
  </si>
  <si>
    <t xml:space="preserve">Arborview Capital; Capital Southwest; DFW Capital Partners </t>
  </si>
  <si>
    <t xml:space="preserve">Capital Southwest </t>
  </si>
  <si>
    <t>8090 Industries; Felicis; MVP Ventures; Atomic; Dragon Global; New Atlas Capital; Brex Asset Management; Bay Bridge Ventures; Florida Opportunity Fund; Andreessen Horowitz; Deepwork Capital; Protagonist; Overmatch; MCJ; Thrive Capital; Goat Ventures; Massive Capital Partners; Leonardo DiCaprio; Upsher Management Company; Alpen Capital; StepStone Group; Starwood Capital Group</t>
  </si>
  <si>
    <t>AiiM Partners; Alecla7; At One Ventures; Cognic Capital; Draper Associates; Emergence Industries; Endurance28; Gaingels; Good Seed Ventures; Hemisphere Ventures; JKS Ventures; Joyance Partners; Magic Hour; Rise Together; Seabird Ventures; Samsarik Capital; SOSV; Synergeticl VU enture Partners</t>
  </si>
  <si>
    <t>Oaktree Capital Management; Toyota Tsusho</t>
  </si>
  <si>
    <t>Bessemer Venture Partners; Lockheed Martin Ventures; Palapa Ventures; StartX</t>
  </si>
  <si>
    <t>TPG</t>
  </si>
  <si>
    <t xml:space="preserve">5Y Capital; AimTop Ventures; Baidu Ventures; Foothill Ventures; Heda Ventures; Rockets Capital; Yiyuan Capital; Yu Galaxy </t>
  </si>
  <si>
    <t xml:space="preserve">Archaea Energy; Coppermine Capital; Saltonstall &amp; Co. </t>
  </si>
  <si>
    <t>Ahrean Innovation Capital; Breakthrough Energy; Carbon Direct Capital Management; Carbon Removal Partners; Lowercarbon; MCJ; MOL Switch</t>
  </si>
  <si>
    <t xml:space="preserve">Lowercarbon Capital; Future Positive Capital; Japan Airlines Company; Mitsubishi Corporation; Mitsui &amp; Company; MOL Switch; United Airlines Ventures; H&amp;M Group Ventures; Pledge Ventures; Chiyoda; Development Bank of Japan; Carbon Direct Capital Management; MCJ; Ahren Innovation Capital; Carbon Removal Partners; Floating Point; Quantum Innovation Fund; The Grantham Foundation; Breakthrough Energy; Siemens Financial Services </t>
  </si>
  <si>
    <t>Horizons Ventures; Temasek Holdings; GV; Open Philanthropy Project; Xandex Ventures; Conti Ventures; Neman Ventures; Lenox Partners; Ericsenz Capital; Sailing Capital; Next Play Capital; G Squared; CPT Capital; Five Seasons Ventures; Proioxis Ventures; Ben Jen Holdings; K2 Global; Pario Ventures; Khosla Ventures; Mirae Asset Venture Investment; Bracket Capital; Toy Ventures; London Impact Ventures; Purav Patel; Christian Herrera; Katy Perry; Jaden Smith; Julien Machot; Taslimm Quraishi; Vikas Sabnani; Randy Almaguer; Serena Williams; Jay Brown; Shawn Carter; Alexis Ohanian; William Gates; UBS Group; Viking Global Investors; Late Stage Management; The Spaventa Group; Bridge Capital Holding; Buttonwood Group Advisors; Verso Holdings</t>
  </si>
  <si>
    <t>FM Capital; PBJ Capital</t>
  </si>
  <si>
    <t>Hon Hai Precision; WillowTree Investments</t>
  </si>
  <si>
    <t>FedEx; FM Capital; Foxconn Technology; Liebenthal Ventures; PassKey Invest</t>
  </si>
  <si>
    <t xml:space="preserve">Modern Energy </t>
  </si>
  <si>
    <t xml:space="preserve">EIG; Modern Energy </t>
  </si>
  <si>
    <t xml:space="preserve">Cottonwood Technology Fund </t>
  </si>
  <si>
    <t>Central Texas Angel Network; David Palter; E8; FUND4SE; John Paulos; Lateral Capital Group; Momentum Glass; Paulos Holdings; R/GA Ventures; Saint-Gobain NOVA; SIFL; SLA Ventures; Technology Credit Union; VCFuel</t>
  </si>
  <si>
    <t xml:space="preserve">Alumni Ventures; Saint-Gobain NOVA; TEDCO </t>
  </si>
  <si>
    <t xml:space="preserve">Genesis Park </t>
  </si>
  <si>
    <t>E8; Keiretsu Capital</t>
  </si>
  <si>
    <t>Balcor Commercial</t>
  </si>
  <si>
    <t>301; CAVU Consumer Partners; General Mills M13; Stray Dog Capital; Unovis Asset Management</t>
  </si>
  <si>
    <t xml:space="preserve">Hatch Blue; Moodoos Investments </t>
  </si>
  <si>
    <t xml:space="preserve">Fenix Equity Group </t>
  </si>
  <si>
    <t xml:space="preserve">Ancora Holdings Group; Nottingham Unlimited Ventures </t>
  </si>
  <si>
    <t xml:space="preserve">Cresta Fund Management </t>
  </si>
  <si>
    <t xml:space="preserve">Philippa Gawley </t>
  </si>
  <si>
    <t>E8; Harbor Street Ventures; PRIME Coalition; Tribeca Early Stage Partners</t>
  </si>
  <si>
    <t>Cantos Ventures; Cibersons; Collaborative Fund; Incite Ventures; Social Impact Capital; Voyager</t>
  </si>
  <si>
    <t>Clean Energy Venture Group; Clean Energy Ventures; Greentown Labs</t>
  </si>
  <si>
    <t>H/L Ventures; Lighthouse; Apex Companies; Closed Loop Partners; KRG Capital Partners; Gratitude Railroad; Magic Hour (New York); Geekdom Fund; For Good Ventures; Loli On-The-Field; Alumni Ventures; Ehukai Investments; Trent Orr; Elizabeth S. Heavener; Serena Woodward; Clayton A. Rockefeller; Nathan G. Walworth; Brian Henry; Austin Henry; Eduardo Vitols; NaHCO3; German Property Group</t>
  </si>
  <si>
    <t xml:space="preserve">Ten Eighty Capital; Tuna Investments; K2X; Anthropocene Ventures; Engage Venture Partners; Joseph L Stornelli; Andrew J Kabatch; R. Brent Alderfer; Sachin S Joshi; John M. Bianchi; Robert Durr; German Property Group; Kilara Capital </t>
  </si>
  <si>
    <t>Kingswood Capital Partners; KRG Capital Partners; Closed Loop Partners; For Good Ventures; Moskal Capital Partners; TWB Investment; Gratitude Railroad; Sunset Ventures; H/L Ventures; Geekdom Fund; Sustainable Ocean Alliance; Alan Chung; Eduardo Vitols; Gisele Brisson; Beth S. Horowitz; Margaret Segal; Howard Levine; Peter Libby; Seabird Ventures; Impact Assets; NaHCO3 and Empire State Developmen</t>
  </si>
  <si>
    <t>Agility Ventures; Fifth Wall; Keystone National Group</t>
  </si>
  <si>
    <t xml:space="preserve">Kalyan Vepuri; LG Technology Ventures </t>
  </si>
  <si>
    <t xml:space="preserve">EGI Capital; Taihill Venture </t>
  </si>
  <si>
    <t xml:space="preserve">Sand Hill Angels </t>
  </si>
  <si>
    <t>Ecolab; GiantLeap Capital; Indico Capital Partners; Lam Research; New York Angels; Pangaea Ventures; PuraTerra Ventures; Safar Partners; W.L. Gore &amp; Associates</t>
  </si>
  <si>
    <t>Bidra Innovation Ventures; Bricks Capital Management; L&amp;F; Lane VC</t>
  </si>
  <si>
    <t xml:space="preserve">Krypton </t>
  </si>
  <si>
    <t xml:space="preserve">At One Ventures; Metaplanet Holdings; William Gates </t>
  </si>
  <si>
    <t>Gates Frontier; IRONGREY; Metaplanet Holdings; Miura Partners; National Grid Partners; NextEra Energy; Starlight Ventures; Towards Net Zero; Unreasonable Impact; Valo Ventures</t>
  </si>
  <si>
    <t xml:space="preserve">Freestone Sponsors </t>
  </si>
  <si>
    <t xml:space="preserve">Warburg Pincus </t>
  </si>
  <si>
    <t>Accelr8; Bluestein Ventures; Collaborative Fund; DNS Capital; Engine Ventures; For Good Ventures; Plug &amp; Play Tech Center; Prelude Ventures; Thia Ventures; Toba Capital</t>
  </si>
  <si>
    <t xml:space="preserve">ENEOS Holdings </t>
  </si>
  <si>
    <t>4WARD.vc; Alumni Ventures; Anthropocene Ventures; Lofty Ventures; Right Side Capital Management; Service Provider Capital; TELUS Global Ventures</t>
  </si>
  <si>
    <t>AiiM Partners; Footprint Coalition; Standard Investments; Viking Global Investors</t>
  </si>
  <si>
    <t xml:space="preserve">Global Cleantech Capital </t>
  </si>
  <si>
    <t>Ajax Strategies; Breakthrough Energy; Emerson Collective; mTerra Ventures; Schneider Electric; SE Ventures</t>
  </si>
  <si>
    <t>Breakthrough Energy; Chevron Technology Ventures; Prithvi Ventures</t>
  </si>
  <si>
    <t>Enechange; Japan Energy Fund; New Luna Ventures; Schneider Electric USA Common Trust</t>
  </si>
  <si>
    <t>Leonardo DiCaprio; Next Act Fund; Portfolia; Regeneration VC; Safer Made; The 22 Fund</t>
  </si>
  <si>
    <t>Archer Daniels Midland; Genoa Ventures; GERBER-RAUTH; IndieBio; Meach Cove Capital; ONCE Ventures; Schreiber Ventures; SOSV; Synthesis Capital</t>
  </si>
  <si>
    <t xml:space="preserve">Greenbacker Capital Management </t>
  </si>
  <si>
    <t>Armilar Venture Partners; Arsenal Growth</t>
  </si>
  <si>
    <t>Blue Horizon Corporation; Leaps by Bayer; Lever VC; Lifely VC; Mudcake; The House Fund</t>
  </si>
  <si>
    <t>Blue Horizon Corporation; Leaps by Bayer; Lever VC; Mudcake</t>
  </si>
  <si>
    <t xml:space="preserve">Netcapital </t>
  </si>
  <si>
    <t xml:space="preserve">Canadian Shield Capital; Hatch </t>
  </si>
  <si>
    <t xml:space="preserve">Khasma Capital </t>
  </si>
  <si>
    <t>Blackhorn Ventures; Chamaeleon; Eric Lamb; Frederic Luddy; KBW Ventures; Kenneth Birdwell; Michael Heffernanl Novak Djokovic; Southland Industries; Steve Chen; Western Technology Investment</t>
  </si>
  <si>
    <t>Ecovyst; Hyundai Motor; Kia; NV Bekaert</t>
  </si>
  <si>
    <t>Energy Innovation Capital; Fortistar (Nadeem Nisar)</t>
  </si>
  <si>
    <t>Elevate Ventures</t>
  </si>
  <si>
    <t>Conti Ventures; Five Seasons Ventures; Horizons Ventures; ICONIQ Growth; Lion Ventures; Temasek Holdings; Verus International</t>
  </si>
  <si>
    <t xml:space="preserve">B37 Ventures; Horizons Ventures; Sonny Vu </t>
  </si>
  <si>
    <t>Emerald Technology Ventures; Pegasus Capital Advisors; Third Prime</t>
  </si>
  <si>
    <t>Decathlon Capital Partners; Nexter Ventures</t>
  </si>
  <si>
    <t>Asymmetry Ventures; Climate Capital; Collaborative Fund; Ecosphere Ventures; Leap Forward Ventures; Liquid 2 Ventures; Shared Future Fund; Soma Capital; Y Combinator</t>
  </si>
  <si>
    <t>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t>
  </si>
  <si>
    <t xml:space="preserve">Ceres Partners </t>
  </si>
  <si>
    <t>Arosa Capital Management; BrightStar Wisconsin Foundation; WARF Ventures</t>
  </si>
  <si>
    <t>Milano Investment Partners; Mintz; Mitsubishi; Prelude Ventures; Safar Partners; Standard Investments</t>
  </si>
  <si>
    <t>Cowles Ventures; Keiretsu Capital</t>
  </si>
  <si>
    <t xml:space="preserve">Volkswagen Group </t>
  </si>
  <si>
    <t xml:space="preserve">Ascent Funds </t>
  </si>
  <si>
    <t xml:space="preserve">Ascent Funds; Chevron ; Hyzon Fuel Cell; Itochu </t>
  </si>
  <si>
    <t xml:space="preserve">Samsung Venture Investment </t>
  </si>
  <si>
    <t xml:space="preserve">The RockCreek Group </t>
  </si>
  <si>
    <t xml:space="preserve">Ascent Funds; Chevron; Itochu; Stellar J </t>
  </si>
  <si>
    <t xml:space="preserve">D3 Jubilee partners; GS Holdings; POSCO Holdings </t>
  </si>
  <si>
    <t>AiiM Partners; Breakthrough Energy; Darco Capital</t>
  </si>
  <si>
    <t xml:space="preserve">Newlight Partners </t>
  </si>
  <si>
    <t xml:space="preserve">Ridgevale Enterprises; Vickers Venture Partners; WI Harper Group </t>
  </si>
  <si>
    <t>Aramco Ventures; Breakthrough Energy; Energy Impact Partners; John Doerr; Microsoft Climate Fund; Rio Tinto; Saudi Basic Industries; SDCL Efficiency Income Trust; Siam Cement Public Company; Titan</t>
  </si>
  <si>
    <t xml:space="preserve">Eversource Retirement Plan Master Trust; Vickers Venture Partners; WI Harper Group </t>
  </si>
  <si>
    <t>CPV/CAP Pensionskasse Coop; Optimas Capital Partners; Temasek Holdings; Vickers Venture Partners</t>
  </si>
  <si>
    <t>Anthropocene Ventures; E8; Five Two Five</t>
  </si>
  <si>
    <t>Aditya Mathur; Arsat Industries; Bhavya Khanna; Elev8.vc; Elevate Ventures; Sai Anurag; SM Ventures</t>
  </si>
  <si>
    <t xml:space="preserve">Global Emerging Markets </t>
  </si>
  <si>
    <t>Cornell University; Coulometrics; In-Q-Tel; New York Ventures; Phoenix Venture Partners; Rochester Institute of Technology Venture Fund; Syensqo Ventures; University of Colorado</t>
  </si>
  <si>
    <t xml:space="preserve">BP Energy Partners; Keystone Group </t>
  </si>
  <si>
    <t>Flight Ventures; Ford Street Ventures; Harpoon VC; Jonathan Hung; Lowercarbon Capital; McWin Partners; Meron Capital; Next Play Capital; Refactor Capital; Reform Ventures; Ruvento Ventures; Tjucholmen Ventures; Unicorn Venture Partners</t>
  </si>
  <si>
    <t>Orion Infrastructure Capital</t>
  </si>
  <si>
    <t xml:space="preserve">MB Energy Partners </t>
  </si>
  <si>
    <t>Climate Capital; Good Growth Capital; Grant Hummer; Jack Fuchs; James Fickel lame; Kelly Lei; Safar Partners; Sierra Peterson; Sytse Sijbrandij; Vitalik Buterin</t>
  </si>
  <si>
    <t>Plug and Play Tech Center; Seedlnvest; Sunmeet Jolly; Verizon Ventures</t>
  </si>
  <si>
    <t>G Ventures; Mukul Agapwal; Nonlinear Capital; Plug and Play Tech Center; Verizon Ventures</t>
  </si>
  <si>
    <t>Amplify Capital; Bruce Rubin; Kathy Salmanowitz; One World; Scott Saslow; Steve Rosard; SXU Investment; Volo Earth Ventures; Zygote Ventures</t>
  </si>
  <si>
    <t>Constellation Technology Ventures; Planetary Technologies; Thomas Werner; Uncorrelated Ventures</t>
  </si>
  <si>
    <t>10X Capital; Ajay Yadav ; C2 Ventures; Camwood Ventures; M13; Riverside Ventures; Spacestation</t>
  </si>
  <si>
    <t>Acre Venture Partners; Alphabet; Cisco Foundation; Cisco Investments; Floodgate; George Roberts; Gigascale Capital; John Doerr; Kleiner Perkins; Kyber Knight Capital; Microsoft; Ponderosa Ventures; Sheryl Sandberg; Tom Bernthal; Valor Capital Group</t>
  </si>
  <si>
    <t>Calm Ventures; Fanjul Capital; Gaingels; Knockout Capital; Lombardstreet Ventures; Relumin; The Scope Fund; VISION</t>
  </si>
  <si>
    <t>ArcelorMittal; Cascade Investment; Hedonova; Korea Shipbuilding and Offshore Engineering; SK Group; SK Innovation</t>
  </si>
  <si>
    <t xml:space="preserve">Aria Emiko; Beck Koss; Benjamin Stokes; C3 Ventures; Carrier-ok; Chasing Rainbows; Claire England; Climate Capital; CRCM Ventures; Davic Weissman; Earth Venture Capital; Gaingles; Happiness Capital; IndieBio; Karan Goel; Meliorare Partners; MiH Ventures; Nucleus Adventure Capital; Portfolia; Raphael Carteni; SOSV; Van Ngo </t>
  </si>
  <si>
    <t>Atlas Capital; Berg Energy Ventures; Collaborative Fund; CorDx; Gigascale Capital; Impact Science Ventures; Ryan Orr; The Atlas Capital</t>
  </si>
  <si>
    <t xml:space="preserve">Arunas Chesonis; Eneos Innovation Partners; Keith Wilson; Safar Partners; Keith Wilson; </t>
  </si>
  <si>
    <t xml:space="preserve">Grantchester Group </t>
  </si>
  <si>
    <t xml:space="preserve">Fifty Years; SOSV; Stray Dog Capital; Unovis Asset Management </t>
  </si>
  <si>
    <t>Atomico; Avi Brown; Cargill; Fifty Years; Five Seasons Ventures; Gates Ventures; Inevitable Ventures; John Welch; KBW Ventures; Kimbal Musk; Kyle Vogt; Richard Branson; SOSV; Threshold Management; Unovis Asset Management</t>
  </si>
  <si>
    <t>SoftBank Investment Advisers; Norwest Venture Partners; Cargill; CPT Capital; Builders VC; Dentsu Ventures; Tyson Ventures; EDBI; Whole Foods Market; Conti Ventures; McWin Partners; Prime Partners; Enfini Ventures; Advisors.Fund; Threshold Ventures; SOSV; BoxGroup; Fifty Years; Future Ventures; Humboldt Fund; Baleine &amp; Bjorn Capital; Finistere Ventures; gener8tor; Christiana Musk; John Mackey; Kimbal Musk; Richard Branson; William Gates; Temasek Holdings; and Westcott</t>
  </si>
  <si>
    <t xml:space="preserve">Appian Capital Advisory </t>
  </si>
  <si>
    <t>Autodesk Foundation; BELLE Impact Fund; Denver Ventures; HG Ventures; Keiretsu Forum; Monfort; New Climate Ventures; Seed I Pod; SWAN Impact Network; Texas Halo Fund</t>
  </si>
  <si>
    <t>Breakthrough Energy; Congruent Ventures; Engine Ventures; F-Prime Capital; Galvanize Climate Solutions; VXI Capital Management</t>
  </si>
  <si>
    <t>Cavallo Ventures; Conti Ventures; Northpond Ventures; Novo Holdings; Syngenta Group Ventures</t>
  </si>
  <si>
    <t xml:space="preserve">Cagan McAfee Capital Partners; Q 3 Financial </t>
  </si>
  <si>
    <t xml:space="preserve">Clean Energy Venture Group; Clean Energy Ventures; Earth Foundry Management </t>
  </si>
  <si>
    <t>Clean Energy Ventures; E8; Earth Foundry Management</t>
  </si>
  <si>
    <t>1789 Capital; Altimeter Capital Management; One Investment Management; Washington Harbour</t>
  </si>
  <si>
    <t xml:space="preserve">Climate Investment </t>
  </si>
  <si>
    <t>Anthropocene Capital Management; Berkeley Catalyst Fund Management; Christian Thirion; Michael Phillips; Mitsui Mining and Smelting</t>
  </si>
  <si>
    <t>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t>
  </si>
  <si>
    <t>AiiM Partners; Bezos Expeditions; Cargill; CRV; Footprint Coalition; Full Circle Africa; Hestia Venture Partners; L Catterton; Leonardo Di Caprio; Maven Ventures; Root Ventures; S2G Ventures; Spark Capital; Temasek Holdings</t>
  </si>
  <si>
    <t>Aligned Climate Capital; ClearSky; Climate Innovation Capital; WovenEarth Ventures</t>
  </si>
  <si>
    <t>Chevron Technology Ventures; Lowercarbon Capital</t>
  </si>
  <si>
    <t>Keystone Group</t>
  </si>
  <si>
    <t>Helios Climate Ventures</t>
  </si>
  <si>
    <t>Refactor Capital; Ruvento Ventures</t>
  </si>
  <si>
    <t>Good Growth Capital; Safar Partners</t>
  </si>
  <si>
    <t>Plug and Play Tech Center; Verizon Ventures</t>
  </si>
  <si>
    <t>M13</t>
  </si>
  <si>
    <t>Acre Venture Partners; Floodgate; John Doerr; Ponderosa Ventures; Ssheryl Sandberg; Tom Bernthal</t>
  </si>
  <si>
    <t>IndieBio; SOSV</t>
  </si>
  <si>
    <t>Breakout Ventures; DCVC; Evok Innovations; Future Tech Labs; Starlight Ventures; Xplorer Capital</t>
  </si>
  <si>
    <t>Aera VC; Alpha Bridge Ventures; Breakout Ventures; Capricorn Investment Group; Carbon Direct Capital Management; City Hill Ventures; Climate Capital; DCVC; Evok Innovations; Future Tech Labs; GC Venture Fellows; Lowercarbon Capital; Microsoft Climate Fund; Munich Re Ventures; Rising Tide Fund; Starlight Ventures; Twynam Funds Management; Xplorer Capital</t>
  </si>
  <si>
    <t>Grantchester Group</t>
  </si>
  <si>
    <t>Fifty Years; SOSV; Unovis Asset Management</t>
  </si>
  <si>
    <t>Cargill; Fifty Years; Kimbal Musk; Richard Branson; SOSV; Threshold Management</t>
  </si>
  <si>
    <t>BELLE Impact Fund</t>
  </si>
  <si>
    <t>Breakthrough Energy</t>
  </si>
  <si>
    <t>BELLE Impact Fund; HG Ventures; Keiretsu Forum; New Climate Ventures; SWAN Impact Network; Texas Halo Fund</t>
  </si>
  <si>
    <t>Novo Holdings</t>
  </si>
  <si>
    <t xml:space="preserve">Clean Energy Ventures; Earth Foundry Management </t>
  </si>
  <si>
    <t>Berkeley Catalyst Fund Management; Michael Phillips</t>
  </si>
  <si>
    <t>AiiM Partners; CRV; Maven Ventures; Root Ventures; Spark Capital</t>
  </si>
  <si>
    <t>FM Capital; Foxconn Technology</t>
  </si>
  <si>
    <t>Modern Energy</t>
  </si>
  <si>
    <t>Central Texas Angel Network; Saint-Gobain NOVA</t>
  </si>
  <si>
    <t>Alumni Ventures</t>
  </si>
  <si>
    <t>Unovis Asset Management</t>
  </si>
  <si>
    <t>PRIME Coalition</t>
  </si>
  <si>
    <t>H/L Ventures; Closed Loop Partners; KRG Capital Partners; Gratitude Railroad; For Good Ventures; Loli On-The-Field; Eduardo Vitols; NaHCO3; Geekdom Fund</t>
  </si>
  <si>
    <t>H/L Ventures; Sustainable Ocean Alliance</t>
  </si>
  <si>
    <t>Eduardo Vitols; H/l Ventures; Moskal Capital Partners; Sustainable Ocean Alliance</t>
  </si>
  <si>
    <t>Sand Hill Angels</t>
  </si>
  <si>
    <t>GiantLeap Capital; Indico Capital Partners; PureTerra Ventures; Safar Partners</t>
  </si>
  <si>
    <t>Bricks Capital Management</t>
  </si>
  <si>
    <t>IRONGREY; Metaplanet Holdings; Starlight Ventures; Valo Ventures</t>
  </si>
  <si>
    <t>Bluestein Ventures; Engine Ventures; Prelude Ventures</t>
  </si>
  <si>
    <t>Armilar Venture Partners</t>
  </si>
  <si>
    <t>Safer Made</t>
  </si>
  <si>
    <t>Archer Daniels Midland; GERBER-RAUTH; IndieBio; Meach Cove Capital; ONCE Ventures; SOSV</t>
  </si>
  <si>
    <t>Blackhorn Ventures</t>
  </si>
  <si>
    <t>Energy Innovation Capital</t>
  </si>
  <si>
    <t>Hyundai Motor; NV Bekaert</t>
  </si>
  <si>
    <t>Horizons Ventures</t>
  </si>
  <si>
    <t>Y Combinator</t>
  </si>
  <si>
    <t>Ben Franklin Technology Partners of Central and Northern Pennsylvania; Bunge Ventures; Conti Ventures; Maumee Ventures; Tekfen Ventures; UPL</t>
  </si>
  <si>
    <t>Advantage Capital; Ben Franklin Technology Partners of Central and Northern Pennsylvania; Bunge Ventures; Conti Ventures; H/L Ventures; Keytrade; Maumee Ventures; Ospraie Ag Science; Tekfen Ventures; UPL</t>
  </si>
  <si>
    <t>Greenland Technologies Holding; Shell Ventures; WorldQuant Ventures</t>
  </si>
  <si>
    <t>Climate Capital; Course Correction Capital; Greenland Technologies Holding; GS Futures; Helium-3 Ventures; Honda Motor; LKQ; Samsung Venture Investment; SCG Chemicals; Shell Ventures; Tech Council Ventures; Traxys; Wistron Medical Technology; WorldQuant Ventures</t>
  </si>
  <si>
    <t>Prelude Ventures; Safar Partners</t>
  </si>
  <si>
    <t>Breakthrough Energy; Energy Impact Partners; Titan</t>
  </si>
  <si>
    <t xml:space="preserve">Vickers Venture Partners; WI Harper Group </t>
  </si>
  <si>
    <t>CAP Pensionskasse Coop; Vickers Venture Partners</t>
  </si>
  <si>
    <t>Later Stage VC</t>
  </si>
  <si>
    <t>Alternative Energy Equipment</t>
  </si>
  <si>
    <t>Seed Round</t>
  </si>
  <si>
    <t>Series 2</t>
  </si>
  <si>
    <t>Other Commercial Products</t>
  </si>
  <si>
    <t>PE Growth/Expansion</t>
  </si>
  <si>
    <t>Energy Production</t>
  </si>
  <si>
    <t>Early Stage VC</t>
  </si>
  <si>
    <t>Industrial Chemicals</t>
  </si>
  <si>
    <t>Other Equipment</t>
  </si>
  <si>
    <t>Series A3</t>
  </si>
  <si>
    <t>Food Products</t>
  </si>
  <si>
    <t>Energy Infrastructure</t>
  </si>
  <si>
    <t>Series B2</t>
  </si>
  <si>
    <t>Electrical Equipment</t>
  </si>
  <si>
    <t>Environmental Services (B2B)</t>
  </si>
  <si>
    <t>Other Materials</t>
  </si>
  <si>
    <t>PE Grow'th/Expansion</t>
  </si>
  <si>
    <t>Series A2</t>
  </si>
  <si>
    <t xml:space="preserve">PE Growth/Expansion </t>
  </si>
  <si>
    <t>Series B1</t>
  </si>
  <si>
    <t>Series A1</t>
  </si>
  <si>
    <t xml:space="preserve"> Other Commercial Services</t>
  </si>
  <si>
    <t>Alternative Enery Equipment</t>
  </si>
  <si>
    <t>Environmental Services (B2B) Electrical Equipment Electrical Equipment</t>
  </si>
  <si>
    <t>PE Growth/Expans10</t>
  </si>
  <si>
    <t>Synthetic Textiles</t>
  </si>
  <si>
    <t>Energy production</t>
  </si>
  <si>
    <t>Building Products</t>
  </si>
  <si>
    <t>Specialty Chemicals</t>
  </si>
  <si>
    <t>Enery Production</t>
  </si>
  <si>
    <t xml:space="preserve">Series B1 </t>
  </si>
  <si>
    <t>Series B3</t>
  </si>
  <si>
    <t>Early stage VC</t>
  </si>
  <si>
    <t>Energy Storage</t>
  </si>
  <si>
    <t>Other Commercial Services</t>
  </si>
  <si>
    <t>Angel (individual)</t>
  </si>
  <si>
    <t>Recapitalization</t>
  </si>
  <si>
    <t>PE GrMvth/Expansion</t>
  </si>
  <si>
    <t>Automotive</t>
  </si>
  <si>
    <t>Road</t>
  </si>
  <si>
    <t>Project Financing</t>
  </si>
  <si>
    <t>Machinery (B2B)</t>
  </si>
  <si>
    <t>Other Metals, Minerals and Mining</t>
  </si>
  <si>
    <t xml:space="preserve">Later Stage VC </t>
  </si>
  <si>
    <t xml:space="preserve">Early stage VC </t>
  </si>
  <si>
    <t>Food products</t>
  </si>
  <si>
    <t>Aquaculture</t>
  </si>
  <si>
    <t>Capital Spending</t>
  </si>
  <si>
    <t>Expansion</t>
  </si>
  <si>
    <t>Other Energy Services</t>
  </si>
  <si>
    <t>Construction and Engineering</t>
  </si>
  <si>
    <t>SpecialtyChemicals</t>
  </si>
  <si>
    <t>Series E1</t>
  </si>
  <si>
    <t>Series AA</t>
  </si>
  <si>
    <t>Series BB</t>
  </si>
  <si>
    <t>Cultivation</t>
  </si>
  <si>
    <t>Agricultural Chemicals</t>
  </si>
  <si>
    <t>Environmental Services (B.2B)</t>
  </si>
  <si>
    <t xml:space="preserve">Early Stage VC </t>
  </si>
  <si>
    <t xml:space="preserve">Other Equipment </t>
  </si>
  <si>
    <t>Other Utilities</t>
  </si>
  <si>
    <t>Ervironmental Services (B2B)</t>
  </si>
  <si>
    <t>Other Containers and Packaging</t>
  </si>
  <si>
    <t xml:space="preserve">Energy Production </t>
  </si>
  <si>
    <t>HorticuIture</t>
  </si>
  <si>
    <t>Horticulture</t>
  </si>
  <si>
    <t>Other Services (B2C Non-Financial)</t>
  </si>
  <si>
    <t>Multi-line Chemicals</t>
  </si>
  <si>
    <t>Other Energy</t>
  </si>
  <si>
    <t>Series D</t>
  </si>
  <si>
    <t>Em.'ironmental Services (B2B)</t>
  </si>
  <si>
    <t>Plant Textiles</t>
  </si>
  <si>
    <t>Industrial Supplies and Parts</t>
  </si>
  <si>
    <t xml:space="preserve">Marine Alternative </t>
  </si>
  <si>
    <t>Energy Equipment</t>
  </si>
  <si>
    <t xml:space="preserve">Electrical Equipment </t>
  </si>
  <si>
    <t xml:space="preserve">Series 1 </t>
  </si>
  <si>
    <t>Electronic Equipment and Instruments</t>
  </si>
  <si>
    <t>Marine</t>
  </si>
  <si>
    <t>Other Commercial Sen./ices</t>
  </si>
  <si>
    <t xml:space="preserve">Seed Round </t>
  </si>
  <si>
    <t xml:space="preserve">Series A3 </t>
  </si>
  <si>
    <t xml:space="preserve">Automotive </t>
  </si>
  <si>
    <t xml:space="preserve">Other Materials </t>
  </si>
  <si>
    <t xml:space="preserve">Energy Storage </t>
  </si>
  <si>
    <t>Climate Tech; LOHAS &amp; Wellness</t>
  </si>
  <si>
    <t>CleanTech; Climate Tech</t>
  </si>
  <si>
    <t>AgTech; Climate Tech; FoodTech; Life Sciences; Supply Chain Tech</t>
  </si>
  <si>
    <t>CleanTech; Manufacturing</t>
  </si>
  <si>
    <t>CleanTech; Climate Tech; Manufacturing</t>
  </si>
  <si>
    <t>CleanTech; LOHAS &amp; Wellness; Manufacturing</t>
  </si>
  <si>
    <t>Climate Tech; FoodTech; LOHAS &amp; Wellness</t>
  </si>
  <si>
    <t>Climate Tech; Manufacturing</t>
  </si>
  <si>
    <t>CleanTech; Climate Tech; Industrials; LOHAS &amp; Wellness</t>
  </si>
  <si>
    <t>Climate Tech; Infrastructure; Manufacturing</t>
  </si>
  <si>
    <t>Climate Tech; Industrials; Life Sciences; Manufacturing</t>
  </si>
  <si>
    <t>CleanTech; Climate Tech; LOHAS &amp; Wellness</t>
  </si>
  <si>
    <t>CleanTech; Climate Tech; LOHAS &amp; Wellness; Manufacturing</t>
  </si>
  <si>
    <t xml:space="preserve">CleanTech; Industrials; Manufacturing </t>
  </si>
  <si>
    <t>CleanTech; Climate Tech; Life Sciences</t>
  </si>
  <si>
    <t>CleanTech; Climate Tech; Industrials; Manufacturing</t>
  </si>
  <si>
    <t>AgTech; CleanTech; Manufacturing</t>
  </si>
  <si>
    <t>CleanTech; Climate Tech; Manufacturing; Mobility Tech</t>
  </si>
  <si>
    <t>Artificial Intelligence &amp; Machine Learning; CleanTech; Climate Tech; Infrastructure</t>
  </si>
  <si>
    <t xml:space="preserve">CleanTech; Climate Tech; Manufacturing </t>
  </si>
  <si>
    <t>CleanTech; Industrials</t>
  </si>
  <si>
    <t>CleanTech; Infrastructure; Manufacturing</t>
  </si>
  <si>
    <t>Artificial Intelligence &amp; Machine Learning; CleanTech; Manufacturing</t>
  </si>
  <si>
    <t>Autonomous cars; CleanTech; Climate Tech; Industrials; LOHAS &amp; Wellness; Mobility Tech</t>
  </si>
  <si>
    <t>CleanTech; Climate Tech; LOHAS &amp; Wellness; Mobility Tech</t>
  </si>
  <si>
    <t>Artificial Intelligence &amp; Machine Learning; CleanTech; Climate Tech</t>
  </si>
  <si>
    <t>CleanTech; LOHAS &amp; Wellness</t>
  </si>
  <si>
    <t>CleanTech; Climate Tech; Life Sciences; LOHAS &amp; Wellness</t>
  </si>
  <si>
    <t>Artificial Intelligence &amp; Machine Learning; Climate Tech</t>
  </si>
  <si>
    <t>Climate Tech; Industrials</t>
  </si>
  <si>
    <t>CleanTech; Climate Tech; Mobility' Tech</t>
  </si>
  <si>
    <t>CleanTech; Climate Tech; Mobility Tech</t>
  </si>
  <si>
    <t>Climate Tech; Manufacturing; Mobility Tech</t>
  </si>
  <si>
    <t>Climate Tech; FoodTech</t>
  </si>
  <si>
    <t>AgTech; Climate Tech; FoodTech; Life Sciences</t>
  </si>
  <si>
    <t>AgTech; CleanTech; Climate Tech; LOHAS &amp; Wellness</t>
  </si>
  <si>
    <t>CleanTech; Industrials; LOHAS &amp; Wellness; Manufacturing</t>
  </si>
  <si>
    <t>Artificial Intelligence &amp; Machine Learning; CleanTech; Climate Tech; Life Sciences</t>
  </si>
  <si>
    <t>AgTech; Climate Tech; Life Sciences</t>
  </si>
  <si>
    <t>CleanTech; Infrastructure; LOHAS &amp; Wellness</t>
  </si>
  <si>
    <t>AgTech; Climate Tech; FoodTech; Manufacturing Suppl...</t>
  </si>
  <si>
    <t>AgTech; Climate Tech; FoodTech</t>
  </si>
  <si>
    <t>CleanTech; Infrastructure</t>
  </si>
  <si>
    <t>AgTech; Climate Tech; Supply Chain Tech</t>
  </si>
  <si>
    <t>AgTech; CleanTech; Climate Tech; FoodTech</t>
  </si>
  <si>
    <t>AgTech; Artificial Intelligence &amp; Machine Learning Climate Tech; Supply Chain Tech</t>
  </si>
  <si>
    <t>CleanTech; Industrials; Manufacturing</t>
  </si>
  <si>
    <t>CleanTech; Climate Tech; FoodTech</t>
  </si>
  <si>
    <t>CleanTech; Climate Tech; LOHAS &amp; Wellness; Manufact...</t>
  </si>
  <si>
    <t>CleanTech; Climate Tech; Infrastructure</t>
  </si>
  <si>
    <t>AgTech; CleanTech; Climate Tech; Life Sciences</t>
  </si>
  <si>
    <t>AgTech; Climate Tech</t>
  </si>
  <si>
    <t>CleanTech; Climate Tech; Oil &amp; Gas</t>
  </si>
  <si>
    <t>CleanTech; Climate Tech; LOHAS &amp; Wellness; Manufacturing; Mobility Tech</t>
  </si>
  <si>
    <t>Climate Tech; Micro-Mobility; Mobility Tech</t>
  </si>
  <si>
    <t>Artificial Intelligence &amp; Machine Learning; CleanTech</t>
  </si>
  <si>
    <t>CleanTech; Industrials; Infrastructure</t>
  </si>
  <si>
    <t>CleanTech; Manufacturing Mobility Tech</t>
  </si>
  <si>
    <t>CleanTech; Climate Tech; Industrials</t>
  </si>
  <si>
    <t>AgTech; CleanTech</t>
  </si>
  <si>
    <t xml:space="preserve">CleanTech; LOHAS &amp; Wellness; Manufacturing </t>
  </si>
  <si>
    <t>AgTech; CleanTech; LOHAS &amp; Wellness; Manufacturing CleanTech</t>
  </si>
  <si>
    <t>Food &amp; Ag</t>
  </si>
  <si>
    <t>LDES</t>
  </si>
  <si>
    <t>Industrial Decarbonization</t>
  </si>
  <si>
    <t>Mobility</t>
  </si>
  <si>
    <t>Buildings</t>
  </si>
  <si>
    <t>CDR</t>
  </si>
  <si>
    <t xml:space="preserve">Renewable project developer </t>
  </si>
  <si>
    <t>Water-focused</t>
  </si>
  <si>
    <t>Excluded Companies</t>
  </si>
  <si>
    <t>Included companies</t>
  </si>
  <si>
    <t>Scale of impact</t>
  </si>
  <si>
    <t>Software focus</t>
  </si>
  <si>
    <t xml:space="preserve">Company </t>
  </si>
  <si>
    <t>TRELLIS CLIMATE - PRIME COALITION</t>
  </si>
  <si>
    <t xml:space="preserve">Climate Tech - Bridge Rounds Research </t>
  </si>
  <si>
    <t>Phase 1</t>
  </si>
  <si>
    <t>COMPANY INFORMATION</t>
  </si>
  <si>
    <t>FINANCIAL INFORMATION &amp; FOCUS DEAL(S)</t>
  </si>
  <si>
    <t>INVESTOR ANALYSIS</t>
  </si>
  <si>
    <t>PITCHBOOK IDENTIFIERS</t>
  </si>
  <si>
    <t>Hydrogen</t>
  </si>
  <si>
    <t>https://247solar.com/</t>
  </si>
  <si>
    <t>https://www.aanikabio.com/</t>
  </si>
  <si>
    <t>https://aces-delta.com/</t>
  </si>
  <si>
    <t>https://addisenergy.com/</t>
  </si>
  <si>
    <t>https://advancedbatteryconcepts.com/</t>
  </si>
  <si>
    <t>Builds and operates microgrid energy storage systems and energy management services to improve resilience and optimize distributed energy resources.</t>
  </si>
  <si>
    <t>https://www.aithersystems.com/</t>
  </si>
  <si>
    <t>Provides standardized project delivery approaches to accelerate deployment of nuclear power (including uprates at existing plants) to add clean firm capacity to the grid.</t>
  </si>
  <si>
    <t>https://alvaenergy.io/</t>
  </si>
  <si>
    <t>Develops designer proteins for food and beverage applications, including sweet proteins intended to reduce added sugar while maintaining taste.</t>
  </si>
  <si>
    <t>https://amaiproteins.com/</t>
  </si>
  <si>
    <t>https://amberkinetics.com/</t>
  </si>
  <si>
    <t>https://amogy.co/</t>
  </si>
  <si>
    <t>https://www.ampcera.com/</t>
  </si>
  <si>
    <t>https://www.anthroenergy.com/</t>
  </si>
  <si>
    <t>https://www.antora.com/</t>
  </si>
  <si>
    <t>https://atmoszero.energy/</t>
  </si>
  <si>
    <t>Produces biocarbon and related bioproducts that can replace coal/coke and other fossil inputs in metals, energy, and industrial processes to reduce emissions.</t>
  </si>
  <si>
    <t>https://aymium.com/</t>
  </si>
  <si>
    <t>https://www.bajacarports.com/</t>
  </si>
  <si>
    <t>https://bayotech.us/</t>
  </si>
  <si>
    <t>Produces biocement materials using microorganisms to grow cementitious products at ambient conditions, reducing emissions associated with traditional cement production.</t>
  </si>
  <si>
    <t>https://biomason.com/</t>
  </si>
  <si>
    <t>https://bluefrontierac.com/</t>
  </si>
  <si>
    <t>Develops circular solutions to convert waste streams (including plastics) into new products and materials, aiming to reduce landfill and associated emissions.</t>
  </si>
  <si>
    <t>https://www.brightmark.com/</t>
  </si>
  <si>
    <t>Operates demand response and virtual power plant programs that pay customers to reduce electricity load during grid stress, supporting reliability and renewable integration.</t>
  </si>
  <si>
    <t>https://cpowerenergy.com/</t>
  </si>
  <si>
    <t>https://cadenzainnovation.com/</t>
  </si>
  <si>
    <t>Develops perovskite active glass technology to enable hybrid tandem solar modules with higher power output and lower cost through scalable manufacturing.</t>
  </si>
  <si>
    <t>https://caelux.com/</t>
  </si>
  <si>
    <t>https://calicat.com/</t>
  </si>
  <si>
    <t>Captures methane from dairy waste via anaerobic digestion and upgrades biogas into renewable natural gas and electricity, reducing agricultural emissions.</t>
  </si>
  <si>
    <t>https://www.calbioenergy.com/</t>
  </si>
  <si>
    <t>https://www.cambrianinnovation.com/</t>
  </si>
  <si>
    <t>https://www.capacitechenergy.com/</t>
  </si>
  <si>
    <t>https://charmindustrial.com/</t>
  </si>
  <si>
    <t>https://chestnutcarbon.com/</t>
  </si>
  <si>
    <t>https://circ.earth/</t>
  </si>
  <si>
    <t>Develops port infrastructureâ€”manufacturing, staging, assembly, and O&amp;M facilitiesâ€”needed to deploy offshore wind at scale.</t>
  </si>
  <si>
    <t>https://cleanenergyterminals.com/</t>
  </si>
  <si>
    <t>https://www.cleanhydrogentechnologies.com/</t>
  </si>
  <si>
    <t>https://www.cleanfiber.com/</t>
  </si>
  <si>
    <t>Independent green power producer focused on hydropower generation, leveraging advanced engineering and operations to deliver renewable electricity.</t>
  </si>
  <si>
    <t>https://www.clearenergyhydro.com/</t>
  </si>
  <si>
    <t>https://www.goclearshift.com/</t>
  </si>
  <si>
    <t>https://cfs.energy/</t>
  </si>
  <si>
    <t>https://www.conamix.com/</t>
  </si>
  <si>
    <t>https://coolenergy.com/</t>
  </si>
  <si>
    <t>Provides turnkey residential geothermal heating and cooling systems (ground loops and heat pumps), using streamlined drilling and installation to electrify building HVAC efficiently.</t>
  </si>
  <si>
    <t>https://dandelionenergy.com/</t>
  </si>
  <si>
    <t>https://www.digitalpoweroptimization.com/</t>
  </si>
  <si>
    <t>https://www.dimensionalenergy.com/</t>
  </si>
  <si>
    <t>https://www.disausa.com/</t>
  </si>
  <si>
    <t>Operates recycling and hauling services focused on construction, demolition, and industrial waste diversion and material recovery.</t>
  </si>
  <si>
    <t>https://www.dtgrecycle.com/</t>
  </si>
  <si>
    <t>https://dynami-battery.com/</t>
  </si>
  <si>
    <t>https://www.e-zinc.ca/</t>
  </si>
  <si>
    <t>https://earthgrid.io/</t>
  </si>
  <si>
    <t>https://www.ebbcarbon.com/</t>
  </si>
  <si>
    <t>https://ecocarbons.org/</t>
  </si>
  <si>
    <t>https://egibattery.com/</t>
  </si>
  <si>
    <t>https://emissionfreegenerators.com/</t>
  </si>
  <si>
    <t>https://emrgy.com/</t>
  </si>
  <si>
    <t>https://energydome.com/</t>
  </si>
  <si>
    <t>https://www.engoplanet.com/</t>
  </si>
  <si>
    <t>Delivers turnkey energy and water efficiency projects (including solar and storage where relevant) for building owners to reduce utility costs and emissions.</t>
  </si>
  <si>
    <t>https://envocore.com/</t>
  </si>
  <si>
    <t>https://www.epcpower.com/</t>
  </si>
  <si>
    <t>Develops high-temperature modular solar power systems that integrate thermal energy storage to deliver reliable, round-the-clock zero-carbon electricity.</t>
  </si>
  <si>
    <t>Develops science-backed risk management and warranty/insurance programs for agriculture and food supply chains, including solutions aimed at issues like spray drift and contamination.</t>
  </si>
  <si>
    <t>Develops the Advanced Clean Energy Storage hub in Delta, Utah to produce, store, and deliver green hydrogen for the Western U.S., supporting year-round low-carbon power.</t>
  </si>
  <si>
    <t>Develops a subsurface process that uses engineered fluids and geologic resources to produce ammonia, aiming for low-cost, low-carbon chemical production.</t>
  </si>
  <si>
    <t>Develops advanced lithium-ion battery module architectures focused on safety, low-cost manufacturing, and designs intended for easier disassembly and recycling for stationary and other uses.</t>
  </si>
  <si>
    <t>Designs and deploys flywheel energy storage systems that provide long-life, high-cycle grid support without chemical degradation.</t>
  </si>
  <si>
    <t>Develops ammonia-to-power technology that converts ammonia into carbon-free electricity at point of use to decarbonize heavy industry, power, and transportation.</t>
  </si>
  <si>
    <t>Produces solid-state electrolyte materials and develops all-solid-state battery technology aimed at safer, higher-performance energy storage.</t>
  </si>
  <si>
    <t>Develops high-efficiency hybrid gas-electric heat pump systems designed to reduce emissions for residential and commercial heating.</t>
  </si>
  <si>
    <t>Develops advanced electrolytes and structural/flexible battery designs to improve safety, stability, and performance of next-generation batteries.</t>
  </si>
  <si>
    <t>Builds thermal batteries that store low-cost clean electricity as heat in solid carbon blocks and discharge as high-temperature heat and/or power for industrial operations.</t>
  </si>
  <si>
    <t>Makes modular electrified heat-pump boilers that produce industrial steam from ambient heat, enabling decarbonized process steam.</t>
  </si>
  <si>
    <t>Supplies and installs solar carport structures and related covered canopy solutions that enable on-site solar generation over parking areas.</t>
  </si>
  <si>
    <t>Provides localized hydrogen production, transport, storage, and fueling solutions to supply low-carbon hydrogen where it is needed.</t>
  </si>
  <si>
    <t>Develops ultra-efficient air-conditioning and dehumidification systems using liquid desiccants and thermal storage to reduce electricity use and peak demand.</t>
  </si>
  <si>
    <t>Develops lithium-ion battery system packaging and module architectures focused on improved safety, reliability, and performance for energy storage and mobility applications.</t>
  </si>
  <si>
    <t>Develops non-iridium catalyst materials and electrolyzer stack components aimed at lowering the levelized cost of green hydrogen production.</t>
  </si>
  <si>
    <t>Builds rapid-response energy storage systems using scalable supercapacitor modules to improve power quality and support grid and microgrid applications.</t>
  </si>
  <si>
    <t>Develops large-scale U.S. forestry carbon removal projects (e.g., afforestation and improved forest management) to generate high-integrity removal credits.</t>
  </si>
  <si>
    <t>Develops textile-to-textile recycling technology (including hydrothermal processing) to recover materials from blended fabrics and enable circular fashion supply chains.</t>
  </si>
  <si>
    <t>Manufactures next-generation cellulose building insulation from recycled fiber with low dust and enhanced fire retardancy, improving building energy efficiency.</t>
  </si>
  <si>
    <t>Develops tokamak fusion power systems using high-temperature superconducting magnets to deliver future carbon-free electricity for the grid.</t>
  </si>
  <si>
    <t>Develops lithium-sulfur battery technology intended to lower cost and improve performance for applications including micromobility, drones, and EVs.</t>
  </si>
  <si>
    <t>Develops Stirling-engine based systems that convert medium-temperature heat (e.g., industrial waste heat, solar thermal, geothermal) into electricity.</t>
  </si>
  <si>
    <t>Builds flexible, on-site data centers at renewable generation sites to absorb curtailed/undervalued electricity and monetize excess clean power.</t>
  </si>
  <si>
    <t>Develops high-pressure slurry ablation technology to upgrade critical minerals from ore and legacy waste and to remediate contaminated mine tailings.</t>
  </si>
  <si>
    <t>Develops electrode manufacturing technology aimed at enabling faster-charging, higher-capacity lithium-ion batteries while using less active material.</t>
  </si>
  <si>
    <t>Develops zinc-based long-duration energy storage designed to provide safe, cost-effective multi-day storage to support renewable grids.</t>
  </si>
  <si>
    <t>Develops plasma tunnel-boring technology to speed up trenching and tunneling for infrastructure such as transmission and utility corridors.</t>
  </si>
  <si>
    <t>Uses electrochemical water technology at desalination plants to convert brine into additional freshwater while enabling permanent ocean-based carbon removal.</t>
  </si>
  <si>
    <t>Converts post-consumer plastic waste into high-quality carbonaceous materials and activated carbon products for industrial applications.</t>
  </si>
  <si>
    <t>U.S. battery cell manufacturer developing semi-solid-state lithium-ion, silicon-rich advanced batteries for high performance energy storage applications.</t>
  </si>
  <si>
    <t>Develops portable, grid-independent power generation systems leveraging hydrogen to provide clean electricity where needed.</t>
  </si>
  <si>
    <t>Develops modular hydrokinetic turbines that generate on-site electricity from slow or shallow flowing water without traditional dams.</t>
  </si>
  <si>
    <t>Provides off-grid solar energy systems such as smart solar street lights and poles for public lighting and other distributed applications.</t>
  </si>
  <si>
    <t>American manufacturer of utility-scale and C&amp;I power inverters and power conversion systems used in solar PV and battery energy storage projects.</t>
  </si>
  <si>
    <t>Removes CO2 by converting biomass into a stable bio-oil and injecting it deep underground for permanent sequestration.</t>
  </si>
  <si>
    <t>Develops processes and production plants aimed at producing hydrogen and carbon products with minimized CO2 emissions from natural gas feedstocks.</t>
  </si>
  <si>
    <t>Converts methane/flare gas and CO2 into cleaner fuels and specialty chemicals via gas-to-liquids technology aimed at lower energy and water use than legacy petrochemical routes.</t>
  </si>
  <si>
    <t>Licenses catalyst and process technology to convert captured CO2 into synthetic hydrocarbons (e.g., e-SAF and renewable oil) for low-carbon transportation fuels.</t>
  </si>
  <si>
    <t>Develops CO2-based long-duration energy storage that stores electricity via a thermo-mechanical CO2 cycle using off-the-shelf components.</t>
  </si>
  <si>
    <t>Provides modular wastewater treatment and resource-recovery systems that convert industrial wastewater into clean water and energy, often via "wastewater-as-a-service" deployments.</t>
  </si>
  <si>
    <t>http://www.stonemountaintechnologies.com/</t>
  </si>
  <si>
    <t>Recycles plastics and manufactures recycled PET (rPET) materials to increase recycled content in packaging and other products.</t>
  </si>
  <si>
    <t>https://www.evergreentogether.com</t>
  </si>
  <si>
    <t>Develops modular energy storage systems that store electricity as heat and deliver dispatchable power for industrial and grid use.</t>
  </si>
  <si>
    <t>https://exowatt.com</t>
  </si>
  <si>
    <t>Designs and manufactures electric vehicles, including the FF 91 luxury EV platform.</t>
  </si>
  <si>
    <t>https://www.ff.com</t>
  </si>
  <si>
    <t>Provides vehicle-to-grid (V2G) software and bidirectional charging that lets EVs supply energy back to buildings or the grid.</t>
  </si>
  <si>
    <t>https://fermataenergy.com</t>
  </si>
  <si>
    <t>Develops enhanced geothermal systems to provide firm, carbon-free electricity using advanced drilling and reservoir engineering.</t>
  </si>
  <si>
    <t>https://fervoenergy.com</t>
  </si>
  <si>
    <t>Develops cell-cultured and alternative seafood products to reduce pressure on wild fisheries and aquaculture impacts.</t>
  </si>
  <si>
    <t>https://www.finlessfoods.com</t>
  </si>
  <si>
    <t>Develops HVAC/refrigeration solutions aimed at improving efficiency and reducing emissions from building cooling systems.</t>
  </si>
  <si>
    <t>Develops and operates power generation and energy infrastructure projects, including flexible generation and storage.</t>
  </si>
  <si>
    <t>https://www.footprintpower.com</t>
  </si>
  <si>
    <t>Produces sustainably farmed kanpachi (amberjack) seafood using closed-containment aquaculture systems.</t>
  </si>
  <si>
    <t>https://foreveroceans.com</t>
  </si>
  <si>
    <t>Builds multi-day iron-air batteries designed to provide up to ~100 hours of grid-scale energy storage.</t>
  </si>
  <si>
    <t>https://formenergy.com</t>
  </si>
  <si>
    <t>Develops CO2 transport and geologic storage infrastructure, including carbon storage hubs for industrial emitters.</t>
  </si>
  <si>
    <t>https://frontierccus.com</t>
  </si>
  <si>
    <t>Converts organic waste into biodegradable PHA bioplastics, replacing petroleum-based plastics and diverting waste.</t>
  </si>
  <si>
    <t>https://fullcyclebioplastics.com</t>
  </si>
  <si>
    <t>Works on fuel cell and hydrogen-related technologies and consulting, including hydrogen/methanol fuel cell expertise.</t>
  </si>
  <si>
    <t>https://www.greenway-energy.com</t>
  </si>
  <si>
    <t>Develops silicon anode composite materials for lithium-ion batteries to improve performance for transportation and other applications.</t>
  </si>
  <si>
    <t>https://gruenergylab.com</t>
  </si>
  <si>
    <t>Develops solid-state hydrogen storage materials and systems enabling safer, lower-pressure hydrogen storage and transport.</t>
  </si>
  <si>
    <t>https://h2mof.com</t>
  </si>
  <si>
    <t>Designs and manufactures high-temperature heat exchangers that enable industrial waste-heat recovery and efficiency gains.</t>
  </si>
  <si>
    <t>https://heatrecoveryinnovations.com</t>
  </si>
  <si>
    <t>Builds direct air capture systems that accelerate limestone-based mineralization to remove CO2 and store it permanently.</t>
  </si>
  <si>
    <t>https://www.heirloomcarbon.com</t>
  </si>
  <si>
    <t>Provides wind-powered microgrid systems combining wind (and other resources) with storage for on-site resilient power.</t>
  </si>
  <si>
    <t>https://hoverenergy.com</t>
  </si>
  <si>
    <t>Uses biotechnology to produce sustainable dyes (e.g., indigo) that can replace petrochemical, toxic dye processes.</t>
  </si>
  <si>
    <t>https://www.huue.bio</t>
  </si>
  <si>
    <t>Develops hypervelocity projectile technology to reduce cost and impact of tunneling, mining, and drilling in hard rock.</t>
  </si>
  <si>
    <t>https://www.hypersciences.com</t>
  </si>
  <si>
    <t>Produces plant-based meat alternatives designed to replace animal protein with lower environmental impact.</t>
  </si>
  <si>
    <t>https://impossiblefoods.com</t>
  </si>
  <si>
    <t>Produces and distributes hydrogen, including high-pressure gaseous hydrogen for industrial and mobility applications.</t>
  </si>
  <si>
    <t>https://ih2.us</t>
  </si>
  <si>
    <t>Develops lightweight electric vehicles and SmartWheelsâ„¢ technology targeted at ride-hail and last-mile delivery fleets.</t>
  </si>
  <si>
    <t>https://indigotech.com</t>
  </si>
  <si>
    <t>Develops and delivers solar energy solutions and projects for commercial/industrial customers.</t>
  </si>
  <si>
    <t>https://industrialsun.com</t>
  </si>
  <si>
    <t>Manufactures high-efficiency electric motors using PCB stator technology to reduce materials use and energy consumption.</t>
  </si>
  <si>
    <t>https://goinfinitum.com</t>
  </si>
  <si>
    <t>Retrofits existing windows and curtain walls with insulating glass upgrades to improve building energy performance without replacement.</t>
  </si>
  <si>
    <t>https://www.inovues.com</t>
  </si>
  <si>
    <t>Develops anodeless solid-state batteries aimed at higher energy density and improved safety for electronics and EVs.</t>
  </si>
  <si>
    <t>https://ionstoragesystems.com</t>
  </si>
  <si>
    <t>Produces algae-based omega-3 nutrition products as an alternative to fish/krill oils, reducing reliance on wild fisheries.</t>
  </si>
  <si>
    <t>https://iwilife.com</t>
  </si>
  <si>
    <t>Provides portable and scalable battery power systems that replace diesel generators for mobile businesses and events.</t>
  </si>
  <si>
    <t>https://www.joulecase.com</t>
  </si>
  <si>
    <t>Develops mobile, modular hydrogen-based power generation systems as a cleaner alternative to diesel generators.</t>
  </si>
  <si>
    <t>https://kaizencleanenergy.com</t>
  </si>
  <si>
    <t>Develops seaweed-based biopolymer fibers (KelsunÂ®) for lower-impact textiles and materials.</t>
  </si>
  <si>
    <t>https://www.keellabs.com</t>
  </si>
  <si>
    <t>Makes plant-based dairy alternatives (e.g., almond-milk yogurts and cheeses) as substitutes for conventional dairy.</t>
  </si>
  <si>
    <t>https://kite-hill.com</t>
  </si>
  <si>
    <t>Develops fermentation-derived functional ingredients for aquafeeds to improve efficiency and sustainability in aquaculture.</t>
  </si>
  <si>
    <t>https://knipfeed.me</t>
  </si>
  <si>
    <t>Uses nitrogen-fixing microbes to produce biological crop nutrition products that can reduce reliance on synthetic fertilizer.</t>
  </si>
  <si>
    <t>https://www.kulabio.com</t>
  </si>
  <si>
    <t>Develops and operates nature-based and soil-focused projects to restore degraded land and generate high-quality carbon credits and ecosystem services.</t>
  </si>
  <si>
    <t>https://landandcarbon.com</t>
  </si>
  <si>
    <t>Develops carbon capture, utilization, and storage (CCUS) projects and CO2 sequestration services for industrial decarbonization.</t>
  </si>
  <si>
    <t>https://www.lapiscarbonsolutions.com</t>
  </si>
  <si>
    <t>Provides direct lithium extraction technology to produce lithium from brines faster and with lower environmental footprint.</t>
  </si>
  <si>
    <t>https://lilacsolutions.com</t>
  </si>
  <si>
    <t>Develops laser-based electrified ironmaking to reduce energy use and emissions in steel production.</t>
  </si>
  <si>
    <t>https://www.limelightsteel.com</t>
  </si>
  <si>
    <t>Provides transmission grid monitoring and dynamic line rating solutions to increase capacity and enable renewable integration.</t>
  </si>
  <si>
    <t>https://www.linevisioninc.com</t>
  </si>
  <si>
    <t>Develops seaweed-based materials and products designed to replace single-use plastic packaging.</t>
  </si>
  <si>
    <t>https://www.loliware.com</t>
  </si>
  <si>
    <t>Develops hydrogen fuel cell systems for commercial vehicles and stationary power applications.</t>
  </si>
  <si>
    <t>https://loopenergy.com</t>
  </si>
  <si>
    <t>Produces bio-based specialty chemicals and materials using fermentation and biomanufacturing to replace fossil-derived inputs.</t>
  </si>
  <si>
    <t>https://www.lygos.com</t>
  </si>
  <si>
    <t>Develops, owns, and operates anaerobic digesters and renewable natural gas (RNG) projects, especially for dairy manure and organic waste.</t>
  </si>
  <si>
    <t>https://www.maasenergy.com</t>
  </si>
  <si>
    <t>Biomanufacturing company that enables replacement of conventional ingredients, materials, and chemicals with bio-based alternatives.</t>
  </si>
  <si>
    <t>https://www.manusbio.com</t>
  </si>
  <si>
    <t>Manufactures electro-ceramic desalination membranes and systems that enable industrial wastewater treatment and water reuse.</t>
  </si>
  <si>
    <t>https://membrion.com</t>
  </si>
  <si>
    <t>Develops the LightCell portable power generator using thermophotovoltaic technology to convert fuels into silent electricity.</t>
  </si>
  <si>
    <t>https://www.mesodyne.com</t>
  </si>
  <si>
    <t>Develops and manufactures lithium-ion battery cathode materials (e.g., LFP) using machine learning to accelerate R&amp;D and scale-up.</t>
  </si>
  <si>
    <t>https://www.mitrachem.com</t>
  </si>
  <si>
    <t>Develops battery modules and charging infrastructure solutions to support electrified transportation.</t>
  </si>
  <si>
    <t>https://www.mobius.energy</t>
  </si>
  <si>
    <t>Uses methane pyrolysis to produce hydrogen from natural gas while capturing solid carbon for reuse, reducing CO2 emissions.</t>
  </si>
  <si>
    <t>https://modernhydrogen.com</t>
  </si>
  <si>
    <t>Develops membrane solvent extraction systems to recover critical minerals and metals from end-of-life batteries and e-waste.</t>
  </si>
  <si>
    <t>https://momentum.technology</t>
  </si>
  <si>
    <t>Produces renewable diesel and sustainable aviation fuel (SAF) from waste and renewable feedstocks.</t>
  </si>
  <si>
    <t>https://montanarenewables.com</t>
  </si>
  <si>
    <t>Creates an edible silk-protein coating that slows food spoilage and extends shelf life of fresh foods, reducing waste.</t>
  </si>
  <si>
    <t>https://www.mori.com</t>
  </si>
  <si>
    <t>Develops plant-made milk proteins and plant-based cheese designed to match conventional dairy cheese performance.</t>
  </si>
  <si>
    <t>https://www.mozzafoods.com</t>
  </si>
  <si>
    <t>Develops large-scale decarbonized hydrogen, ammonia, and methylcyclohexane (MCH) production on the U.S. Gulf Coast for domestic and export markets.</t>
  </si>
  <si>
    <t>https://www.mvce.com</t>
  </si>
  <si>
    <t>Uses fungi-based processes to upcycle construction waste into low-carbon raw materials for the built environment.</t>
  </si>
  <si>
    <t>https://mycocycle.com</t>
  </si>
  <si>
    <t>Produces mycelium-based meat alternatives such as plant-based bacon made from oyster mushroom mycelium.</t>
  </si>
  <si>
    <t>https://myforestfoods.com</t>
  </si>
  <si>
    <t>Develops large-scale facilities to produce lower-carbon fuels (e.g., methanol-to-gasoline and SAF pathways).</t>
  </si>
  <si>
    <t>https://nacero.co</t>
  </si>
  <si>
    <t>Designs fish-safe hydropower turbines and engineering solutions to improve fish passage and modernize hydropower plants.</t>
  </si>
  <si>
    <t>https://www.natelenergy.com</t>
  </si>
  <si>
    <t xml:space="preserve">Sector </t>
  </si>
  <si>
    <t>Uses precision fermentation to produce animal-free dairy proteins (casein) for mozzarella-style cheese that melts and stretches like conventional dairy.</t>
  </si>
  <si>
    <t>https://www.newculture.com/</t>
  </si>
  <si>
    <t>Develops and operates floating solar photovoltaic projects, using water surfaces to host solar generation.</t>
  </si>
  <si>
    <t>https://noriaenergy.com/</t>
  </si>
  <si>
    <t>Develops technologies to improve phosphorus fertilizer use and reduce nutrient losses from agriculture.</t>
  </si>
  <si>
    <t>https://novaphos.com/</t>
  </si>
  <si>
    <t>Breeds and commercializes chickpea varieties aimed at improving yield and suitability for plant-based foods.</t>
  </si>
  <si>
    <t>https://www.nucicer.com/</t>
  </si>
  <si>
    <t>Develops electric vehicle charging solutions and related infrastructure services.</t>
  </si>
  <si>
    <t>https://www.obepower.com/</t>
  </si>
  <si>
    <t>Develops marine renewable energy systems that generate electricity from river and tidal currents.</t>
  </si>
  <si>
    <t>https://orpc.co/</t>
  </si>
  <si>
    <t>Develops sustainable packaging materials that replace a portion of plastic with mineral-based content to reduce plastic use and COâ‚‚ footprint.</t>
  </si>
  <si>
    <t>https://okeanos.global/</t>
  </si>
  <si>
    <t>Provides solar panel recycling services to recover materials and reduce waste from end-of-life photovoltaic modules.</t>
  </si>
  <si>
    <t>https://oneplanetsolarrecycling.com/</t>
  </si>
  <si>
    <t>Operates indoor vertical farms to grow produce year-round using controlled-environment agriculture.</t>
  </si>
  <si>
    <t>https://www.onepointone.com/</t>
  </si>
  <si>
    <t>Develops advanced catalyst materials for fuel cells and electrolyzers to support clean hydrogen production and use.</t>
  </si>
  <si>
    <t>https://pajaritopowder.com/</t>
  </si>
  <si>
    <t>Develops optical films and materials to improve the performance and durability of photovoltaic solar modules.</t>
  </si>
  <si>
    <t>https://www.pellucere.com/</t>
  </si>
  <si>
    <t>Develops microbiome-based products, including probiotics intended to support metabolic health.</t>
  </si>
  <si>
    <t>https://pendulumlife.com/</t>
  </si>
  <si>
    <t>Produces animal-free dairy proteins using precision fermentation for use in food and beverage products.</t>
  </si>
  <si>
    <t>https://perfectday.com/</t>
  </si>
  <si>
    <t>Develops phase change materials (PCMs) that store and release thermal energy to stabilize temperatures and improve energy efficiency.</t>
  </si>
  <si>
    <t>https://phasechange.com/</t>
  </si>
  <si>
    <t>Develops lightweight, low-carbon insulation materials aimed at improving building energy efficiency.</t>
  </si>
  <si>
    <t>https://phoamlabs.com/</t>
  </si>
  <si>
    <t>Develops salt cavern hydrogen storage assets and integrates projects across the hydrogen and power-to-X value chain.</t>
  </si>
  <si>
    <t>https://www.phoenixhydrogen.com/</t>
  </si>
  <si>
    <t>Develops fertilizer-efficiency technology (e.g., RhizoSorbÂ®) designed to improve phosphorus uptake and reduce losses.</t>
  </si>
  <si>
    <t>https://www.phospholutions.com/</t>
  </si>
  <si>
    <t>Repurposes end-of-life EV batteries into modular battery energy storage systems, including containerized long-duration storage.</t>
  </si>
  <si>
    <t>https://poshenergy.com/</t>
  </si>
  <si>
    <t>Develops direct lithium-ion battery recycling technologies to recover cathode and anode materials with lower waste and emissions.</t>
  </si>
  <si>
    <t>https://pnecycle.com/</t>
  </si>
  <si>
    <t>Operates hydroponic greenhouse farms producing leafy greens year-round with controlled-environment agriculture.</t>
  </si>
  <si>
    <t>https://www.enjoypuregreen.com/</t>
  </si>
  <si>
    <t>Uses agricultural feedstocks to produce biobased 1,5-pentanediol (1,5-PDO) as a lower-emissions alternative to petroleum-based chemicals.</t>
  </si>
  <si>
    <t>https://www.pyranco.com/</t>
  </si>
  <si>
    <t>Develops millimeter-wave drilling technology to access superhot geothermal resources for scalable clean power.</t>
  </si>
  <si>
    <t>https://www.quaise.energy/</t>
  </si>
  <si>
    <t>Develops agricultural technologies including biomass processing and biochar to improve soil health, resilience, and carbon outcomes.</t>
  </si>
  <si>
    <t>https://www.qualterraag.com/</t>
  </si>
  <si>
    <t>Develops solid-state lithium-metal battery technology aimed at improving EV range, charging speed, and safety.</t>
  </si>
  <si>
    <t>https://www.quantumscape.com/</t>
  </si>
  <si>
    <t>Develops waste-to-hydrogen and renewable fuels technology using thermal conversion to produce hydrogen from organic waste.</t>
  </si>
  <si>
    <t>https://ravensr.com/</t>
  </si>
  <si>
    <t>Develops technology to convert waste plastics into valuable carbon materials, helping reduce plastic waste and emissions.</t>
  </si>
  <si>
    <t>https://www.recarboninc.com/</t>
  </si>
  <si>
    <t>Develops refinement and recycling processes to recover critical elements and rare earths from batteries and other feedstocks.</t>
  </si>
  <si>
    <t>https://reelement.tech/</t>
  </si>
  <si>
    <t>Develops technology pathways for low-carbon ammonia and hydrogen-based energy carriers.</t>
  </si>
  <si>
    <t>https://remoenergy.com/</t>
  </si>
  <si>
    <t>Develops high-temperature thermal energy storage that provides industrial heat using renewable electricity.</t>
  </si>
  <si>
    <t>https://www.rondo.com/</t>
  </si>
  <si>
    <t>Develops carbon removal approaches by converting biomass or waste into durable carbon products and low-carbon fuels.</t>
  </si>
  <si>
    <t>https://www.rovecarbon.com/</t>
  </si>
  <si>
    <t>Develops biodegradable bioplastics (e.g., PHA-based materials) as alternatives to conventional fossil-based plastics.</t>
  </si>
  <si>
    <t>https://www.rwdc-industries.com/</t>
  </si>
  <si>
    <t>Develops and operates distributed energy and microgrid projects combining on-site generation, storage, and energy services.</t>
  </si>
  <si>
    <t>https://www.scalemicrogridsolutions.com/</t>
  </si>
  <si>
    <t>Develops direct air capture technology to remove COâ‚‚ from ambient air for durable storage or utilization.</t>
  </si>
  <si>
    <t>https://scapecarbon.com/</t>
  </si>
  <si>
    <t>Designs electric scooters and micromobility products for urban transportation.</t>
  </si>
  <si>
    <t>https://www.scooterson.com/</t>
  </si>
  <si>
    <t>Develops advanced biofuels projects, including low-carbon renewable fuels for hard-to-abate sectors.</t>
  </si>
  <si>
    <t>https://www.sgp-bioenergy.com/</t>
  </si>
  <si>
    <t>Provides lithium-ion battery storage systems for residential and commercial applications (brand acquired; products continue under parent company).</t>
  </si>
  <si>
    <t>https://simpliphipower.com/</t>
  </si>
  <si>
    <t>Develops solar-powered products and engineering solutions, including photovoltaic-based equipment and systems.</t>
  </si>
  <si>
    <t>https://www.sinclairdesigns.com/</t>
  </si>
  <si>
    <t>Develops a drop-in 100% silicon anode battery platform designed to improve energy density and fast-charging for lithium-ion cells.</t>
  </si>
  <si>
    <t>https://sionicenergy.com/</t>
  </si>
  <si>
    <t>Develops power flow control technologies that increase transmission capacity and improve grid reliability.</t>
  </si>
  <si>
    <t>https://www.smartwires.com/</t>
  </si>
  <si>
    <t>Develops electrodynamic screen (EDS) overlays that remove dust from solar panels without water, improving energy yield.</t>
  </si>
  <si>
    <t>https://www.solclarityeds.com/</t>
  </si>
  <si>
    <t>Provides IoT and software solutions to recover lost energy at utility-scale solar plants by identifying and addressing underperformance.</t>
  </si>
  <si>
    <t>https://solarlytics.net/</t>
  </si>
  <si>
    <t>Develops biomanufacturing processes to produce chemicals with lower emissions compared to conventional petrochemical pathways.</t>
  </si>
  <si>
    <t>https://solugen.com/</t>
  </si>
  <si>
    <t>Designs and manufactures solar structures such as solar trees, shelters, and tables for public and commercial outdoor spaces.</t>
  </si>
  <si>
    <t>https://www.spotlightsolar.com/</t>
  </si>
  <si>
    <t>Manufactures lightweight composite high-pressure vessels and storage systems for hydrogen and other compressed gases.</t>
  </si>
  <si>
    <t>https://steelheadcomposites.com/</t>
  </si>
  <si>
    <t>Develops photonic coating technologies, including perovskite solar coatings, to enhance solar energy capture.</t>
  </si>
  <si>
    <t>https://sundensity.us/</t>
  </si>
  <si>
    <t>Manufactures monocrystalline solar cells in North America for photovoltaic modules and domestic solar supply chains.</t>
  </si>
  <si>
    <t>https://suniva.com/</t>
  </si>
  <si>
    <t>Manufactures solar racking and mounting systems for residential and commercial photovoltaic installations.</t>
  </si>
  <si>
    <t>https://sunmodo.com/</t>
  </si>
  <si>
    <t>Develops, owns, and operates custom solar installations for commercial, public, and nonprofit clients, coordinating finance and delivery.</t>
  </si>
  <si>
    <t>https://www.sunstreampartners.com/</t>
  </si>
  <si>
    <t>Develops perovskite-silicon tandem solar technology aimed at higher-efficiency, lightweight solar products.</t>
  </si>
  <si>
    <t>https://www.swiftsolar.com/</t>
  </si>
  <si>
    <t>Develops micromobility hubs that provide parking, charging, and management infrastructure for e-bikes and e-scooters.</t>
  </si>
  <si>
    <t>https://www.swiftmile.com/</t>
  </si>
  <si>
    <t>Develops advanced materials and processes for lithium-ion batteries, including solutions aimed at reducing cost and carbon footprint.</t>
  </si>
  <si>
    <t>https://sylvatex.com/</t>
  </si>
  <si>
    <t>Develops light-powered reactors to produce hydrogen and low-carbon fuels and chemicals with reduced emissions versus thermal processes.</t>
  </si>
  <si>
    <t>https://www.plasmonics.tech/</t>
  </si>
  <si>
    <t>Commercializes perovskite-silicon tandem solar panels designed for higher efficiency and durability than conventional silicon modules.</t>
  </si>
  <si>
    <t>https://www.tandempv.com/</t>
  </si>
  <si>
    <t>Develops bio-manufactured performance textile materials (e.g., Squitex fiber) intended to reduce emissions in apparel supply chains.</t>
  </si>
  <si>
    <t>https://tandemrepeat.com/</t>
  </si>
  <si>
    <t>Designs and manufactures luxury electric motorcycles, emphasizing sustainable materials and modular design.</t>
  </si>
  <si>
    <t>https://www.tarform.com/</t>
  </si>
  <si>
    <t>Develops BioBlack, a bio-based pigment and dispersion made from wood waste as a replacement for petroleum-derived carbon black.</t>
  </si>
  <si>
    <t>https://www.naturecoatingsinc.com/</t>
  </si>
  <si>
    <t>TemperPack develops thermal packaging made with plant-based, curbside-recyclable insulation to replace foam and reduce packaging waste and emissions.</t>
  </si>
  <si>
    <t>https://temperpack.com/</t>
  </si>
  <si>
    <t>https://www.terradot.earth/</t>
  </si>
  <si>
    <t>Terraformation supports large-scale reforestation by providing seed banking, forestry technology, and project services to grow and restore forests for climate resilience.</t>
  </si>
  <si>
    <t>https://terraformation.com/</t>
  </si>
  <si>
    <t>TerraPower develops advanced nuclear energy technologies (including next-generation reactor designs) to provide reliable, carbon-free electricity.</t>
  </si>
  <si>
    <t>https://www.terrapower.com/</t>
  </si>
  <si>
    <t>Thetis Environmental provides industrial wastewater treatment solutions and services to help facilities reduce pollutants and improve water quality compliance.</t>
  </si>
  <si>
    <t>https://thetisenvironmental.com/</t>
  </si>
  <si>
    <t>TomTex makes bio-based, biodegradable performance materials (including leather alternatives) using chitosan-based chemistry to reduce reliance on petrochemical plastics.</t>
  </si>
  <si>
    <t>https://www.tomtex.co/</t>
  </si>
  <si>
    <t>TrueAlgae cultivates algae and extracts metabolites used to nourish soil and improve plant nutrient uptake, with applications across agriculture, feed, and food ingredients.</t>
  </si>
  <si>
    <t>https://truealgae.com/</t>
  </si>
  <si>
    <t>TS-Nano develops nanomaterial-based sealants and coatings that can mitigate methane leaks and improve integrity of oil &amp; gas and industrial infrastructure.</t>
  </si>
  <si>
    <t>https://www.tsnano.com/</t>
  </si>
  <si>
    <t>Twelve converts captured COâ‚‚ into chemicals and materials using electrochemical processes powered by clean electricity, displacing fossil-derived products.</t>
  </si>
  <si>
    <t>https://www.twelve.co/</t>
  </si>
  <si>
    <t>Tyfast develops battery technology aimed at high-power performance and fast charging for electrified transportation and other demanding applications.</t>
  </si>
  <si>
    <t>https://www.tyfast.com/</t>
  </si>
  <si>
    <t>Ubiquitous Energy develops transparent photovoltaic coatings for windows to generate electricity while maintaining visibility for buildings and devices.</t>
  </si>
  <si>
    <t>https://ubiquitous.energy/</t>
  </si>
  <si>
    <t>UCAP Power develops ultracapacitor-based energy storage systems that deliver high power, rapid charge/discharge, and long cycle life for grid and industrial uses.</t>
  </si>
  <si>
    <t>https://ucappower.com/</t>
  </si>
  <si>
    <t>Unirac manufactures solar mounting and racking systems for residential and commercial PV installations.</t>
  </si>
  <si>
    <t>https://unirac.com/</t>
  </si>
  <si>
    <t>UPSIDE Foods grows cultivated meat directly from animal cells to produce meat without raising and slaughtering animals.</t>
  </si>
  <si>
    <t>https://upsidefoods.com/</t>
  </si>
  <si>
    <t>Upstart Power provides hybrid fuel cell and battery systems to deliver resilient backup and microgrid power for homes and commercial sites.</t>
  </si>
  <si>
    <t>https://www.upstartpower.com/</t>
  </si>
  <si>
    <t>Urbix produces battery-grade natural graphite anode materials to strengthen domestic supply chains for EV and energy storage batteries.</t>
  </si>
  <si>
    <t>https://www.urbix.inc/</t>
  </si>
  <si>
    <t>Vartega recycles carbon fiber waste into high-performance recycled carbon fiber products that can replace virgin fiber in composites and plastics.</t>
  </si>
  <si>
    <t>https://www.vartega.com/</t>
  </si>
  <si>
    <t>VEIR develops superconducting power line technology to increase transmission capacity and reduce resistive losses on the electric grid.</t>
  </si>
  <si>
    <t>https://veir.com/</t>
  </si>
  <si>
    <t>VerdaFresh makes recyclable barrier packaging films and coatings designed to keep food fresh while reducing hard-to-recycle plastic packaging.</t>
  </si>
  <si>
    <t>https://verdafresh.com/</t>
  </si>
  <si>
    <t>Verdox develops electrochemical carbon capture technology that uses electricity to capture COâ‚‚ from air or industrial exhaust and then release it for storage or use.</t>
  </si>
  <si>
    <t>https://www.verdox.com/</t>
  </si>
  <si>
    <t>Verenovo converts biomass waste into biochar and clean thermal energy using pyrolysis, enabling long-lived carbon storage and soil benefits.</t>
  </si>
  <si>
    <t>https://verenovoenergy.com/</t>
  </si>
  <si>
    <t>Vestaron develops peptide-based bioinsecticides for crop protection, providing new modes of action with a biological profile.</t>
  </si>
  <si>
    <t>https://www.vestaron.com/</t>
  </si>
  <si>
    <t>VIVID EV manufactures neighborhood electric vehicles (low-speed electric cars) for local transportation and fleet uses.</t>
  </si>
  <si>
    <t>https://www.vivid-ev.com/</t>
  </si>
  <si>
    <t>VM Agritech develops crop protection and plant health products (including fungicides and micronutrient solutions) aimed at improving yields with lower toxicity.</t>
  </si>
  <si>
    <t>https://www.vmagritech.com/</t>
  </si>
  <si>
    <t>Volexion develops graphene-based encapsulation/coating technology for lithium-ion cathode materials to improve battery performance, safety, and cycle life.</t>
  </si>
  <si>
    <t>https://www.volexion-inc.com/</t>
  </si>
  <si>
    <t>Vulcan Elements manufactures rare earth magnets to support resilient supply chains for electric motors used in EVs and other critical applications.</t>
  </si>
  <si>
    <t>https://vulcanelements.com/</t>
  </si>
  <si>
    <t>Wabash Valley Resources is developing a low-carbon hydrogen and ammonia facility with carbon capture and storage to produce fertilizer with reduced emissions.</t>
  </si>
  <si>
    <t>https://www.wvresc.com/</t>
  </si>
  <si>
    <t>WaHa builds atmospheric water generation systems that produce water from air and provide dehumidification/cooling, targeting decentralized infrastructure needs.</t>
  </si>
  <si>
    <t>https://www.wahainc.com/</t>
  </si>
  <si>
    <t>wasted* provides solar-powered, climate-controlled restroom trailers and develops circular sanitation approaches to recover water and nutrients from waste.</t>
  </si>
  <si>
    <t>https://wasted.earth/</t>
  </si>
  <si>
    <t>Wildcat Discovery Technologies develops and manufactures advanced battery materials (including nickel- and cobalt-free cathodes) for EV and other battery applications.</t>
  </si>
  <si>
    <t>https://www.wildcatdiscovery.com/</t>
  </si>
  <si>
    <t>https://www.wildtypefoods.com/</t>
  </si>
  <si>
    <t>Windlift develops airborne wind energy systems that can generate power using tethered flight with far less material than traditional turbines.</t>
  </si>
  <si>
    <t>https://windlift.com/</t>
  </si>
  <si>
    <t>Wrightspeed electrifies medium- and heavy-duty vehicles by converting diesel trucks and buses to electric powertrains to reduce fuel use and emissions.</t>
  </si>
  <si>
    <t>https://www.wrightspeed.com/</t>
  </si>
  <si>
    <t>XGS Energy develops next-generation geothermal systems designed to deliver round-the-clock clean power using closed-loop, water-independent technology.</t>
  </si>
  <si>
    <t>https://www.xgsenergy.com/</t>
  </si>
  <si>
    <t>Zap Energy is developing compact Z-pinch fusion technology with the goal of delivering scalable, carbon-free electricity.</t>
  </si>
  <si>
    <t>https://www.zapenergy.com/</t>
  </si>
  <si>
    <t>Zauben designs living walls and green building systems that support energy savings, air quality, and urban heat island mitigation.</t>
  </si>
  <si>
    <t>https://www.zauben.com/</t>
  </si>
  <si>
    <t>Zero Emission Industries designs hydrogen fuel cell powertrains and refueling infrastructure, with a focus on maritime and defense applications.</t>
  </si>
  <si>
    <t>https://www.zeroei.com/</t>
  </si>
  <si>
    <t>https://zincfive.com/</t>
  </si>
  <si>
    <t>Terradot accelerates carbon dioxide removal by spreading and optimizing crushed silicate rock on farmland (enhanced rock weathering), permanently mineralizing CO2.</t>
  </si>
  <si>
    <t>ZincFive develops nickel-zinc batteries for mission-critical stationary power and backup applications, offering a recyclable alternative to lead-acid and lithium-ion.</t>
  </si>
  <si>
    <t>Wildtype produces cultivated seafood - starting with sushi-grade salmon - grown from fish cells to reduce pressure on oceans and aquaculture impacts.</t>
  </si>
  <si>
    <t>Deal Stage</t>
  </si>
  <si>
    <t>Investors</t>
  </si>
  <si>
    <t>New Investor %</t>
  </si>
  <si>
    <t xml:space="preserve">Total Capital Raised to date </t>
  </si>
  <si>
    <t>Existing Investor %</t>
  </si>
  <si>
    <t>Existing Investor Participation</t>
  </si>
  <si>
    <t>New Investor Participation</t>
  </si>
  <si>
    <t>Chicago, IL</t>
  </si>
  <si>
    <t>New Strategic Investor (Y/N)</t>
  </si>
  <si>
    <t># Investors in Round</t>
  </si>
  <si>
    <t>Philanthropic Capital (Y/N)</t>
  </si>
  <si>
    <t>Investor Mix</t>
  </si>
  <si>
    <t>Strategics</t>
  </si>
  <si>
    <t>GV</t>
  </si>
  <si>
    <t>Google Ventures</t>
  </si>
  <si>
    <t>Alphabet</t>
  </si>
  <si>
    <t>Microsoft</t>
  </si>
  <si>
    <t>Microsoft Climate Innovation Fund</t>
  </si>
  <si>
    <t>Amazon</t>
  </si>
  <si>
    <t>Amazon Climate Pledge Fund</t>
  </si>
  <si>
    <t>Meta</t>
  </si>
  <si>
    <t>Apple</t>
  </si>
  <si>
    <t>Intel Capital</t>
  </si>
  <si>
    <t>Qualcomm Ventures</t>
  </si>
  <si>
    <t>Samsung Venture Investment</t>
  </si>
  <si>
    <t>Baidu Ventures</t>
  </si>
  <si>
    <t>SoftBank</t>
  </si>
  <si>
    <t>Shell Ventures</t>
  </si>
  <si>
    <t>BP Ventures</t>
  </si>
  <si>
    <t>Chevron</t>
  </si>
  <si>
    <t>Chevron Technology Ventures</t>
  </si>
  <si>
    <t>Aramco Ventures</t>
  </si>
  <si>
    <t>ENEOS Holdings</t>
  </si>
  <si>
    <t>Eneos Innovation Partners</t>
  </si>
  <si>
    <t>Eni Next</t>
  </si>
  <si>
    <t>NextEra Energy</t>
  </si>
  <si>
    <t>Schneider Electric</t>
  </si>
  <si>
    <t>Siemens Financial Services</t>
  </si>
  <si>
    <t>Mitsubishi</t>
  </si>
  <si>
    <t>Mitsubishi Corporation</t>
  </si>
  <si>
    <t>Mitsubishi Heavy Industries</t>
  </si>
  <si>
    <t>Saudi Basic Industries</t>
  </si>
  <si>
    <t>ArcelorMittal</t>
  </si>
  <si>
    <t>Saint-Gobain NOVA</t>
  </si>
  <si>
    <t>POSCO Holdings</t>
  </si>
  <si>
    <t>Rio Tinto</t>
  </si>
  <si>
    <t>BHP Ventures</t>
  </si>
  <si>
    <t>Volkswagen Group</t>
  </si>
  <si>
    <t>Toyota Tsusho</t>
  </si>
  <si>
    <t>United Airlines Ventures</t>
  </si>
  <si>
    <t>Hyundai</t>
  </si>
  <si>
    <t>Toyota</t>
  </si>
  <si>
    <t>Philanthropy Keywords</t>
  </si>
  <si>
    <t>Foundation</t>
  </si>
  <si>
    <t>Philanthropy</t>
  </si>
  <si>
    <t>Philanthropic</t>
  </si>
  <si>
    <t>VC Keywords</t>
  </si>
  <si>
    <t>Capital</t>
  </si>
  <si>
    <t>Venture</t>
  </si>
  <si>
    <t>Ventures</t>
  </si>
  <si>
    <t>Fund</t>
  </si>
  <si>
    <t>Management</t>
  </si>
  <si>
    <t>Managers</t>
  </si>
  <si>
    <t>Holdings</t>
  </si>
  <si>
    <t>Equity</t>
  </si>
  <si>
    <t>VC</t>
  </si>
  <si>
    <t xml:space="preserve">Investments </t>
  </si>
  <si>
    <t>Group</t>
  </si>
  <si>
    <t>Partners</t>
  </si>
  <si>
    <t>Mobius Energy</t>
  </si>
  <si>
    <t>Series A</t>
  </si>
  <si>
    <t>Seed</t>
  </si>
  <si>
    <t>Series B</t>
  </si>
  <si>
    <t>Angel</t>
  </si>
  <si>
    <t>Debt</t>
  </si>
  <si>
    <t>Series E</t>
  </si>
  <si>
    <t>Minimum</t>
  </si>
  <si>
    <t>Median</t>
  </si>
  <si>
    <t>Average</t>
  </si>
  <si>
    <t xml:space="preserve">Maximum </t>
  </si>
  <si>
    <t>Overall</t>
  </si>
  <si>
    <t>Food&amp;Ag</t>
  </si>
  <si>
    <t>Time Series Analysis</t>
  </si>
  <si>
    <t>Median Valuation</t>
  </si>
  <si>
    <t>Median Size</t>
  </si>
  <si>
    <t>Most Common Stage</t>
  </si>
  <si>
    <t>Deal Count</t>
  </si>
  <si>
    <t xml:space="preserve">Deal Stage Analysis </t>
  </si>
  <si>
    <t># Unique Investors</t>
  </si>
  <si>
    <t>Avg Existing Investor Participation (%)</t>
  </si>
  <si>
    <t>Avg New Investor Participation (%)</t>
  </si>
  <si>
    <t xml:space="preserve">Total # of rounds </t>
  </si>
  <si>
    <t>Deal size (USD MM)</t>
  </si>
  <si>
    <t>Development Capital</t>
  </si>
  <si>
    <t>Valuation</t>
  </si>
  <si>
    <t>Median Deal Size</t>
  </si>
  <si>
    <t>Other Deal Analysis</t>
  </si>
  <si>
    <t>Investor Profile Analysis</t>
  </si>
  <si>
    <t>Largest deals</t>
  </si>
  <si>
    <t>Investor name</t>
  </si>
  <si>
    <t># of Investments</t>
  </si>
  <si>
    <t>COCONUT GROVE</t>
  </si>
  <si>
    <t>First Financial Bankshares</t>
  </si>
  <si>
    <t>M10Lean capital</t>
  </si>
  <si>
    <t>Mintz</t>
  </si>
  <si>
    <t>Alex Chung</t>
  </si>
  <si>
    <t>Kabir Misra</t>
  </si>
  <si>
    <t>RPS Ventures</t>
  </si>
  <si>
    <t>Alberta Investment Management</t>
  </si>
  <si>
    <t>GIC Private</t>
  </si>
  <si>
    <t>Haddington Ventures, Manulife Financial</t>
  </si>
  <si>
    <t>Onterio Teachers Pension Plan</t>
  </si>
  <si>
    <t>At One Ventures</t>
  </si>
  <si>
    <t>Engine Ventures</t>
  </si>
  <si>
    <t>Pillar VC</t>
  </si>
  <si>
    <t>RSVP Ventures</t>
  </si>
  <si>
    <t>Encap Investments</t>
  </si>
  <si>
    <t>NGP Energy Capital Management</t>
  </si>
  <si>
    <t>Chartered Investment Managers</t>
  </si>
  <si>
    <t>Innova Capital Partners</t>
  </si>
  <si>
    <t>AP Ventures</t>
  </si>
  <si>
    <t>DCVC</t>
  </si>
  <si>
    <t>Guernsey Holdings</t>
  </si>
  <si>
    <t>Korea Zinc</t>
  </si>
  <si>
    <t>Mitsui &amp; Company</t>
  </si>
  <si>
    <t>MOL PLUS</t>
  </si>
  <si>
    <t>SK Innovation</t>
  </si>
  <si>
    <t>Temasek Holdings</t>
  </si>
  <si>
    <t>Yanmar Holdings</t>
  </si>
  <si>
    <t>Zeon Ventures</t>
  </si>
  <si>
    <t>AFW Partners</t>
  </si>
  <si>
    <t>KDB Investment</t>
  </si>
  <si>
    <t>SV Investment</t>
  </si>
  <si>
    <t>Samsung Heavy Industries</t>
  </si>
  <si>
    <t>MOL Switch</t>
  </si>
  <si>
    <t>JB Investment (Private Equity)</t>
  </si>
  <si>
    <t>GS Engineering &amp; Construction</t>
  </si>
  <si>
    <t>Xplor Investment</t>
  </si>
  <si>
    <t>GS Futures</t>
  </si>
  <si>
    <t>Marunouchi Innovation Partners</t>
  </si>
  <si>
    <t>Pathway Capital Management</t>
  </si>
  <si>
    <t>Seoul Investment Partners</t>
  </si>
  <si>
    <t>Odyssey Ventures (London)</t>
  </si>
  <si>
    <t>BonAngels Venture Partners</t>
  </si>
  <si>
    <t>Quantum Ventures Korea</t>
  </si>
  <si>
    <t>Kibo Invest</t>
  </si>
  <si>
    <t>Hanwha Investment &amp; Securities Company</t>
  </si>
  <si>
    <t>Gorilla Private Equity</t>
  </si>
  <si>
    <t>Black Mountain Ventures</t>
  </si>
  <si>
    <t>Cameron Drummond</t>
  </si>
  <si>
    <t>Dorm Room Fund</t>
  </si>
  <si>
    <t>CalSEED</t>
  </si>
  <si>
    <t>Keybridge Venture Partners</t>
  </si>
  <si>
    <t>Reaction Global</t>
  </si>
  <si>
    <t>StartX</t>
  </si>
  <si>
    <t>AENU</t>
  </si>
  <si>
    <t>Nippon Steel Trading</t>
  </si>
  <si>
    <t>Sandton Capital Partners</t>
  </si>
  <si>
    <t>Steel Dynamics</t>
  </si>
  <si>
    <t>Compass Group Equity Partners</t>
  </si>
  <si>
    <t>Cottonwood Technology Fund+S32</t>
  </si>
  <si>
    <t>Fortistar</t>
  </si>
  <si>
    <t>Newlight Partners</t>
  </si>
  <si>
    <t>Sun Mountain Capital</t>
  </si>
  <si>
    <t>2150</t>
  </si>
  <si>
    <t>Celesta Capital</t>
  </si>
  <si>
    <t>Noel Ventures</t>
  </si>
  <si>
    <t>Florida Opportunity Fund</t>
  </si>
  <si>
    <t>Tech Square Ventures</t>
  </si>
  <si>
    <t>Volo Earth Ventures</t>
  </si>
  <si>
    <t>Connecticut Innovations</t>
  </si>
  <si>
    <t>Daniel Hagedorn</t>
  </si>
  <si>
    <t>Reliance Industries</t>
  </si>
  <si>
    <t>31 Ventures</t>
  </si>
  <si>
    <t>F-Prime Capital</t>
  </si>
  <si>
    <t>Global Brain</t>
  </si>
  <si>
    <t>Mitsui Fudosan</t>
  </si>
  <si>
    <t>Temasek Holdins</t>
  </si>
  <si>
    <t>Acario Innovation</t>
  </si>
  <si>
    <t>Dolby Family Ventures</t>
  </si>
  <si>
    <t>Freeflow Ventures</t>
  </si>
  <si>
    <t>Hess</t>
  </si>
  <si>
    <t>Jericho Energy Ventures</t>
  </si>
  <si>
    <t>Motus Ventures</t>
  </si>
  <si>
    <t>Tokyo Gas</t>
  </si>
  <si>
    <t>TSV Capital</t>
  </si>
  <si>
    <t>Beresford Ventures</t>
  </si>
  <si>
    <t>Flobas Ventures</t>
  </si>
  <si>
    <t>New World Angels</t>
  </si>
  <si>
    <t>Westlake Ventures</t>
  </si>
  <si>
    <t>Varnadore Financial</t>
  </si>
  <si>
    <t>David Ulevitch</t>
  </si>
  <si>
    <t>Incite Ventures</t>
  </si>
  <si>
    <t>James Tamplin</t>
  </si>
  <si>
    <t>Lowercarbon Capital</t>
  </si>
  <si>
    <t>Nat Friedman</t>
  </si>
  <si>
    <t>Peter Reinhardt</t>
  </si>
  <si>
    <t>Stripe</t>
  </si>
  <si>
    <t>Thomas Mvlnerney</t>
  </si>
  <si>
    <t>Valor Equity Partners</t>
  </si>
  <si>
    <t>Impact Assets</t>
  </si>
  <si>
    <t>Seek Ventures</t>
  </si>
  <si>
    <t>Social Impact Capital</t>
  </si>
  <si>
    <t>Cloverlay</t>
  </si>
  <si>
    <t>DBL Partners</t>
  </si>
  <si>
    <t>Kimmeridge</t>
  </si>
  <si>
    <t>8090 Industries</t>
  </si>
  <si>
    <t>8090 Partners</t>
  </si>
  <si>
    <t>Alante Capital</t>
  </si>
  <si>
    <t>Avery Dennison</t>
  </si>
  <si>
    <t>Breaktrhough Energy</t>
  </si>
  <si>
    <t>Card Sound Capital</t>
  </si>
  <si>
    <t>Cerity Partners Ventures</t>
  </si>
  <si>
    <t>Circulate Capital</t>
  </si>
  <si>
    <t>City Light Capital</t>
  </si>
  <si>
    <t>Envisioning Partners</t>
  </si>
  <si>
    <t>Industrial de Diseno Textil</t>
  </si>
  <si>
    <t>Lansdowne Partners</t>
  </si>
  <si>
    <t>Marubeni</t>
  </si>
  <si>
    <t>Milliken &amp; Company</t>
  </si>
  <si>
    <t>Pandion Innovation for Impact</t>
  </si>
  <si>
    <t>Plug &amp; Play Tech Center</t>
  </si>
  <si>
    <t>Vodia Capital</t>
  </si>
  <si>
    <t>Youngone</t>
  </si>
  <si>
    <t>Zalando</t>
  </si>
  <si>
    <t>BPH Energy</t>
  </si>
  <si>
    <t>WNY Impact Investment Fund</t>
  </si>
  <si>
    <t>Castlelake</t>
  </si>
  <si>
    <t>Artfo Holdings</t>
  </si>
  <si>
    <t>Beni Venture Capital</t>
  </si>
  <si>
    <t>Devonshire Investors</t>
  </si>
  <si>
    <t>Equinor Venturses</t>
  </si>
  <si>
    <t>Futures Ventures</t>
  </si>
  <si>
    <t>Hostplus Superannuation Fund</t>
  </si>
  <si>
    <t>Moore Strategic Ventures</t>
  </si>
  <si>
    <t>Prime Movers Lab</t>
  </si>
  <si>
    <t>Schooner Capital</t>
  </si>
  <si>
    <t>Starlight Ventures</t>
  </si>
  <si>
    <t>Yild Capital Partners</t>
  </si>
  <si>
    <t>31Ventures</t>
  </si>
  <si>
    <t>Brevan Howard Macro Venture Fund</t>
  </si>
  <si>
    <t>Eni Next, FFA Private Bank Dubai, NTT Docomo Ventures</t>
  </si>
  <si>
    <t>Mitsubishi Corporation Urban Development</t>
  </si>
  <si>
    <t>Development Bank of Japan</t>
  </si>
  <si>
    <t>Fujikura</t>
  </si>
  <si>
    <t>Jera</t>
  </si>
  <si>
    <t>NVentures</t>
  </si>
  <si>
    <t>Nvidia</t>
  </si>
  <si>
    <t>Mitsui O.S.K. Lines</t>
  </si>
  <si>
    <t>Kansai Electric Power</t>
  </si>
  <si>
    <t>K4 Ventures</t>
  </si>
  <si>
    <t>Woori Financial Group</t>
  </si>
  <si>
    <t>NTT QONOQ</t>
  </si>
  <si>
    <t>Planet First Partners</t>
  </si>
  <si>
    <t>HOF Capital</t>
  </si>
  <si>
    <t>Evolution VC Partners</t>
  </si>
  <si>
    <t>Gigascale Capital</t>
  </si>
  <si>
    <t>NEVA SGR</t>
  </si>
  <si>
    <t>Standish Spring Investments</t>
  </si>
  <si>
    <t>Future Ventures</t>
  </si>
  <si>
    <t>Tiger Global Management</t>
  </si>
  <si>
    <t>Galaxy Interactive</t>
  </si>
  <si>
    <t>Gates Frontier</t>
  </si>
  <si>
    <t>Stanley F. Druckenmiller</t>
  </si>
  <si>
    <t>Eric Schmidt</t>
  </si>
  <si>
    <t>Sumitomo Mitsui Trust Bank</t>
  </si>
  <si>
    <t>Sumitomo Mitsui Banking</t>
  </si>
  <si>
    <t>JGC Holdings</t>
  </si>
  <si>
    <t>Brightwing Capital</t>
  </si>
  <si>
    <t>One Madison Group</t>
  </si>
  <si>
    <t>Emerson Collective</t>
  </si>
  <si>
    <t>Google Foundation</t>
  </si>
  <si>
    <t>Ripple Impact Investments</t>
  </si>
  <si>
    <t>Doorga Capital</t>
  </si>
  <si>
    <t>Counterpoint Global</t>
  </si>
  <si>
    <t>Catalus Capital Management (Saif Qazi)</t>
  </si>
  <si>
    <t>Highland Ventures Group</t>
  </si>
  <si>
    <t>Catchlight Ventures</t>
  </si>
  <si>
    <t>Collaborative Fund</t>
  </si>
  <si>
    <t>Comcast Ventures</t>
  </si>
  <si>
    <t>Ground Up Ventures</t>
  </si>
  <si>
    <t>Lennar Ventures</t>
  </si>
  <si>
    <t>New Enterprise Associates</t>
  </si>
  <si>
    <t>Building Ventures</t>
  </si>
  <si>
    <t>David Stark</t>
  </si>
  <si>
    <t>HiJoJo Partners</t>
  </si>
  <si>
    <t>Michael Sachse</t>
  </si>
  <si>
    <t>NGP Energy Technology Partners</t>
  </si>
  <si>
    <t>OurCrowd</t>
  </si>
  <si>
    <t>Sam Landman</t>
  </si>
  <si>
    <t>Tim Krebs</t>
  </si>
  <si>
    <t>Travis Connors</t>
  </si>
  <si>
    <t>Demos Capital</t>
  </si>
  <si>
    <t>Ithaca Area Economic Development</t>
  </si>
  <si>
    <t>New Climate Ventures</t>
  </si>
  <si>
    <t>Bacchus Venture Capital</t>
  </si>
  <si>
    <t>Constellation Technology Ventures</t>
  </si>
  <si>
    <t>Evok Innovations</t>
  </si>
  <si>
    <t>Halliburton Labs</t>
  </si>
  <si>
    <t>The Think &amp; Act Differently</t>
  </si>
  <si>
    <t>Veriten</t>
  </si>
  <si>
    <t>Clair-vest Group</t>
  </si>
  <si>
    <t>Ecosphere Ventures</t>
  </si>
  <si>
    <t>Globalive Capital</t>
  </si>
  <si>
    <t>Murchison Capital Partners</t>
  </si>
  <si>
    <t>Murchison Ventures</t>
  </si>
  <si>
    <t>Threshold Impact</t>
  </si>
  <si>
    <t>William Tunstall-Pedoe</t>
  </si>
  <si>
    <t>EDC Investments</t>
  </si>
  <si>
    <t>Graphite Ventures</t>
  </si>
  <si>
    <t>Ultratech Capital Partners</t>
  </si>
  <si>
    <t>Chan Zuckerberg Initiative</t>
  </si>
  <si>
    <t>Cisco Foundation</t>
  </si>
  <si>
    <t>Congruent Ventures</t>
  </si>
  <si>
    <t>Course Correction Capital</t>
  </si>
  <si>
    <t>Elemental Impact</t>
  </si>
  <si>
    <t>Neglected Climate Opportunities</t>
  </si>
  <si>
    <t>Prelude Ventures</t>
  </si>
  <si>
    <t>Propeller</t>
  </si>
  <si>
    <t>The Grantham Foundation</t>
  </si>
  <si>
    <t>Borun Capital (Xiamen)</t>
  </si>
  <si>
    <t>BR Capital</t>
  </si>
  <si>
    <t>Dayone Capital</t>
  </si>
  <si>
    <t>GAC Capital</t>
  </si>
  <si>
    <t>Hongshan Capital Group</t>
  </si>
  <si>
    <t>Niuli Venture</t>
  </si>
  <si>
    <t>Tianqi Capital</t>
  </si>
  <si>
    <t>Unreasonable Impact</t>
  </si>
  <si>
    <t>KRF capital</t>
  </si>
  <si>
    <t>Longmont Capital</t>
  </si>
  <si>
    <t>DFW Capital Partners</t>
  </si>
  <si>
    <t>13Capital</t>
  </si>
  <si>
    <t>Cleanhill Partners</t>
  </si>
  <si>
    <t>Goldman Sachs Asset Management</t>
  </si>
  <si>
    <t>The Sterling Group</t>
  </si>
  <si>
    <t>Felicis</t>
  </si>
  <si>
    <t>MVP Ventures</t>
  </si>
  <si>
    <t>Atomic</t>
  </si>
  <si>
    <t>Dragon Global</t>
  </si>
  <si>
    <t>New Atlas Capital</t>
  </si>
  <si>
    <t>Brex Asset Management</t>
  </si>
  <si>
    <t>Bay Bridge Ventures</t>
  </si>
  <si>
    <t>Andreessen Horowitz</t>
  </si>
  <si>
    <t>Deepwork Capital</t>
  </si>
  <si>
    <t>Protagonist</t>
  </si>
  <si>
    <t>Overmatch</t>
  </si>
  <si>
    <t>MCJ</t>
  </si>
  <si>
    <t>Thrive Capital</t>
  </si>
  <si>
    <t>Goat Ventures</t>
  </si>
  <si>
    <t>Massive Capital Partners</t>
  </si>
  <si>
    <t>Leonardo DiCaprio</t>
  </si>
  <si>
    <t>Upsher Management Company</t>
  </si>
  <si>
    <t>Alpen Capital</t>
  </si>
  <si>
    <t>StepStone Group</t>
  </si>
  <si>
    <t>Starwood Capital Group</t>
  </si>
  <si>
    <t>AiiM Partners</t>
  </si>
  <si>
    <t>Alecla7</t>
  </si>
  <si>
    <t>Cognic Capital</t>
  </si>
  <si>
    <t>Emergence Industries</t>
  </si>
  <si>
    <t>Endurance28</t>
  </si>
  <si>
    <t>Gaingels</t>
  </si>
  <si>
    <t>Good Seed Ventures</t>
  </si>
  <si>
    <t>Hemisphere Ventures</t>
  </si>
  <si>
    <t>JKS Ventures</t>
  </si>
  <si>
    <t>Joyance Partners</t>
  </si>
  <si>
    <t>Magic Hour</t>
  </si>
  <si>
    <t>Rise Together</t>
  </si>
  <si>
    <t>Seabird Ventures</t>
  </si>
  <si>
    <t>Samsarik Capital</t>
  </si>
  <si>
    <t>Synergeticl VU enture Partners</t>
  </si>
  <si>
    <t>Oaktree Capital Management</t>
  </si>
  <si>
    <t>Bessemer Venture Partners</t>
  </si>
  <si>
    <t>Lockheed Martin Ventures</t>
  </si>
  <si>
    <t>Palapa Ventures</t>
  </si>
  <si>
    <t>Tailwater Capital (Edward Herring)</t>
  </si>
  <si>
    <t>Giant Leap</t>
  </si>
  <si>
    <t>5Y Capital</t>
  </si>
  <si>
    <t>AimTop Ventures</t>
  </si>
  <si>
    <t>Foothill Ventures</t>
  </si>
  <si>
    <t>Heda Ventures</t>
  </si>
  <si>
    <t>Rockets Capital</t>
  </si>
  <si>
    <t>Yiyuan Capital</t>
  </si>
  <si>
    <t>Yu Galaxy</t>
  </si>
  <si>
    <t>Revonence Technologies</t>
  </si>
  <si>
    <t>Archaea Energy</t>
  </si>
  <si>
    <t>Coppermine Capital</t>
  </si>
  <si>
    <t>Saltonstall &amp; Co.</t>
  </si>
  <si>
    <t>Future Positive Capital</t>
  </si>
  <si>
    <t>Japan Airlines Company</t>
  </si>
  <si>
    <t>H&amp;M Group Ventures</t>
  </si>
  <si>
    <t>Pledge Ventures</t>
  </si>
  <si>
    <t>Chiyoda</t>
  </si>
  <si>
    <t>Carbon Direct Capital Management</t>
  </si>
  <si>
    <t>Ahren Innovation Capital</t>
  </si>
  <si>
    <t>Carbon Removal Partners</t>
  </si>
  <si>
    <t>Floating Point</t>
  </si>
  <si>
    <t>Quantum Innovation Fund</t>
  </si>
  <si>
    <t>Checkmate Capital</t>
  </si>
  <si>
    <t>Milkbox Partners</t>
  </si>
  <si>
    <t>Open Philanthropy Project</t>
  </si>
  <si>
    <t>Xandex Ventures</t>
  </si>
  <si>
    <t>Conti Ventures</t>
  </si>
  <si>
    <t>Neman Ventures</t>
  </si>
  <si>
    <t>Lenox Partners</t>
  </si>
  <si>
    <t>Ericsenz Capital</t>
  </si>
  <si>
    <t>Sailing Capital</t>
  </si>
  <si>
    <t>Next Play Capital</t>
  </si>
  <si>
    <t>G Squared</t>
  </si>
  <si>
    <t>CPT Capital</t>
  </si>
  <si>
    <t>Five Seasons Ventures</t>
  </si>
  <si>
    <t>Proioxis Ventures</t>
  </si>
  <si>
    <t>Ben Jen Holdings</t>
  </si>
  <si>
    <t>K2 Global</t>
  </si>
  <si>
    <t>Pario Ventures</t>
  </si>
  <si>
    <t>Mirae Asset Venture Investment</t>
  </si>
  <si>
    <t>Bracket Capital</t>
  </si>
  <si>
    <t>Toy Ventures</t>
  </si>
  <si>
    <t>London Impact Ventures</t>
  </si>
  <si>
    <t>Purav Patel</t>
  </si>
  <si>
    <t>Christian Herrera</t>
  </si>
  <si>
    <t>Katy Perry</t>
  </si>
  <si>
    <t>Jaden Smith</t>
  </si>
  <si>
    <t>Julien Machot</t>
  </si>
  <si>
    <t>Taslimm Quraishi</t>
  </si>
  <si>
    <t>Vikas Sabnani</t>
  </si>
  <si>
    <t>Randy Almaguer</t>
  </si>
  <si>
    <t>Serena Williams</t>
  </si>
  <si>
    <t>Jay Brown</t>
  </si>
  <si>
    <t>Shawn Carter</t>
  </si>
  <si>
    <t>Alexis Ohanian</t>
  </si>
  <si>
    <t>William Gates</t>
  </si>
  <si>
    <t>UBS Group</t>
  </si>
  <si>
    <t>Viking Global Investors</t>
  </si>
  <si>
    <t>Late Stage Management</t>
  </si>
  <si>
    <t>The Spaventa Group</t>
  </si>
  <si>
    <t>Bridge Capital Holding</t>
  </si>
  <si>
    <t>Buttonwood Group Advisors</t>
  </si>
  <si>
    <t>Verso Holdings</t>
  </si>
  <si>
    <t>Hivers &amp; Strivers (Rachel Hobert)</t>
  </si>
  <si>
    <t>Smart City' Works - Infrastructure Actuator</t>
  </si>
  <si>
    <t>FM Capital</t>
  </si>
  <si>
    <t>PBJ Capital</t>
  </si>
  <si>
    <t>Hon Hai Precision</t>
  </si>
  <si>
    <t>WillowTree Investments</t>
  </si>
  <si>
    <t>FedEx</t>
  </si>
  <si>
    <t>Foxconn Technology</t>
  </si>
  <si>
    <t>Liebenthal Ventures</t>
  </si>
  <si>
    <t>PassKey Invest</t>
  </si>
  <si>
    <t>EIG</t>
  </si>
  <si>
    <t>Cottonwood Technology Fund</t>
  </si>
  <si>
    <t>Central Texas Angel Network</t>
  </si>
  <si>
    <t>David Palter</t>
  </si>
  <si>
    <t>E8</t>
  </si>
  <si>
    <t>FUND4SE</t>
  </si>
  <si>
    <t>John Paulos</t>
  </si>
  <si>
    <t>Lateral Capital Group</t>
  </si>
  <si>
    <t>Momentum Glass</t>
  </si>
  <si>
    <t>Paulos Holdings</t>
  </si>
  <si>
    <t>R/GA Ventures</t>
  </si>
  <si>
    <t>SIFL</t>
  </si>
  <si>
    <t>SLA Ventures</t>
  </si>
  <si>
    <t>Technology Credit Union</t>
  </si>
  <si>
    <t>VCFuel</t>
  </si>
  <si>
    <t>TEDCO</t>
  </si>
  <si>
    <t>Genesis Park</t>
  </si>
  <si>
    <t>Keiretsu Capital</t>
  </si>
  <si>
    <t>301</t>
  </si>
  <si>
    <t>CAVU Consumer Partners</t>
  </si>
  <si>
    <t>General Mills M13</t>
  </si>
  <si>
    <t>Stray Dog Capital</t>
  </si>
  <si>
    <t>Hatch Blue</t>
  </si>
  <si>
    <t>Moodoos Investments</t>
  </si>
  <si>
    <t>Fenix Equity Group</t>
  </si>
  <si>
    <t>Ancora Holdings Group</t>
  </si>
  <si>
    <t>Nottingham Unlimited Ventures</t>
  </si>
  <si>
    <t>Cresta Fund Management</t>
  </si>
  <si>
    <t>Philippa Gawley</t>
  </si>
  <si>
    <t>Harbor Street Ventures</t>
  </si>
  <si>
    <t>Tribeca Early Stage Partners</t>
  </si>
  <si>
    <t>Cantos Ventures</t>
  </si>
  <si>
    <t>Cibersons</t>
  </si>
  <si>
    <t>Voyager</t>
  </si>
  <si>
    <t>Impact Science Ventures</t>
  </si>
  <si>
    <t>Clean Energy Venture Group</t>
  </si>
  <si>
    <t>Clean Energy Ventures</t>
  </si>
  <si>
    <t>Greentown Labs</t>
  </si>
  <si>
    <t>H/L Ventures</t>
  </si>
  <si>
    <t>Lighthouse</t>
  </si>
  <si>
    <t>Apex Companies</t>
  </si>
  <si>
    <t>Closed Loop Partners</t>
  </si>
  <si>
    <t>KRG Capital Partners</t>
  </si>
  <si>
    <t>Gratitude Railroad</t>
  </si>
  <si>
    <t>Magic Hour (New York)</t>
  </si>
  <si>
    <t>Geekdom Fund</t>
  </si>
  <si>
    <t>For Good Ventures</t>
  </si>
  <si>
    <t>Loli On-The-Field</t>
  </si>
  <si>
    <t>Ehukai Investments</t>
  </si>
  <si>
    <t>Trent Orr</t>
  </si>
  <si>
    <t>Elizabeth S. Heavener</t>
  </si>
  <si>
    <t>Serena Woodward</t>
  </si>
  <si>
    <t>Clayton A. Rockefeller</t>
  </si>
  <si>
    <t>Nathan G. Walworth</t>
  </si>
  <si>
    <t>Brian Henry</t>
  </si>
  <si>
    <t>Austin Henry</t>
  </si>
  <si>
    <t>Eduardo Vitols</t>
  </si>
  <si>
    <t>NaHCO3</t>
  </si>
  <si>
    <t>German Property Group</t>
  </si>
  <si>
    <t>Ten Eighty Capital</t>
  </si>
  <si>
    <t>Tuna Investments</t>
  </si>
  <si>
    <t>K2X</t>
  </si>
  <si>
    <t>Anthropocene Ventures</t>
  </si>
  <si>
    <t>Engage Venture Partners</t>
  </si>
  <si>
    <t>Joseph L Stornelli</t>
  </si>
  <si>
    <t>Andrew J Kabatch</t>
  </si>
  <si>
    <t>R. Brent Alderfer</t>
  </si>
  <si>
    <t>Sachin S Joshi</t>
  </si>
  <si>
    <t>John M. Bianchi</t>
  </si>
  <si>
    <t>Robert Durr</t>
  </si>
  <si>
    <t>Kilara Capital</t>
  </si>
  <si>
    <t>Kingswood Capital Partners</t>
  </si>
  <si>
    <t>Moskal Capital Partners</t>
  </si>
  <si>
    <t>TWB Investment</t>
  </si>
  <si>
    <t>Sunset Ventures</t>
  </si>
  <si>
    <t>Sustainable Ocean Alliance</t>
  </si>
  <si>
    <t>Alan Chung</t>
  </si>
  <si>
    <t>Gisele Brisson</t>
  </si>
  <si>
    <t>Beth S. Horowitz</t>
  </si>
  <si>
    <t>Margaret Segal</t>
  </si>
  <si>
    <t>Howard Levine</t>
  </si>
  <si>
    <t>Peter Libby</t>
  </si>
  <si>
    <t>NaHCO3 and Empire State Developmen</t>
  </si>
  <si>
    <t>Agility Ventures</t>
  </si>
  <si>
    <t>Fifth Wall</t>
  </si>
  <si>
    <t>Keystone National Group</t>
  </si>
  <si>
    <t>Kalyan Vepuri</t>
  </si>
  <si>
    <t>LG Technology Ventures</t>
  </si>
  <si>
    <t>Stonepeak Partners</t>
  </si>
  <si>
    <t>EGI Capital</t>
  </si>
  <si>
    <t>Taihill Venture</t>
  </si>
  <si>
    <t>Ecolab</t>
  </si>
  <si>
    <t>GiantLeap Capital</t>
  </si>
  <si>
    <t>Indico Capital Partners</t>
  </si>
  <si>
    <t>Lam Research</t>
  </si>
  <si>
    <t>New York Angels</t>
  </si>
  <si>
    <t>Pangaea Ventures</t>
  </si>
  <si>
    <t>PuraTerra Ventures</t>
  </si>
  <si>
    <t>W.L. Gore &amp; Associates</t>
  </si>
  <si>
    <t>Bidra Innovation Ventures</t>
  </si>
  <si>
    <t>L&amp;F</t>
  </si>
  <si>
    <t>Lane VC</t>
  </si>
  <si>
    <t>Krypton</t>
  </si>
  <si>
    <t>Metaplanet Holdings</t>
  </si>
  <si>
    <t>IRONGREY</t>
  </si>
  <si>
    <t>Miura Partners</t>
  </si>
  <si>
    <t>National Grid Partners</t>
  </si>
  <si>
    <t>Towards Net Zero</t>
  </si>
  <si>
    <t>Valo Ventures</t>
  </si>
  <si>
    <t>Freestone Sponsors</t>
  </si>
  <si>
    <t>Warburg Pincus</t>
  </si>
  <si>
    <t>Accelr8</t>
  </si>
  <si>
    <t>Bluestein Ventures</t>
  </si>
  <si>
    <t>DNS Capital</t>
  </si>
  <si>
    <t>Thia Ventures</t>
  </si>
  <si>
    <t>Toba Capital</t>
  </si>
  <si>
    <t>4WARD.vc</t>
  </si>
  <si>
    <t>Lofty Ventures</t>
  </si>
  <si>
    <t>Right Side Capital Management</t>
  </si>
  <si>
    <t>Service Provider Capital</t>
  </si>
  <si>
    <t>TELUS Global Ventures</t>
  </si>
  <si>
    <t>Footprint Coalition</t>
  </si>
  <si>
    <t>Standard Investments</t>
  </si>
  <si>
    <t>Global Cleantech Capital</t>
  </si>
  <si>
    <t>Ajax Strategies</t>
  </si>
  <si>
    <t>mTerra Ventures</t>
  </si>
  <si>
    <t>SE Ventures</t>
  </si>
  <si>
    <t>Prithvi Ventures</t>
  </si>
  <si>
    <t>Enechange</t>
  </si>
  <si>
    <t>Japan Energy Fund</t>
  </si>
  <si>
    <t>New Luna Ventures</t>
  </si>
  <si>
    <t>Schneider Electric USA Common Trust</t>
  </si>
  <si>
    <t>Next Act Fund</t>
  </si>
  <si>
    <t>Portfolia</t>
  </si>
  <si>
    <t>Regeneration VC</t>
  </si>
  <si>
    <t>The 22 Fund</t>
  </si>
  <si>
    <t>Archer Daniels Midland</t>
  </si>
  <si>
    <t>Genoa Ventures</t>
  </si>
  <si>
    <t>GERBER-RAUTH</t>
  </si>
  <si>
    <t>IndieBio</t>
  </si>
  <si>
    <t>Meach Cove Capital</t>
  </si>
  <si>
    <t>ONCE Ventures</t>
  </si>
  <si>
    <t>Schreiber Ventures</t>
  </si>
  <si>
    <t>Synthesis Capital</t>
  </si>
  <si>
    <t>Arsenal Growth</t>
  </si>
  <si>
    <t>Blue Horizon Corporation</t>
  </si>
  <si>
    <t>Leaps by Bayer</t>
  </si>
  <si>
    <t>Lever VC</t>
  </si>
  <si>
    <t>Lifely VC</t>
  </si>
  <si>
    <t>Mudcake</t>
  </si>
  <si>
    <t>The House Fund</t>
  </si>
  <si>
    <t>Netcapital</t>
  </si>
  <si>
    <t>Canadian Shield Capital</t>
  </si>
  <si>
    <t>Hatch</t>
  </si>
  <si>
    <t>Khasma Capital</t>
  </si>
  <si>
    <t>Chamaeleon</t>
  </si>
  <si>
    <t>Eric Lamb</t>
  </si>
  <si>
    <t>Frederic Luddy</t>
  </si>
  <si>
    <t>KBW Ventures</t>
  </si>
  <si>
    <t>Kenneth Birdwell</t>
  </si>
  <si>
    <t>Michael Heffernanl Novak Djokovic</t>
  </si>
  <si>
    <t>Southland Industries</t>
  </si>
  <si>
    <t>Steve Chen</t>
  </si>
  <si>
    <t>Western Technology Investment</t>
  </si>
  <si>
    <t>Ecovyst</t>
  </si>
  <si>
    <t>Hyundai Motor</t>
  </si>
  <si>
    <t>Kia</t>
  </si>
  <si>
    <t>NV Bekaert</t>
  </si>
  <si>
    <t>Fortistar (Nadeem Nisar)</t>
  </si>
  <si>
    <t>ICONIQ Growth</t>
  </si>
  <si>
    <t>Lion Ventures</t>
  </si>
  <si>
    <t>Verus International</t>
  </si>
  <si>
    <t>B37 Ventures</t>
  </si>
  <si>
    <t>Sonny Vu</t>
  </si>
  <si>
    <t>Emerald Technology Ventures</t>
  </si>
  <si>
    <t>Pegasus Capital Advisors</t>
  </si>
  <si>
    <t>Third Prime</t>
  </si>
  <si>
    <t>Decathlon Capital Partners</t>
  </si>
  <si>
    <t>Nexter Ventures</t>
  </si>
  <si>
    <t>Asymmetry Ventures</t>
  </si>
  <si>
    <t>Climate Capital</t>
  </si>
  <si>
    <t>Leap Forward Ventures</t>
  </si>
  <si>
    <t>Liquid 2 Ventures</t>
  </si>
  <si>
    <t>Shared Future Fund</t>
  </si>
  <si>
    <t>Soma Capital</t>
  </si>
  <si>
    <t>Advantage Capital</t>
  </si>
  <si>
    <t>Ben Franklin Technology Partners of Central and Northern Pennsylvania</t>
  </si>
  <si>
    <t>Bunge Ventures</t>
  </si>
  <si>
    <t>Keytrade</t>
  </si>
  <si>
    <t>Maumee Ventures</t>
  </si>
  <si>
    <t>Ospraie Ag Science</t>
  </si>
  <si>
    <t>Tekfen Ventures</t>
  </si>
  <si>
    <t>UPL</t>
  </si>
  <si>
    <t>Deloitte</t>
  </si>
  <si>
    <t>Global Founders Capital</t>
  </si>
  <si>
    <t>Hat-trick Capital</t>
  </si>
  <si>
    <t>Helium-3 Ventures</t>
  </si>
  <si>
    <t>Outbound Capital</t>
  </si>
  <si>
    <t>Pegasus Tech Ventures</t>
  </si>
  <si>
    <t>Shenzen Capital Group</t>
  </si>
  <si>
    <t>Starling Ventures</t>
  </si>
  <si>
    <t>The Atlas Capital</t>
  </si>
  <si>
    <t>Tim Seears</t>
  </si>
  <si>
    <t>UpHonest Capital</t>
  </si>
  <si>
    <t>World Economic Forum</t>
  </si>
  <si>
    <t>WorldQuant Ventures</t>
  </si>
  <si>
    <t>Y Combinatot</t>
  </si>
  <si>
    <t>Greenland Technologies Holding</t>
  </si>
  <si>
    <t>Honda Motor</t>
  </si>
  <si>
    <t>LKQ</t>
  </si>
  <si>
    <t>SCG Chemicals</t>
  </si>
  <si>
    <t>Tech Council Ventures</t>
  </si>
  <si>
    <t>Traxys</t>
  </si>
  <si>
    <t>Wistron Medical Technology</t>
  </si>
  <si>
    <t>Ceres Partners</t>
  </si>
  <si>
    <t>Arosa Capital Management</t>
  </si>
  <si>
    <t>BrightStar Wisconsin Foundation</t>
  </si>
  <si>
    <t>WARF Ventures</t>
  </si>
  <si>
    <t>Milano Investment Partners</t>
  </si>
  <si>
    <t>Ascent Funds</t>
  </si>
  <si>
    <t>Hyzon Fuel Cell</t>
  </si>
  <si>
    <t>Itochu</t>
  </si>
  <si>
    <t>The RockCreek Group</t>
  </si>
  <si>
    <t>Stellar J</t>
  </si>
  <si>
    <t>D3 Jubilee partners</t>
  </si>
  <si>
    <t>GS Holdings</t>
  </si>
  <si>
    <t>Darco Capital</t>
  </si>
  <si>
    <t>John Doerr</t>
  </si>
  <si>
    <t>Microsoft Climate Fund</t>
  </si>
  <si>
    <t>SDCL Efficiency Income Trust</t>
  </si>
  <si>
    <t>Siam Cement Public Company</t>
  </si>
  <si>
    <t>Titan</t>
  </si>
  <si>
    <t>Ridgevale Enterprises</t>
  </si>
  <si>
    <t>Vickers Venture Partners</t>
  </si>
  <si>
    <t>WI Harper Group</t>
  </si>
  <si>
    <t>Eversource Retirement Plan Master Trust</t>
  </si>
  <si>
    <t>CPV/CAP Pensionskasse Coop</t>
  </si>
  <si>
    <t>Optimas Capital Partners</t>
  </si>
  <si>
    <t>Five Two Five</t>
  </si>
  <si>
    <t>Aditya Mathur</t>
  </si>
  <si>
    <t>Arsat Industries</t>
  </si>
  <si>
    <t>Bhavya Khanna</t>
  </si>
  <si>
    <t>Elev8.vc</t>
  </si>
  <si>
    <t>Sai Anurag</t>
  </si>
  <si>
    <t>SM Ventures</t>
  </si>
  <si>
    <t>Eagle Private Capital</t>
  </si>
  <si>
    <t>Cornell University</t>
  </si>
  <si>
    <t>Coulometrics</t>
  </si>
  <si>
    <t>In-Q-Tel</t>
  </si>
  <si>
    <t>Phoenix Venture Partners</t>
  </si>
  <si>
    <t>Rochester Institute of Technology Venture Fund</t>
  </si>
  <si>
    <t>Syensqo Ventures</t>
  </si>
  <si>
    <t>University of Colorado</t>
  </si>
  <si>
    <t>BP Energy Partners</t>
  </si>
  <si>
    <t>Equinor Ventures</t>
  </si>
  <si>
    <t>Techstars</t>
  </si>
  <si>
    <t>Flight Ventures</t>
  </si>
  <si>
    <t>Ford Street Ventures</t>
  </si>
  <si>
    <t>Harpoon VC</t>
  </si>
  <si>
    <t>Jonathan Hung</t>
  </si>
  <si>
    <t>McWin Partners</t>
  </si>
  <si>
    <t>Meron Capital</t>
  </si>
  <si>
    <t>Refactor Capital</t>
  </si>
  <si>
    <t>Reform Ventures</t>
  </si>
  <si>
    <t>Ruvento Ventures</t>
  </si>
  <si>
    <t>Tjucholmen Ventures</t>
  </si>
  <si>
    <t>Unicorn Venture Partners</t>
  </si>
  <si>
    <t>Social Venture Circle</t>
  </si>
  <si>
    <t>Solidarity Capital Group</t>
  </si>
  <si>
    <t>MB Energy Partners</t>
  </si>
  <si>
    <t>Good Growth Capital</t>
  </si>
  <si>
    <t>Grant Hummer</t>
  </si>
  <si>
    <t>Jack Fuchs</t>
  </si>
  <si>
    <t>James Fickel lame</t>
  </si>
  <si>
    <t>Kelly Lei</t>
  </si>
  <si>
    <t>Sierra Peterson</t>
  </si>
  <si>
    <t>Sytse Sijbrandij</t>
  </si>
  <si>
    <t>Vitalik Buterin</t>
  </si>
  <si>
    <t>Seedlnvest</t>
  </si>
  <si>
    <t>Sunmeet Jolly</t>
  </si>
  <si>
    <t>Verizon Ventures</t>
  </si>
  <si>
    <t>G Ventures</t>
  </si>
  <si>
    <t>Mukul Agapwal</t>
  </si>
  <si>
    <t>Nonlinear Capital</t>
  </si>
  <si>
    <t>Amplify Capital</t>
  </si>
  <si>
    <t>Bruce Rubin</t>
  </si>
  <si>
    <t>Kathy Salmanowitz</t>
  </si>
  <si>
    <t>One World</t>
  </si>
  <si>
    <t>Scott Saslow</t>
  </si>
  <si>
    <t>Steve Rosard</t>
  </si>
  <si>
    <t>SXU Investment</t>
  </si>
  <si>
    <t>Zygote Ventures</t>
  </si>
  <si>
    <t>Planetary Technologies</t>
  </si>
  <si>
    <t>Thomas Werner</t>
  </si>
  <si>
    <t>Uncorrelated Ventures</t>
  </si>
  <si>
    <t>Hacker Capital</t>
  </si>
  <si>
    <t>Kanca Ventures</t>
  </si>
  <si>
    <t>10X Capital</t>
  </si>
  <si>
    <t>Ajay Yadav</t>
  </si>
  <si>
    <t>C2 Ventures</t>
  </si>
  <si>
    <t>Camwood Ventures</t>
  </si>
  <si>
    <t>Riverside Ventures</t>
  </si>
  <si>
    <t>Spacestation</t>
  </si>
  <si>
    <t>Aliment Capital</t>
  </si>
  <si>
    <t>Acre Venture Partners</t>
  </si>
  <si>
    <t>Cisco Investments</t>
  </si>
  <si>
    <t>Floodgate</t>
  </si>
  <si>
    <t>George Roberts</t>
  </si>
  <si>
    <t>Kleiner Perkins</t>
  </si>
  <si>
    <t>Kyber Knight Capital</t>
  </si>
  <si>
    <t>Ponderosa Ventures</t>
  </si>
  <si>
    <t>Sheryl Sandberg</t>
  </si>
  <si>
    <t>Tom Bernthal</t>
  </si>
  <si>
    <t>Valor Capital Group</t>
  </si>
  <si>
    <t>Calm Ventures</t>
  </si>
  <si>
    <t>Fanjul Capital</t>
  </si>
  <si>
    <t>Knockout Capital</t>
  </si>
  <si>
    <t>Lombardstreet Ventures</t>
  </si>
  <si>
    <t>Relumin</t>
  </si>
  <si>
    <t>The Scope Fund</t>
  </si>
  <si>
    <t>VISION</t>
  </si>
  <si>
    <t>Cascade Investment</t>
  </si>
  <si>
    <t>Hedonova</t>
  </si>
  <si>
    <t>Korea Shipbuilding and Offshore Engineering</t>
  </si>
  <si>
    <t>SK Group</t>
  </si>
  <si>
    <t>Aria Emiko</t>
  </si>
  <si>
    <t>Beck Koss</t>
  </si>
  <si>
    <t>Benjamin Stokes</t>
  </si>
  <si>
    <t>C3 Ventures</t>
  </si>
  <si>
    <t>Carrier-ok</t>
  </si>
  <si>
    <t>Chasing Rainbows</t>
  </si>
  <si>
    <t>Claire England</t>
  </si>
  <si>
    <t>CRCM Ventures</t>
  </si>
  <si>
    <t>Davic Weissman</t>
  </si>
  <si>
    <t>Earth Venture Capital</t>
  </si>
  <si>
    <t>Gaingles</t>
  </si>
  <si>
    <t>Happiness Capital</t>
  </si>
  <si>
    <t>Karan Goel</t>
  </si>
  <si>
    <t>Meliorare Partners</t>
  </si>
  <si>
    <t>MiH Ventures</t>
  </si>
  <si>
    <t>Nucleus Adventure Capital</t>
  </si>
  <si>
    <t>Raphael Carteni</t>
  </si>
  <si>
    <t>Van Ngo</t>
  </si>
  <si>
    <t>Aera VC</t>
  </si>
  <si>
    <t>Alpha Bridge Ventures</t>
  </si>
  <si>
    <t>Breakout Ventures</t>
  </si>
  <si>
    <t>Capricorn Investment Group</t>
  </si>
  <si>
    <t>City Hill Ventures</t>
  </si>
  <si>
    <t>Future Tech Labs</t>
  </si>
  <si>
    <t>GC Venture Fellows</t>
  </si>
  <si>
    <t>Munich Re Ventures</t>
  </si>
  <si>
    <t>Rising Tide Fund</t>
  </si>
  <si>
    <t>Twynam Funds Management</t>
  </si>
  <si>
    <t>Xplorer Capital</t>
  </si>
  <si>
    <t>Atlas Capital</t>
  </si>
  <si>
    <t>Berg Energy Ventures</t>
  </si>
  <si>
    <t>CorDx</t>
  </si>
  <si>
    <t>Ryan Orr</t>
  </si>
  <si>
    <t>Arunas Chesonis</t>
  </si>
  <si>
    <t>Keith Wilson</t>
  </si>
  <si>
    <t/>
  </si>
  <si>
    <t>Marathon Capital Management</t>
  </si>
  <si>
    <t>Fifty Years</t>
  </si>
  <si>
    <t>Atomico</t>
  </si>
  <si>
    <t>Avi Brown</t>
  </si>
  <si>
    <t>Cargill</t>
  </si>
  <si>
    <t>Gates Ventures</t>
  </si>
  <si>
    <t>Inevitable Ventures</t>
  </si>
  <si>
    <t>John Welch</t>
  </si>
  <si>
    <t>Kimbal Musk</t>
  </si>
  <si>
    <t>Kyle Vogt</t>
  </si>
  <si>
    <t>Richard Branson</t>
  </si>
  <si>
    <t>Threshold Management</t>
  </si>
  <si>
    <t>SoftBank Investment Advisers</t>
  </si>
  <si>
    <t>Norwest Venture Partners</t>
  </si>
  <si>
    <t>Builders VC</t>
  </si>
  <si>
    <t>Dentsu Ventures</t>
  </si>
  <si>
    <t>Tyson Ventures</t>
  </si>
  <si>
    <t>EDBI</t>
  </si>
  <si>
    <t>Whole Foods Market</t>
  </si>
  <si>
    <t>Prime Partners</t>
  </si>
  <si>
    <t>Enfini Ventures</t>
  </si>
  <si>
    <t>Advisors.Fund</t>
  </si>
  <si>
    <t>Threshold Ventures</t>
  </si>
  <si>
    <t>BoxGroup</t>
  </si>
  <si>
    <t>Humboldt Fund</t>
  </si>
  <si>
    <t>Baleine &amp; Bjorn Capital</t>
  </si>
  <si>
    <t>Finistere Ventures</t>
  </si>
  <si>
    <t>gener8tor</t>
  </si>
  <si>
    <t>Christiana Musk</t>
  </si>
  <si>
    <t>John Mackey</t>
  </si>
  <si>
    <t>and Westcott</t>
  </si>
  <si>
    <t>Appian Capital Advisory</t>
  </si>
  <si>
    <t>Mickey Swortzel</t>
  </si>
  <si>
    <t>Texas Halo Fund</t>
  </si>
  <si>
    <t>Autodesk Foundation</t>
  </si>
  <si>
    <t>Denver Ventures</t>
  </si>
  <si>
    <t>HG Ventures</t>
  </si>
  <si>
    <t>Keiretsu Forum</t>
  </si>
  <si>
    <t>Monfort</t>
  </si>
  <si>
    <t>Seed I Pod</t>
  </si>
  <si>
    <t>SWAN Impact Network</t>
  </si>
  <si>
    <t>Galvanize Climate Solutions</t>
  </si>
  <si>
    <t>VXI Capital Management</t>
  </si>
  <si>
    <t>Cavallo Ventures</t>
  </si>
  <si>
    <t>Northpond Ventures</t>
  </si>
  <si>
    <t>Syngenta Group Ventures</t>
  </si>
  <si>
    <t>Cagan McAfee Capital Partners</t>
  </si>
  <si>
    <t>Q 3 Financial</t>
  </si>
  <si>
    <t>Earth Foundry Management</t>
  </si>
  <si>
    <t>1789 Capital</t>
  </si>
  <si>
    <t>Altimeter Capital Management</t>
  </si>
  <si>
    <t>One Investment Management</t>
  </si>
  <si>
    <t>Washington Harbour</t>
  </si>
  <si>
    <t>Climate Investment</t>
  </si>
  <si>
    <t>Anthropocene Capital Management</t>
  </si>
  <si>
    <t>Berkeley Catalyst Fund Management</t>
  </si>
  <si>
    <t>Christian Thirion</t>
  </si>
  <si>
    <t>Michael Phillips</t>
  </si>
  <si>
    <t>Mitsui Mining and Smelting</t>
  </si>
  <si>
    <t>Cool Climate Collective</t>
  </si>
  <si>
    <t>Day One Ventures</t>
  </si>
  <si>
    <t>Divergent Capital</t>
  </si>
  <si>
    <t>Freshtracks Capital</t>
  </si>
  <si>
    <t>Highstreet Insurance Partners</t>
  </si>
  <si>
    <t>Magnuson Center for Entrepreneurship</t>
  </si>
  <si>
    <t>Pure Ventures</t>
  </si>
  <si>
    <t>Riverstyx Foundation</t>
  </si>
  <si>
    <t>Silence VC</t>
  </si>
  <si>
    <t>Susquehanna Foundation</t>
  </si>
  <si>
    <t>Third Sphere</t>
  </si>
  <si>
    <t>Tuck Social Venture Fund</t>
  </si>
  <si>
    <t>Bezos Expeditions</t>
  </si>
  <si>
    <t>CRV</t>
  </si>
  <si>
    <t>Full Circle Africa</t>
  </si>
  <si>
    <t>Hestia Venture Partners</t>
  </si>
  <si>
    <t>L Catterton</t>
  </si>
  <si>
    <t>Leonardo Di Caprio</t>
  </si>
  <si>
    <t>Maven Ventures</t>
  </si>
  <si>
    <t>Root Ventures</t>
  </si>
  <si>
    <t>S2G Ventures</t>
  </si>
  <si>
    <t>Spark Capital</t>
  </si>
  <si>
    <t>K Street Capital</t>
  </si>
  <si>
    <t>Triangle Tweener Fund</t>
  </si>
  <si>
    <t>Edgewater Captial Group</t>
  </si>
  <si>
    <t>Firsthand Capital Management</t>
  </si>
  <si>
    <t>Aligned Climate Capital</t>
  </si>
  <si>
    <t>ClearSky</t>
  </si>
  <si>
    <t>Climate Innovation Capital</t>
  </si>
  <si>
    <t>WovenEarth Ventures</t>
  </si>
  <si>
    <t>Carnite Ventures</t>
  </si>
  <si>
    <t>Houston Angel Network</t>
  </si>
  <si>
    <t>Gray's Creek Capital Partners</t>
  </si>
  <si>
    <t>Most commonly participating investors</t>
  </si>
  <si>
    <t>ALL INVESTORS</t>
  </si>
  <si>
    <t>NEW INVESTORS</t>
  </si>
  <si>
    <t>0</t>
  </si>
  <si>
    <t>Number of Deals</t>
  </si>
  <si>
    <t xml:space="preserve">SOSV </t>
  </si>
  <si>
    <t>Loweracarbon Capital</t>
  </si>
  <si>
    <t xml:space="preserve">E8 </t>
  </si>
  <si>
    <t>% of deals that reported debt raise</t>
  </si>
  <si>
    <t># of deals that reported debt raise</t>
  </si>
  <si>
    <t>Debt reporting</t>
  </si>
  <si>
    <t>Median debt share</t>
  </si>
  <si>
    <t>Average debt share</t>
  </si>
  <si>
    <t>Total Capital Invested</t>
  </si>
  <si>
    <t>Share of deals with existing investor participation</t>
  </si>
  <si>
    <t xml:space="preserve">Share of deals with new strategic investors </t>
  </si>
  <si>
    <t>Share of deals with 100% new investors</t>
  </si>
  <si>
    <t>Bubble Size (Deal Size)</t>
  </si>
  <si>
    <t>Year</t>
  </si>
  <si>
    <r>
      <rPr>
        <b/>
        <sz val="12"/>
        <color theme="1"/>
        <rFont val="Calibri"/>
        <family val="2"/>
      </rPr>
      <t xml:space="preserve">How to use this model
</t>
    </r>
    <r>
      <rPr>
        <sz val="11"/>
        <color theme="1"/>
        <rFont val="Calibri"/>
        <family val="2"/>
      </rPr>
      <t xml:space="preserve">This workbook is structured to move from </t>
    </r>
    <r>
      <rPr>
        <i/>
        <sz val="11"/>
        <color theme="1"/>
        <rFont val="Calibri"/>
        <family val="2"/>
      </rPr>
      <t xml:space="preserve">raw deal-level data </t>
    </r>
    <r>
      <rPr>
        <sz val="11"/>
        <color theme="1"/>
        <rFont val="Calibri"/>
        <family val="2"/>
      </rPr>
      <t xml:space="preserve">to </t>
    </r>
    <r>
      <rPr>
        <i/>
        <sz val="11"/>
        <color theme="1"/>
        <rFont val="Calibri"/>
        <family val="2"/>
      </rPr>
      <t xml:space="preserve">cleaned and standardized data </t>
    </r>
    <r>
      <rPr>
        <sz val="11"/>
        <color theme="1"/>
        <rFont val="Calibri"/>
        <family val="2"/>
      </rPr>
      <t xml:space="preserve">to analytical </t>
    </r>
    <r>
      <rPr>
        <i/>
        <sz val="11"/>
        <color theme="1"/>
        <rFont val="Calibri"/>
        <family val="2"/>
      </rPr>
      <t xml:space="preserve">outputs </t>
    </r>
    <r>
      <rPr>
        <sz val="11"/>
        <color theme="1"/>
        <rFont val="Calibri"/>
        <family val="2"/>
      </rPr>
      <t xml:space="preserve">and </t>
    </r>
    <r>
      <rPr>
        <i/>
        <sz val="11"/>
        <color theme="1"/>
        <rFont val="Calibri"/>
        <family val="2"/>
      </rPr>
      <t>charts</t>
    </r>
    <r>
      <rPr>
        <sz val="11"/>
        <color theme="1"/>
        <rFont val="Calibri"/>
        <family val="2"/>
      </rPr>
      <t xml:space="preserve">. 
The </t>
    </r>
    <r>
      <rPr>
        <i/>
        <sz val="11"/>
        <color theme="1"/>
        <rFont val="Calibri"/>
        <family val="2"/>
      </rPr>
      <t xml:space="preserve">Raw Data </t>
    </r>
    <r>
      <rPr>
        <sz val="11"/>
        <color theme="1"/>
        <rFont val="Calibri"/>
        <family val="2"/>
      </rPr>
      <t xml:space="preserve">tab contains the full set of bridge and extension rounds pulled from source databases. The </t>
    </r>
    <r>
      <rPr>
        <i/>
        <sz val="11"/>
        <color theme="1"/>
        <rFont val="Calibri"/>
        <family val="2"/>
      </rPr>
      <t xml:space="preserve">Sanitized Data </t>
    </r>
    <r>
      <rPr>
        <sz val="11"/>
        <color theme="1"/>
        <rFont val="Calibri"/>
        <family val="2"/>
      </rPr>
      <t xml:space="preserve">tab applies consistent formatting, standardized company names, dates, subsectors, and deal attributes, and is the </t>
    </r>
    <r>
      <rPr>
        <b/>
        <sz val="11"/>
        <color theme="1"/>
        <rFont val="Calibri"/>
        <family val="2"/>
      </rPr>
      <t xml:space="preserve">primary input </t>
    </r>
    <r>
      <rPr>
        <sz val="11"/>
        <color theme="1"/>
        <rFont val="Calibri"/>
        <family val="2"/>
      </rPr>
      <t xml:space="preserve">for all analysis. The </t>
    </r>
    <r>
      <rPr>
        <i/>
        <sz val="11"/>
        <color theme="1"/>
        <rFont val="Calibri"/>
        <family val="2"/>
      </rPr>
      <t xml:space="preserve">Outputs </t>
    </r>
    <r>
      <rPr>
        <sz val="11"/>
        <color theme="1"/>
        <rFont val="Calibri"/>
        <family val="2"/>
      </rPr>
      <t xml:space="preserve">tab aggregates this data into key metrics such as repeat investors, deal size distributions, capital deployed over time, and debt usage. Charts and visuals are generated from the Analytics tab and should not be edited directly. 
If you plan to update the dataset, start with modifying the Raw Data tab. All downstream tabs should only be updated update regarding the string of rows used as input. 
The </t>
    </r>
    <r>
      <rPr>
        <i/>
        <sz val="11"/>
        <color theme="1"/>
        <rFont val="Calibri"/>
        <family val="2"/>
      </rPr>
      <t xml:space="preserve">Exclusions &amp; Distinctions </t>
    </r>
    <r>
      <rPr>
        <sz val="11"/>
        <color theme="1"/>
        <rFont val="Calibri"/>
        <family val="2"/>
      </rPr>
      <t xml:space="preserve">tab includes two lists of companies that were reviewed manually to determine inclusion in the dataset. The tabs with the identifier "Setup" are used to avoid embedding complex formulas in the analysis tabs and can be ignored. </t>
    </r>
  </si>
  <si>
    <r>
      <t xml:space="preserve">Most commonly </t>
    </r>
    <r>
      <rPr>
        <b/>
        <i/>
        <sz val="11"/>
        <color theme="1"/>
        <rFont val="Calibri"/>
        <family val="2"/>
      </rPr>
      <t xml:space="preserve">*new* </t>
    </r>
    <r>
      <rPr>
        <b/>
        <sz val="11"/>
        <color theme="1"/>
        <rFont val="Calibri"/>
        <family val="2"/>
      </rPr>
      <t>participating investors</t>
    </r>
  </si>
  <si>
    <t>CHARTS</t>
  </si>
  <si>
    <t>KEY METRICS</t>
  </si>
  <si>
    <t>Deal_ID</t>
  </si>
  <si>
    <t>Company_Name</t>
  </si>
  <si>
    <t>State</t>
  </si>
  <si>
    <t>Date</t>
  </si>
  <si>
    <t>Deal_Size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</si>
</sst>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quot;$&quot;#,##0.00"/>
    <numFmt numFmtId="166" formatCode="0.00\x"/>
    <numFmt numFmtId="167" formatCode="0.00\ &quot;years&quot;"/>
    <numFmt numFmtId="168" formatCode="[$-409]mmm\-yy;@"/>
    <numFmt numFmtId="169" formatCode="_(&quot;$&quot;* #,##0_);_(&quot;$&quot;* \(#,##0\);_(&quot;$&quot;* &quot;-&quot;??_);_(@_)"/>
  </numFmts>
  <fonts count="18"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Calibri"/>
      <family val="2"/>
    </font>
    <font>
      <b/>
      <sz val="11"/>
      <color theme="1"/>
      <name val="Calibri"/>
      <family val="2"/>
    </font>
    <font>
      <b/>
      <sz val="11"/>
      <color theme="0"/>
      <name val="Calibri"/>
      <family val="2"/>
    </font>
    <font>
      <b/>
      <sz val="16"/>
      <color rgb="FF126A6C"/>
      <name val="Calibri"/>
      <family val="2"/>
    </font>
    <font>
      <b/>
      <sz val="14"/>
      <color theme="1"/>
      <name val="Calibri"/>
      <family val="2"/>
    </font>
    <font>
      <b/>
      <i/>
      <sz val="11"/>
      <color theme="1"/>
      <name val="Calibri"/>
      <family val="2"/>
    </font>
    <font>
      <sz val="11"/>
      <color theme="10"/>
      <name val="Calibri"/>
      <family val="2"/>
    </font>
    <font>
      <b/>
      <sz val="12"/>
      <color theme="0"/>
      <name val="Aptos Narrow"/>
      <family val="2"/>
      <scheme val="minor"/>
    </font>
    <font>
      <b/>
      <u/>
      <sz val="14"/>
      <color theme="1"/>
      <name val="Aptos Narrow"/>
      <family val="2"/>
      <scheme val="minor"/>
    </font>
    <font>
      <i/>
      <sz val="11"/>
      <color theme="1"/>
      <name val="Calibri"/>
      <family val="2"/>
    </font>
    <font>
      <b/>
      <sz val="12"/>
      <color theme="1"/>
      <name val="Calibri"/>
      <family val="2"/>
    </font>
    <font>
      <b/>
      <sz val="12"/>
      <color theme="0"/>
      <name val="Calibri"/>
      <family val="2"/>
    </font>
    <font>
      <u/>
      <sz val="18"/>
      <color theme="1"/>
      <name val="Calibri"/>
      <family val="2"/>
    </font>
    <font>
      <b/>
      <sz val="26"/>
      <color theme="1"/>
      <name val="Calibri"/>
      <family val="2"/>
    </font>
    <font>
      <b/>
      <sz val="22"/>
      <color theme="1"/>
      <name val="Calibri"/>
      <family val="2"/>
    </font>
  </fonts>
  <fills count="12">
    <fill>
      <patternFill patternType="none"/>
    </fill>
    <fill>
      <patternFill patternType="gray125"/>
    </fill>
    <fill>
      <patternFill patternType="solid">
        <fgColor rgb="FF002060"/>
        <bgColor indexed="64"/>
      </patternFill>
    </fill>
    <fill>
      <patternFill patternType="solid">
        <fgColor rgb="FF126A6C"/>
        <bgColor indexed="64"/>
      </patternFill>
    </fill>
    <fill>
      <patternFill patternType="solid">
        <fgColor rgb="FFC0EAE7"/>
        <bgColor indexed="64"/>
      </patternFill>
    </fill>
    <fill>
      <patternFill patternType="solid">
        <fgColor rgb="FFBDD8FF"/>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s>
  <borders count="15">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114">
    <xf numFmtId="0" fontId="0" fillId="0" borderId="0" xfId="0"/>
    <xf numFmtId="0" fontId="0" fillId="0" borderId="0" xfId="0" applyAlignment="1">
      <alignment wrapText="1"/>
    </xf>
    <xf numFmtId="0" fontId="3" fillId="6" borderId="0" xfId="0" applyFont="1" applyFill="1" applyAlignment="1">
      <alignment horizontal="centerContinuous"/>
    </xf>
    <xf numFmtId="0" fontId="3" fillId="6" borderId="0" xfId="0" applyFont="1" applyFill="1" applyAlignment="1">
      <alignment horizontal="centerContinuous" wrapText="1"/>
    </xf>
    <xf numFmtId="0" fontId="3" fillId="0" borderId="0" xfId="0" applyFont="1"/>
    <xf numFmtId="0" fontId="4" fillId="4" borderId="0" xfId="0" applyFont="1" applyFill="1"/>
    <xf numFmtId="0" fontId="4" fillId="4" borderId="0" xfId="0" applyFont="1" applyFill="1" applyAlignment="1">
      <alignment wrapText="1"/>
    </xf>
    <xf numFmtId="0" fontId="4" fillId="5" borderId="0" xfId="0" applyFont="1" applyFill="1"/>
    <xf numFmtId="49" fontId="4" fillId="5" borderId="0" xfId="1" applyNumberFormat="1" applyFont="1" applyFill="1"/>
    <xf numFmtId="0" fontId="4" fillId="7" borderId="0" xfId="0" applyFont="1" applyFill="1" applyAlignment="1">
      <alignment wrapText="1"/>
    </xf>
    <xf numFmtId="0" fontId="4" fillId="7" borderId="0" xfId="0" applyFont="1" applyFill="1"/>
    <xf numFmtId="0" fontId="4" fillId="9" borderId="0" xfId="0" applyFont="1" applyFill="1"/>
    <xf numFmtId="0" fontId="3" fillId="0" borderId="0" xfId="0" applyFont="1" applyAlignment="1">
      <alignment wrapText="1"/>
    </xf>
    <xf numFmtId="14" fontId="3" fillId="0" borderId="0" xfId="0" applyNumberFormat="1" applyFont="1"/>
    <xf numFmtId="165" fontId="3" fillId="0" borderId="0" xfId="0" applyNumberFormat="1" applyFont="1"/>
    <xf numFmtId="164" fontId="3" fillId="0" borderId="0" xfId="2" applyNumberFormat="1" applyFont="1" applyAlignment="1">
      <alignment horizontal="right"/>
    </xf>
    <xf numFmtId="0" fontId="3" fillId="0" borderId="0" xfId="0" applyFont="1" applyAlignment="1">
      <alignment horizontal="right"/>
    </xf>
    <xf numFmtId="9" fontId="3" fillId="0" borderId="0" xfId="2" applyFont="1" applyAlignment="1">
      <alignment horizontal="right"/>
    </xf>
    <xf numFmtId="166" fontId="3" fillId="0" borderId="0" xfId="0" applyNumberFormat="1" applyFont="1"/>
    <xf numFmtId="9" fontId="3" fillId="0" borderId="0" xfId="2" applyFont="1"/>
    <xf numFmtId="0" fontId="5" fillId="2" borderId="0" xfId="0" applyFont="1" applyFill="1" applyAlignment="1">
      <alignment horizontal="centerContinuous"/>
    </xf>
    <xf numFmtId="0" fontId="4" fillId="0" borderId="0" xfId="0" applyFont="1"/>
    <xf numFmtId="0" fontId="6" fillId="0" borderId="0" xfId="0" applyFont="1"/>
    <xf numFmtId="0" fontId="7" fillId="0" borderId="0" xfId="0" applyFont="1"/>
    <xf numFmtId="0" fontId="8" fillId="0" borderId="0" xfId="0" applyFont="1"/>
    <xf numFmtId="167" fontId="3" fillId="0" borderId="0" xfId="0" applyNumberFormat="1" applyFont="1"/>
    <xf numFmtId="0" fontId="5" fillId="2" borderId="0" xfId="0" applyFont="1" applyFill="1"/>
    <xf numFmtId="0" fontId="5" fillId="3" borderId="0" xfId="0" applyFont="1" applyFill="1" applyAlignment="1">
      <alignment horizontal="centerContinuous"/>
    </xf>
    <xf numFmtId="0" fontId="5" fillId="3" borderId="0" xfId="0" applyFont="1" applyFill="1" applyAlignment="1">
      <alignment horizontal="centerContinuous" wrapText="1"/>
    </xf>
    <xf numFmtId="0" fontId="5" fillId="6" borderId="0" xfId="0" applyFont="1" applyFill="1" applyAlignment="1">
      <alignment horizontal="centerContinuous" wrapText="1"/>
    </xf>
    <xf numFmtId="0" fontId="5" fillId="8" borderId="0" xfId="0" applyFont="1" applyFill="1" applyAlignment="1">
      <alignment horizontal="centerContinuous"/>
    </xf>
    <xf numFmtId="0" fontId="9" fillId="0" borderId="0" xfId="3" applyFont="1"/>
    <xf numFmtId="164" fontId="3" fillId="0" borderId="0" xfId="2" applyNumberFormat="1" applyFont="1"/>
    <xf numFmtId="0" fontId="5" fillId="2" borderId="0" xfId="0" applyFont="1" applyFill="1" applyAlignment="1">
      <alignment wrapText="1"/>
    </xf>
    <xf numFmtId="49" fontId="3" fillId="0" borderId="0" xfId="2" applyNumberFormat="1" applyFont="1" applyAlignment="1">
      <alignment wrapText="1"/>
    </xf>
    <xf numFmtId="168" fontId="3" fillId="0" borderId="0" xfId="0" applyNumberFormat="1" applyFont="1" applyAlignment="1">
      <alignment horizontal="right"/>
    </xf>
    <xf numFmtId="165" fontId="3" fillId="0" borderId="0" xfId="0" applyNumberFormat="1" applyFont="1" applyAlignment="1">
      <alignment horizontal="right"/>
    </xf>
    <xf numFmtId="0" fontId="5" fillId="2" borderId="0" xfId="0" applyFont="1" applyFill="1" applyAlignment="1">
      <alignment horizontal="left"/>
    </xf>
    <xf numFmtId="0" fontId="0" fillId="0" borderId="0" xfId="0" applyAlignment="1">
      <alignment vertical="top"/>
    </xf>
    <xf numFmtId="0" fontId="5" fillId="2" borderId="0" xfId="0" applyFont="1" applyFill="1" applyAlignment="1">
      <alignment vertical="top"/>
    </xf>
    <xf numFmtId="0" fontId="5" fillId="10" borderId="0" xfId="0" applyFont="1" applyFill="1" applyAlignment="1">
      <alignment vertical="top"/>
    </xf>
    <xf numFmtId="0" fontId="5" fillId="10" borderId="0" xfId="0" applyFont="1" applyFill="1"/>
    <xf numFmtId="0" fontId="3" fillId="0" borderId="0" xfId="0" applyFont="1" applyAlignment="1">
      <alignment vertical="top"/>
    </xf>
    <xf numFmtId="0" fontId="3" fillId="0" borderId="0" xfId="0" applyFont="1" applyAlignment="1">
      <alignment horizontal="right" wrapText="1"/>
    </xf>
    <xf numFmtId="0" fontId="10" fillId="2" borderId="0" xfId="0" applyFont="1" applyFill="1"/>
    <xf numFmtId="0" fontId="11" fillId="0" borderId="0" xfId="0" applyFont="1" applyAlignment="1">
      <alignment horizontal="centerContinuous" vertical="center"/>
    </xf>
    <xf numFmtId="0" fontId="11" fillId="0" borderId="0" xfId="0" applyFont="1" applyAlignment="1">
      <alignment horizontal="centerContinuous"/>
    </xf>
    <xf numFmtId="164" fontId="3" fillId="0" borderId="0" xfId="0" applyNumberFormat="1" applyFont="1" applyAlignment="1">
      <alignment horizontal="right"/>
    </xf>
    <xf numFmtId="0" fontId="5" fillId="2" borderId="2" xfId="0" applyFont="1" applyFill="1" applyBorder="1" applyAlignment="1">
      <alignment horizontal="centerContinuous"/>
    </xf>
    <xf numFmtId="0" fontId="5" fillId="2" borderId="1" xfId="0" applyFont="1" applyFill="1" applyBorder="1" applyAlignment="1">
      <alignment horizontal="centerContinuous"/>
    </xf>
    <xf numFmtId="0" fontId="3" fillId="0" borderId="8" xfId="0" applyFont="1" applyBorder="1"/>
    <xf numFmtId="0" fontId="4" fillId="0" borderId="9" xfId="0" applyFont="1" applyBorder="1" applyAlignment="1">
      <alignment wrapText="1"/>
    </xf>
    <xf numFmtId="0" fontId="4" fillId="0" borderId="10" xfId="0" applyFont="1" applyBorder="1" applyAlignment="1">
      <alignment wrapText="1"/>
    </xf>
    <xf numFmtId="0" fontId="3" fillId="0" borderId="2" xfId="0" applyFont="1" applyBorder="1"/>
    <xf numFmtId="44" fontId="3" fillId="0" borderId="0" xfId="1" applyFont="1" applyBorder="1"/>
    <xf numFmtId="44" fontId="3" fillId="0" borderId="1" xfId="1" applyFont="1" applyBorder="1"/>
    <xf numFmtId="0" fontId="3" fillId="11" borderId="2" xfId="0" applyFont="1" applyFill="1" applyBorder="1"/>
    <xf numFmtId="44" fontId="3" fillId="11" borderId="0" xfId="1" applyFont="1" applyFill="1" applyBorder="1"/>
    <xf numFmtId="44" fontId="3" fillId="11" borderId="1" xfId="1" applyFont="1" applyFill="1" applyBorder="1"/>
    <xf numFmtId="0" fontId="3" fillId="0" borderId="3" xfId="0" applyFont="1" applyBorder="1"/>
    <xf numFmtId="44" fontId="3" fillId="0" borderId="4" xfId="1" applyFont="1" applyBorder="1"/>
    <xf numFmtId="44" fontId="3" fillId="0" borderId="5" xfId="1" applyFont="1" applyBorder="1"/>
    <xf numFmtId="0" fontId="3" fillId="0" borderId="4" xfId="0" applyFont="1" applyBorder="1"/>
    <xf numFmtId="0" fontId="3" fillId="0" borderId="5" xfId="0" applyFont="1" applyBorder="1"/>
    <xf numFmtId="0" fontId="4" fillId="0" borderId="9" xfId="0" applyFont="1" applyBorder="1"/>
    <xf numFmtId="0" fontId="4" fillId="0" borderId="10" xfId="0" applyFont="1" applyBorder="1"/>
    <xf numFmtId="0" fontId="3" fillId="0" borderId="1" xfId="0" applyFont="1" applyBorder="1"/>
    <xf numFmtId="0" fontId="4" fillId="0" borderId="4" xfId="0" applyFont="1" applyBorder="1" applyAlignment="1">
      <alignment horizontal="right"/>
    </xf>
    <xf numFmtId="0" fontId="4" fillId="0" borderId="5" xfId="0" applyFont="1" applyBorder="1" applyAlignment="1">
      <alignment horizontal="right"/>
    </xf>
    <xf numFmtId="44" fontId="3" fillId="0" borderId="0" xfId="1" applyFont="1" applyBorder="1" applyAlignment="1">
      <alignment horizontal="right"/>
    </xf>
    <xf numFmtId="44" fontId="3" fillId="0" borderId="7" xfId="1" applyFont="1" applyBorder="1" applyAlignment="1">
      <alignment horizontal="right"/>
    </xf>
    <xf numFmtId="0" fontId="3" fillId="0" borderId="1" xfId="0" applyFont="1" applyBorder="1" applyAlignment="1">
      <alignment horizontal="right"/>
    </xf>
    <xf numFmtId="44" fontId="3" fillId="0" borderId="1" xfId="1" applyFont="1" applyBorder="1" applyAlignment="1">
      <alignment horizontal="right"/>
    </xf>
    <xf numFmtId="0" fontId="3" fillId="0" borderId="11" xfId="0" applyFont="1" applyBorder="1"/>
    <xf numFmtId="44" fontId="3" fillId="0" borderId="12" xfId="1" applyFont="1" applyBorder="1" applyAlignment="1">
      <alignment horizontal="right"/>
    </xf>
    <xf numFmtId="44" fontId="3" fillId="0" borderId="13" xfId="1" applyFont="1" applyBorder="1" applyAlignment="1">
      <alignment horizontal="right"/>
    </xf>
    <xf numFmtId="0" fontId="3" fillId="0" borderId="4" xfId="0" applyFont="1" applyBorder="1" applyAlignment="1">
      <alignment horizontal="right"/>
    </xf>
    <xf numFmtId="0" fontId="3" fillId="0" borderId="5" xfId="0" applyFont="1" applyBorder="1" applyAlignment="1">
      <alignment horizontal="right"/>
    </xf>
    <xf numFmtId="0" fontId="4" fillId="0" borderId="4" xfId="0" applyFont="1" applyBorder="1" applyAlignment="1">
      <alignment horizontal="right" wrapText="1"/>
    </xf>
    <xf numFmtId="0" fontId="4" fillId="0" borderId="5" xfId="0" applyFont="1" applyBorder="1" applyAlignment="1">
      <alignment horizontal="right" wrapText="1"/>
    </xf>
    <xf numFmtId="9" fontId="3" fillId="0" borderId="0" xfId="2" applyFont="1" applyBorder="1" applyAlignment="1">
      <alignment horizontal="right"/>
    </xf>
    <xf numFmtId="9" fontId="3" fillId="0" borderId="1" xfId="2" applyFont="1" applyBorder="1" applyAlignment="1">
      <alignment horizontal="right"/>
    </xf>
    <xf numFmtId="9" fontId="3" fillId="0" borderId="4" xfId="2" applyFont="1" applyBorder="1" applyAlignment="1">
      <alignment horizontal="right"/>
    </xf>
    <xf numFmtId="9" fontId="3" fillId="0" borderId="5" xfId="2" applyFont="1" applyBorder="1" applyAlignment="1">
      <alignment horizontal="right"/>
    </xf>
    <xf numFmtId="9" fontId="3" fillId="0" borderId="0" xfId="2" applyFont="1" applyBorder="1"/>
    <xf numFmtId="0" fontId="4" fillId="0" borderId="6" xfId="0" applyFont="1" applyBorder="1"/>
    <xf numFmtId="3" fontId="3" fillId="0" borderId="7" xfId="0" applyNumberFormat="1" applyFont="1" applyBorder="1"/>
    <xf numFmtId="0" fontId="4" fillId="0" borderId="2" xfId="0" applyFont="1" applyBorder="1"/>
    <xf numFmtId="9" fontId="3" fillId="0" borderId="1" xfId="2" applyFont="1" applyBorder="1"/>
    <xf numFmtId="0" fontId="4" fillId="0" borderId="3" xfId="0" applyFont="1" applyBorder="1"/>
    <xf numFmtId="9" fontId="3" fillId="0" borderId="5" xfId="2" applyFont="1" applyBorder="1"/>
    <xf numFmtId="3" fontId="3" fillId="0" borderId="0" xfId="0" applyNumberFormat="1" applyFont="1"/>
    <xf numFmtId="0" fontId="4" fillId="10" borderId="8" xfId="0" applyFont="1" applyFill="1" applyBorder="1" applyAlignment="1">
      <alignment horizontal="centerContinuous"/>
    </xf>
    <xf numFmtId="0" fontId="3" fillId="10" borderId="9" xfId="0" applyFont="1" applyFill="1" applyBorder="1" applyAlignment="1">
      <alignment horizontal="centerContinuous"/>
    </xf>
    <xf numFmtId="0" fontId="3" fillId="10" borderId="10" xfId="0" applyFont="1" applyFill="1" applyBorder="1" applyAlignment="1">
      <alignment horizontal="centerContinuous"/>
    </xf>
    <xf numFmtId="0" fontId="4" fillId="0" borderId="0" xfId="0" applyFont="1" applyAlignment="1">
      <alignment horizontal="center"/>
    </xf>
    <xf numFmtId="0" fontId="4"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14" fillId="2" borderId="0" xfId="0" applyFont="1" applyFill="1" applyAlignment="1">
      <alignment horizontal="centerContinuous"/>
    </xf>
    <xf numFmtId="0" fontId="4" fillId="10" borderId="3" xfId="0" applyFont="1" applyFill="1" applyBorder="1"/>
    <xf numFmtId="0" fontId="4" fillId="10" borderId="4" xfId="0" applyFont="1" applyFill="1" applyBorder="1" applyAlignment="1">
      <alignment horizontal="center"/>
    </xf>
    <xf numFmtId="0" fontId="4" fillId="10" borderId="5" xfId="0" applyFont="1" applyFill="1" applyBorder="1" applyAlignment="1">
      <alignment horizontal="center"/>
    </xf>
    <xf numFmtId="0" fontId="3" fillId="10" borderId="0" xfId="0" applyFont="1" applyFill="1"/>
    <xf numFmtId="169" fontId="3" fillId="0" borderId="0" xfId="1" applyNumberFormat="1" applyFont="1" applyBorder="1" applyAlignment="1">
      <alignment horizontal="center"/>
    </xf>
    <xf numFmtId="168" fontId="3" fillId="0" borderId="1" xfId="0" applyNumberFormat="1" applyFont="1" applyBorder="1" applyAlignment="1">
      <alignment horizontal="center"/>
    </xf>
    <xf numFmtId="169" fontId="3" fillId="0" borderId="4" xfId="1" applyNumberFormat="1" applyFont="1" applyBorder="1" applyAlignment="1">
      <alignment horizontal="center"/>
    </xf>
    <xf numFmtId="168" fontId="3" fillId="0" borderId="5" xfId="0" applyNumberFormat="1" applyFont="1" applyBorder="1" applyAlignment="1">
      <alignment horizontal="center"/>
    </xf>
    <xf numFmtId="164" fontId="3" fillId="0" borderId="1" xfId="2" applyNumberFormat="1" applyFont="1" applyBorder="1"/>
    <xf numFmtId="164" fontId="3" fillId="0" borderId="5" xfId="2" applyNumberFormat="1" applyFont="1" applyBorder="1"/>
    <xf numFmtId="0" fontId="16" fillId="0" borderId="14" xfId="0" applyFont="1" applyBorder="1" applyAlignment="1">
      <alignment horizontal="centerContinuous"/>
    </xf>
    <xf numFmtId="0" fontId="15" fillId="0" borderId="14" xfId="0" applyFont="1" applyBorder="1" applyAlignment="1">
      <alignment horizontal="centerContinuous"/>
    </xf>
    <xf numFmtId="0" fontId="17" fillId="0" borderId="14" xfId="0" applyFont="1" applyBorder="1" applyAlignment="1">
      <alignment horizontal="centerContinuous"/>
    </xf>
    <xf numFmtId="0" fontId="3" fillId="0" borderId="0" xfId="0" applyFont="1" applyAlignment="1">
      <alignment horizontal="left" vertical="top"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65F1D0"/>
      <color rgb="FFC0EAE7"/>
      <color rgb="FF2C8881"/>
      <color rgb="FF126A6C"/>
      <color rgb="FFBD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Capital Invested &amp; Median Valuation </a:t>
            </a:r>
          </a:p>
          <a:p>
            <a:pPr>
              <a:defRPr b="1"/>
            </a:pPr>
            <a:r>
              <a:rPr lang="en-US" sz="1100" b="0" i="1"/>
              <a:t>(USD MM)</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arChart>
        <c:barDir val="col"/>
        <c:grouping val="clustered"/>
        <c:varyColors val="0"/>
        <c:ser>
          <c:idx val="0"/>
          <c:order val="0"/>
          <c:tx>
            <c:strRef>
              <c:f>Outputs!$B$24</c:f>
              <c:strCache>
                <c:ptCount val="1"/>
                <c:pt idx="0">
                  <c:v>Total Capital Invested</c:v>
                </c:pt>
              </c:strCache>
            </c:strRef>
          </c:tx>
          <c:spPr>
            <a:solidFill>
              <a:schemeClr val="accent3">
                <a:tint val="77000"/>
              </a:schemeClr>
            </a:solidFill>
            <a:ln>
              <a:noFill/>
            </a:ln>
            <a:effectLst/>
          </c:spPr>
          <c:invertIfNegative val="0"/>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Outputs!$C$24:$M$24</c:f>
              <c:numCache>
                <c:formatCode>_("$"* #,##0.00_);_("$"* \(#,##0.00\);_("$"* "-"??_);_(@_)</c:formatCode>
                <c:ptCount val="11"/>
                <c:pt idx="0">
                  <c:v>370.54</c:v>
                </c:pt>
                <c:pt idx="1">
                  <c:v>295.5</c:v>
                </c:pt>
                <c:pt idx="2">
                  <c:v>44.32</c:v>
                </c:pt>
                <c:pt idx="3">
                  <c:v>103.31</c:v>
                </c:pt>
                <c:pt idx="4">
                  <c:v>1631.59</c:v>
                </c:pt>
                <c:pt idx="5">
                  <c:v>1007.94</c:v>
                </c:pt>
                <c:pt idx="6">
                  <c:v>475.25000000000006</c:v>
                </c:pt>
                <c:pt idx="7">
                  <c:v>2796.84</c:v>
                </c:pt>
                <c:pt idx="8">
                  <c:v>1013.3899999999999</c:v>
                </c:pt>
                <c:pt idx="9">
                  <c:v>629.56000000000006</c:v>
                </c:pt>
                <c:pt idx="10">
                  <c:v>1905.9199999999998</c:v>
                </c:pt>
              </c:numCache>
            </c:numRef>
          </c:val>
          <c:extLst>
            <c:ext xmlns:c16="http://schemas.microsoft.com/office/drawing/2014/chart" uri="{C3380CC4-5D6E-409C-BE32-E72D297353CC}">
              <c16:uniqueId val="{00000000-7BBA-49D5-9EC4-6CC75C26D182}"/>
            </c:ext>
          </c:extLst>
        </c:ser>
        <c:dLbls>
          <c:showLegendKey val="0"/>
          <c:showVal val="0"/>
          <c:showCatName val="0"/>
          <c:showSerName val="0"/>
          <c:showPercent val="0"/>
          <c:showBubbleSize val="0"/>
        </c:dLbls>
        <c:gapWidth val="75"/>
        <c:overlap val="-25"/>
        <c:axId val="1232986799"/>
        <c:axId val="1232985839"/>
      </c:barChart>
      <c:lineChart>
        <c:grouping val="standard"/>
        <c:varyColors val="0"/>
        <c:ser>
          <c:idx val="1"/>
          <c:order val="1"/>
          <c:tx>
            <c:strRef>
              <c:f>Outputs!$B$27</c:f>
              <c:strCache>
                <c:ptCount val="1"/>
                <c:pt idx="0">
                  <c:v>Median Valuation</c:v>
                </c:pt>
              </c:strCache>
            </c:strRef>
          </c:tx>
          <c:spPr>
            <a:ln w="28575" cap="rnd">
              <a:solidFill>
                <a:schemeClr val="accent3">
                  <a:shade val="76000"/>
                </a:schemeClr>
              </a:solidFill>
              <a:round/>
            </a:ln>
            <a:effectLst/>
          </c:spPr>
          <c:marker>
            <c:symbol val="none"/>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Outputs!$C$27:$M$27</c:f>
              <c:numCache>
                <c:formatCode>_("$"* #,##0.00_);_("$"* \(#,##0.00\);_("$"* "-"??_);_(@_)</c:formatCode>
                <c:ptCount val="11"/>
                <c:pt idx="0">
                  <c:v>35.604999999999997</c:v>
                </c:pt>
                <c:pt idx="1">
                  <c:v>19.45</c:v>
                </c:pt>
                <c:pt idx="2">
                  <c:v>19</c:v>
                </c:pt>
                <c:pt idx="3">
                  <c:v>30</c:v>
                </c:pt>
                <c:pt idx="4">
                  <c:v>21.5</c:v>
                </c:pt>
                <c:pt idx="5">
                  <c:v>35.064999999999998</c:v>
                </c:pt>
                <c:pt idx="6">
                  <c:v>20.95</c:v>
                </c:pt>
                <c:pt idx="7">
                  <c:v>38.325000000000003</c:v>
                </c:pt>
                <c:pt idx="8">
                  <c:v>83</c:v>
                </c:pt>
                <c:pt idx="9">
                  <c:v>70.599999999999994</c:v>
                </c:pt>
                <c:pt idx="10">
                  <c:v>200</c:v>
                </c:pt>
              </c:numCache>
            </c:numRef>
          </c:val>
          <c:smooth val="0"/>
          <c:extLst>
            <c:ext xmlns:c16="http://schemas.microsoft.com/office/drawing/2014/chart" uri="{C3380CC4-5D6E-409C-BE32-E72D297353CC}">
              <c16:uniqueId val="{00000001-7BBA-49D5-9EC4-6CC75C26D182}"/>
            </c:ext>
          </c:extLst>
        </c:ser>
        <c:dLbls>
          <c:showLegendKey val="0"/>
          <c:showVal val="0"/>
          <c:showCatName val="0"/>
          <c:showSerName val="0"/>
          <c:showPercent val="0"/>
          <c:showBubbleSize val="0"/>
        </c:dLbls>
        <c:marker val="1"/>
        <c:smooth val="0"/>
        <c:axId val="1233000719"/>
        <c:axId val="1232993519"/>
      </c:lineChart>
      <c:catAx>
        <c:axId val="123298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85839"/>
        <c:crosses val="autoZero"/>
        <c:auto val="1"/>
        <c:lblAlgn val="ctr"/>
        <c:lblOffset val="100"/>
        <c:noMultiLvlLbl val="0"/>
      </c:catAx>
      <c:valAx>
        <c:axId val="12329858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86799"/>
        <c:crosses val="autoZero"/>
        <c:crossBetween val="between"/>
      </c:valAx>
      <c:valAx>
        <c:axId val="123299351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3000719"/>
        <c:crosses val="max"/>
        <c:crossBetween val="between"/>
      </c:valAx>
      <c:catAx>
        <c:axId val="1233000719"/>
        <c:scaling>
          <c:orientation val="minMax"/>
        </c:scaling>
        <c:delete val="1"/>
        <c:axPos val="b"/>
        <c:numFmt formatCode="General" sourceLinked="1"/>
        <c:majorTickMark val="out"/>
        <c:minorTickMark val="none"/>
        <c:tickLblPos val="nextTo"/>
        <c:crossAx val="12329935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Deal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5.3291048668601466E-2"/>
          <c:y val="0.15074896042347322"/>
          <c:w val="0.86833966377338812"/>
          <c:h val="0.78407237624139325"/>
        </c:manualLayout>
      </c:layout>
      <c:bubbleChart>
        <c:varyColors val="0"/>
        <c:ser>
          <c:idx val="0"/>
          <c:order val="0"/>
          <c:tx>
            <c:strRef>
              <c:f>Bubble_Chart_Setup!$C$2</c:f>
              <c:strCache>
                <c:ptCount val="1"/>
                <c:pt idx="0">
                  <c:v>Deal Size</c:v>
                </c:pt>
              </c:strCache>
            </c:strRef>
          </c:tx>
          <c:spPr>
            <a:solidFill>
              <a:schemeClr val="accent3">
                <a:alpha val="75000"/>
              </a:schemeClr>
            </a:solidFill>
            <a:ln>
              <a:noFill/>
            </a:ln>
            <a:effectLst/>
          </c:spPr>
          <c:invertIfNegative val="0"/>
          <c:xVal>
            <c:numRef>
              <c:f>Bubble_Chart_Setup!$B$3:$B$273</c:f>
              <c:numCache>
                <c:formatCode>m/d/yyyy</c:formatCode>
                <c:ptCount val="271"/>
                <c:pt idx="0">
                  <c:v>44895</c:v>
                </c:pt>
                <c:pt idx="1">
                  <c:v>45657</c:v>
                </c:pt>
                <c:pt idx="2">
                  <c:v>43879</c:v>
                </c:pt>
                <c:pt idx="3">
                  <c:v>44721</c:v>
                </c:pt>
                <c:pt idx="4">
                  <c:v>45978</c:v>
                </c:pt>
                <c:pt idx="5">
                  <c:v>42207</c:v>
                </c:pt>
                <c:pt idx="6">
                  <c:v>42699</c:v>
                </c:pt>
                <c:pt idx="7">
                  <c:v>45292</c:v>
                </c:pt>
                <c:pt idx="8">
                  <c:v>45658</c:v>
                </c:pt>
                <c:pt idx="9">
                  <c:v>44270</c:v>
                </c:pt>
                <c:pt idx="10">
                  <c:v>45474</c:v>
                </c:pt>
                <c:pt idx="11">
                  <c:v>45002</c:v>
                </c:pt>
                <c:pt idx="12">
                  <c:v>45853</c:v>
                </c:pt>
                <c:pt idx="13">
                  <c:v>43220</c:v>
                </c:pt>
                <c:pt idx="14">
                  <c:v>44358</c:v>
                </c:pt>
                <c:pt idx="15">
                  <c:v>44869</c:v>
                </c:pt>
                <c:pt idx="16">
                  <c:v>44197</c:v>
                </c:pt>
                <c:pt idx="17">
                  <c:v>44834</c:v>
                </c:pt>
                <c:pt idx="18">
                  <c:v>44897</c:v>
                </c:pt>
                <c:pt idx="19">
                  <c:v>44621</c:v>
                </c:pt>
                <c:pt idx="20">
                  <c:v>45566</c:v>
                </c:pt>
                <c:pt idx="21">
                  <c:v>44189</c:v>
                </c:pt>
                <c:pt idx="22">
                  <c:v>44204</c:v>
                </c:pt>
                <c:pt idx="23">
                  <c:v>44390</c:v>
                </c:pt>
                <c:pt idx="24">
                  <c:v>45645</c:v>
                </c:pt>
                <c:pt idx="25">
                  <c:v>45429</c:v>
                </c:pt>
                <c:pt idx="26">
                  <c:v>42680</c:v>
                </c:pt>
                <c:pt idx="27">
                  <c:v>44666</c:v>
                </c:pt>
                <c:pt idx="28">
                  <c:v>43661</c:v>
                </c:pt>
                <c:pt idx="29">
                  <c:v>44741</c:v>
                </c:pt>
                <c:pt idx="30">
                  <c:v>44833</c:v>
                </c:pt>
                <c:pt idx="31">
                  <c:v>45141</c:v>
                </c:pt>
                <c:pt idx="32">
                  <c:v>45474</c:v>
                </c:pt>
                <c:pt idx="33">
                  <c:v>44917</c:v>
                </c:pt>
                <c:pt idx="34">
                  <c:v>45536</c:v>
                </c:pt>
                <c:pt idx="35">
                  <c:v>42548</c:v>
                </c:pt>
                <c:pt idx="36">
                  <c:v>43753</c:v>
                </c:pt>
                <c:pt idx="37">
                  <c:v>43895</c:v>
                </c:pt>
                <c:pt idx="38">
                  <c:v>43565</c:v>
                </c:pt>
                <c:pt idx="39">
                  <c:v>43594</c:v>
                </c:pt>
                <c:pt idx="40">
                  <c:v>44413</c:v>
                </c:pt>
                <c:pt idx="41">
                  <c:v>45687</c:v>
                </c:pt>
                <c:pt idx="42">
                  <c:v>44927</c:v>
                </c:pt>
                <c:pt idx="43">
                  <c:v>45916</c:v>
                </c:pt>
                <c:pt idx="44">
                  <c:v>44986</c:v>
                </c:pt>
                <c:pt idx="45">
                  <c:v>45399</c:v>
                </c:pt>
                <c:pt idx="46">
                  <c:v>44531</c:v>
                </c:pt>
                <c:pt idx="47">
                  <c:v>45596</c:v>
                </c:pt>
                <c:pt idx="48">
                  <c:v>45047</c:v>
                </c:pt>
                <c:pt idx="49">
                  <c:v>44215</c:v>
                </c:pt>
                <c:pt idx="50">
                  <c:v>43003</c:v>
                </c:pt>
                <c:pt idx="51">
                  <c:v>43977</c:v>
                </c:pt>
                <c:pt idx="52">
                  <c:v>45834</c:v>
                </c:pt>
                <c:pt idx="53">
                  <c:v>44524</c:v>
                </c:pt>
                <c:pt idx="54">
                  <c:v>44774</c:v>
                </c:pt>
                <c:pt idx="55">
                  <c:v>43845</c:v>
                </c:pt>
                <c:pt idx="56">
                  <c:v>44880</c:v>
                </c:pt>
                <c:pt idx="57">
                  <c:v>44223</c:v>
                </c:pt>
                <c:pt idx="58">
                  <c:v>44561</c:v>
                </c:pt>
                <c:pt idx="59">
                  <c:v>45845</c:v>
                </c:pt>
                <c:pt idx="60">
                  <c:v>43850</c:v>
                </c:pt>
                <c:pt idx="61">
                  <c:v>44769</c:v>
                </c:pt>
                <c:pt idx="62">
                  <c:v>44974</c:v>
                </c:pt>
                <c:pt idx="63">
                  <c:v>44196</c:v>
                </c:pt>
                <c:pt idx="64">
                  <c:v>45595</c:v>
                </c:pt>
                <c:pt idx="65">
                  <c:v>45292</c:v>
                </c:pt>
                <c:pt idx="66">
                  <c:v>44749</c:v>
                </c:pt>
                <c:pt idx="67">
                  <c:v>45473</c:v>
                </c:pt>
                <c:pt idx="68">
                  <c:v>45261</c:v>
                </c:pt>
                <c:pt idx="69">
                  <c:v>45657</c:v>
                </c:pt>
                <c:pt idx="70">
                  <c:v>45866</c:v>
                </c:pt>
                <c:pt idx="71">
                  <c:v>45536</c:v>
                </c:pt>
                <c:pt idx="72">
                  <c:v>42641</c:v>
                </c:pt>
                <c:pt idx="73">
                  <c:v>43368</c:v>
                </c:pt>
                <c:pt idx="74">
                  <c:v>44197</c:v>
                </c:pt>
                <c:pt idx="75">
                  <c:v>44621</c:v>
                </c:pt>
                <c:pt idx="76">
                  <c:v>45974</c:v>
                </c:pt>
                <c:pt idx="77">
                  <c:v>43584</c:v>
                </c:pt>
                <c:pt idx="78">
                  <c:v>43069</c:v>
                </c:pt>
                <c:pt idx="79">
                  <c:v>45545</c:v>
                </c:pt>
                <c:pt idx="80">
                  <c:v>44085</c:v>
                </c:pt>
                <c:pt idx="81">
                  <c:v>44505</c:v>
                </c:pt>
                <c:pt idx="82">
                  <c:v>45961</c:v>
                </c:pt>
                <c:pt idx="83">
                  <c:v>42013</c:v>
                </c:pt>
                <c:pt idx="84">
                  <c:v>43279</c:v>
                </c:pt>
                <c:pt idx="85">
                  <c:v>45642</c:v>
                </c:pt>
                <c:pt idx="86">
                  <c:v>44470</c:v>
                </c:pt>
                <c:pt idx="87">
                  <c:v>43040</c:v>
                </c:pt>
                <c:pt idx="88">
                  <c:v>43465</c:v>
                </c:pt>
                <c:pt idx="89">
                  <c:v>45015</c:v>
                </c:pt>
                <c:pt idx="90">
                  <c:v>45170</c:v>
                </c:pt>
                <c:pt idx="91">
                  <c:v>45106</c:v>
                </c:pt>
                <c:pt idx="92">
                  <c:v>45630</c:v>
                </c:pt>
                <c:pt idx="93">
                  <c:v>44270</c:v>
                </c:pt>
                <c:pt idx="94">
                  <c:v>44561</c:v>
                </c:pt>
                <c:pt idx="95">
                  <c:v>44673</c:v>
                </c:pt>
                <c:pt idx="96">
                  <c:v>44249</c:v>
                </c:pt>
                <c:pt idx="97">
                  <c:v>44949</c:v>
                </c:pt>
                <c:pt idx="98">
                  <c:v>43599</c:v>
                </c:pt>
                <c:pt idx="99">
                  <c:v>44517</c:v>
                </c:pt>
                <c:pt idx="100">
                  <c:v>44340</c:v>
                </c:pt>
                <c:pt idx="101">
                  <c:v>45224</c:v>
                </c:pt>
                <c:pt idx="102">
                  <c:v>45933</c:v>
                </c:pt>
                <c:pt idx="103">
                  <c:v>44501</c:v>
                </c:pt>
                <c:pt idx="104">
                  <c:v>44985</c:v>
                </c:pt>
                <c:pt idx="105">
                  <c:v>43472</c:v>
                </c:pt>
                <c:pt idx="106">
                  <c:v>44561</c:v>
                </c:pt>
                <c:pt idx="107">
                  <c:v>45474</c:v>
                </c:pt>
                <c:pt idx="108">
                  <c:v>44547</c:v>
                </c:pt>
                <c:pt idx="109">
                  <c:v>43777</c:v>
                </c:pt>
                <c:pt idx="110">
                  <c:v>45113</c:v>
                </c:pt>
                <c:pt idx="111">
                  <c:v>45288</c:v>
                </c:pt>
                <c:pt idx="112">
                  <c:v>45597</c:v>
                </c:pt>
                <c:pt idx="113">
                  <c:v>44365</c:v>
                </c:pt>
                <c:pt idx="114">
                  <c:v>42412</c:v>
                </c:pt>
                <c:pt idx="115">
                  <c:v>43220</c:v>
                </c:pt>
                <c:pt idx="116">
                  <c:v>45980</c:v>
                </c:pt>
                <c:pt idx="117">
                  <c:v>44705</c:v>
                </c:pt>
                <c:pt idx="118">
                  <c:v>45076</c:v>
                </c:pt>
                <c:pt idx="119">
                  <c:v>44524</c:v>
                </c:pt>
                <c:pt idx="120">
                  <c:v>43084</c:v>
                </c:pt>
                <c:pt idx="121">
                  <c:v>43458</c:v>
                </c:pt>
                <c:pt idx="122">
                  <c:v>44501</c:v>
                </c:pt>
                <c:pt idx="123">
                  <c:v>44851</c:v>
                </c:pt>
                <c:pt idx="124">
                  <c:v>43468</c:v>
                </c:pt>
                <c:pt idx="125">
                  <c:v>44865</c:v>
                </c:pt>
                <c:pt idx="126">
                  <c:v>45257</c:v>
                </c:pt>
                <c:pt idx="127">
                  <c:v>43819</c:v>
                </c:pt>
                <c:pt idx="128">
                  <c:v>44837</c:v>
                </c:pt>
                <c:pt idx="129">
                  <c:v>43488</c:v>
                </c:pt>
                <c:pt idx="130">
                  <c:v>44866</c:v>
                </c:pt>
                <c:pt idx="131">
                  <c:v>43256</c:v>
                </c:pt>
                <c:pt idx="132">
                  <c:v>44455</c:v>
                </c:pt>
                <c:pt idx="133">
                  <c:v>45944</c:v>
                </c:pt>
                <c:pt idx="134">
                  <c:v>44315</c:v>
                </c:pt>
                <c:pt idx="135">
                  <c:v>45814</c:v>
                </c:pt>
                <c:pt idx="136">
                  <c:v>44621</c:v>
                </c:pt>
                <c:pt idx="137">
                  <c:v>45078</c:v>
                </c:pt>
                <c:pt idx="138">
                  <c:v>44112</c:v>
                </c:pt>
                <c:pt idx="139">
                  <c:v>45013</c:v>
                </c:pt>
                <c:pt idx="140">
                  <c:v>44544</c:v>
                </c:pt>
                <c:pt idx="141">
                  <c:v>44778</c:v>
                </c:pt>
                <c:pt idx="142">
                  <c:v>44622</c:v>
                </c:pt>
                <c:pt idx="143">
                  <c:v>45377</c:v>
                </c:pt>
                <c:pt idx="144">
                  <c:v>45302</c:v>
                </c:pt>
                <c:pt idx="145">
                  <c:v>44756</c:v>
                </c:pt>
                <c:pt idx="146">
                  <c:v>45077</c:v>
                </c:pt>
                <c:pt idx="147">
                  <c:v>43371</c:v>
                </c:pt>
                <c:pt idx="148">
                  <c:v>44321</c:v>
                </c:pt>
                <c:pt idx="149">
                  <c:v>43916</c:v>
                </c:pt>
                <c:pt idx="150">
                  <c:v>44398</c:v>
                </c:pt>
                <c:pt idx="151">
                  <c:v>42880</c:v>
                </c:pt>
                <c:pt idx="152">
                  <c:v>45042</c:v>
                </c:pt>
                <c:pt idx="153">
                  <c:v>44988</c:v>
                </c:pt>
                <c:pt idx="154">
                  <c:v>45786</c:v>
                </c:pt>
                <c:pt idx="155">
                  <c:v>44586</c:v>
                </c:pt>
                <c:pt idx="156">
                  <c:v>43455</c:v>
                </c:pt>
                <c:pt idx="157">
                  <c:v>44922</c:v>
                </c:pt>
                <c:pt idx="158">
                  <c:v>45559</c:v>
                </c:pt>
                <c:pt idx="159">
                  <c:v>44835</c:v>
                </c:pt>
                <c:pt idx="160">
                  <c:v>44866</c:v>
                </c:pt>
                <c:pt idx="161">
                  <c:v>44562</c:v>
                </c:pt>
                <c:pt idx="162">
                  <c:v>43776</c:v>
                </c:pt>
                <c:pt idx="163">
                  <c:v>44424</c:v>
                </c:pt>
                <c:pt idx="164">
                  <c:v>44624</c:v>
                </c:pt>
                <c:pt idx="165">
                  <c:v>44057</c:v>
                </c:pt>
                <c:pt idx="166">
                  <c:v>45748</c:v>
                </c:pt>
                <c:pt idx="167">
                  <c:v>44075</c:v>
                </c:pt>
                <c:pt idx="168">
                  <c:v>45747</c:v>
                </c:pt>
                <c:pt idx="169">
                  <c:v>44250</c:v>
                </c:pt>
                <c:pt idx="170">
                  <c:v>44740</c:v>
                </c:pt>
                <c:pt idx="171">
                  <c:v>43158</c:v>
                </c:pt>
                <c:pt idx="172">
                  <c:v>42415</c:v>
                </c:pt>
                <c:pt idx="173">
                  <c:v>43487</c:v>
                </c:pt>
                <c:pt idx="174">
                  <c:v>43845</c:v>
                </c:pt>
                <c:pt idx="175">
                  <c:v>44987</c:v>
                </c:pt>
                <c:pt idx="176">
                  <c:v>44986</c:v>
                </c:pt>
                <c:pt idx="177">
                  <c:v>45178</c:v>
                </c:pt>
                <c:pt idx="178">
                  <c:v>44734</c:v>
                </c:pt>
                <c:pt idx="179">
                  <c:v>45425</c:v>
                </c:pt>
                <c:pt idx="180">
                  <c:v>44044</c:v>
                </c:pt>
                <c:pt idx="181">
                  <c:v>44380</c:v>
                </c:pt>
                <c:pt idx="182">
                  <c:v>45363</c:v>
                </c:pt>
                <c:pt idx="183">
                  <c:v>44317</c:v>
                </c:pt>
                <c:pt idx="184">
                  <c:v>45693</c:v>
                </c:pt>
                <c:pt idx="185">
                  <c:v>41802</c:v>
                </c:pt>
                <c:pt idx="186">
                  <c:v>44348</c:v>
                </c:pt>
                <c:pt idx="187">
                  <c:v>44420</c:v>
                </c:pt>
                <c:pt idx="188">
                  <c:v>44634</c:v>
                </c:pt>
                <c:pt idx="189">
                  <c:v>45132</c:v>
                </c:pt>
                <c:pt idx="190">
                  <c:v>45384</c:v>
                </c:pt>
                <c:pt idx="191">
                  <c:v>44428</c:v>
                </c:pt>
                <c:pt idx="192">
                  <c:v>45810</c:v>
                </c:pt>
                <c:pt idx="193">
                  <c:v>44756</c:v>
                </c:pt>
                <c:pt idx="194">
                  <c:v>45140</c:v>
                </c:pt>
                <c:pt idx="195">
                  <c:v>44197</c:v>
                </c:pt>
                <c:pt idx="196">
                  <c:v>43383</c:v>
                </c:pt>
                <c:pt idx="197">
                  <c:v>43578</c:v>
                </c:pt>
                <c:pt idx="198">
                  <c:v>44523</c:v>
                </c:pt>
                <c:pt idx="199">
                  <c:v>43857</c:v>
                </c:pt>
                <c:pt idx="200">
                  <c:v>45627</c:v>
                </c:pt>
                <c:pt idx="201">
                  <c:v>42939</c:v>
                </c:pt>
                <c:pt idx="202">
                  <c:v>45204</c:v>
                </c:pt>
                <c:pt idx="203">
                  <c:v>42612</c:v>
                </c:pt>
                <c:pt idx="204">
                  <c:v>45323</c:v>
                </c:pt>
                <c:pt idx="205">
                  <c:v>42657</c:v>
                </c:pt>
                <c:pt idx="206">
                  <c:v>42158</c:v>
                </c:pt>
                <c:pt idx="207">
                  <c:v>45686</c:v>
                </c:pt>
                <c:pt idx="208">
                  <c:v>44875</c:v>
                </c:pt>
                <c:pt idx="209">
                  <c:v>44682</c:v>
                </c:pt>
                <c:pt idx="210">
                  <c:v>44089</c:v>
                </c:pt>
                <c:pt idx="211">
                  <c:v>42629</c:v>
                </c:pt>
                <c:pt idx="212">
                  <c:v>45530</c:v>
                </c:pt>
                <c:pt idx="213">
                  <c:v>44118</c:v>
                </c:pt>
                <c:pt idx="214">
                  <c:v>44927</c:v>
                </c:pt>
                <c:pt idx="215">
                  <c:v>45383</c:v>
                </c:pt>
                <c:pt idx="216">
                  <c:v>42348</c:v>
                </c:pt>
                <c:pt idx="217">
                  <c:v>44165</c:v>
                </c:pt>
                <c:pt idx="218">
                  <c:v>42930</c:v>
                </c:pt>
                <c:pt idx="219">
                  <c:v>43216</c:v>
                </c:pt>
                <c:pt idx="220">
                  <c:v>44197</c:v>
                </c:pt>
                <c:pt idx="221">
                  <c:v>45749</c:v>
                </c:pt>
                <c:pt idx="222">
                  <c:v>45307</c:v>
                </c:pt>
                <c:pt idx="223">
                  <c:v>44868</c:v>
                </c:pt>
                <c:pt idx="224">
                  <c:v>44413</c:v>
                </c:pt>
                <c:pt idx="225">
                  <c:v>45809</c:v>
                </c:pt>
                <c:pt idx="226">
                  <c:v>45610</c:v>
                </c:pt>
                <c:pt idx="227">
                  <c:v>45215</c:v>
                </c:pt>
                <c:pt idx="228">
                  <c:v>44868</c:v>
                </c:pt>
                <c:pt idx="229">
                  <c:v>42348</c:v>
                </c:pt>
                <c:pt idx="230">
                  <c:v>45246</c:v>
                </c:pt>
                <c:pt idx="231">
                  <c:v>44813</c:v>
                </c:pt>
                <c:pt idx="232">
                  <c:v>45240</c:v>
                </c:pt>
                <c:pt idx="233">
                  <c:v>44385</c:v>
                </c:pt>
                <c:pt idx="234">
                  <c:v>44874</c:v>
                </c:pt>
                <c:pt idx="235">
                  <c:v>42941</c:v>
                </c:pt>
                <c:pt idx="236">
                  <c:v>44273</c:v>
                </c:pt>
                <c:pt idx="237">
                  <c:v>45135</c:v>
                </c:pt>
                <c:pt idx="238">
                  <c:v>45748</c:v>
                </c:pt>
                <c:pt idx="239">
                  <c:v>44460</c:v>
                </c:pt>
                <c:pt idx="240">
                  <c:v>42482</c:v>
                </c:pt>
                <c:pt idx="241">
                  <c:v>42970</c:v>
                </c:pt>
                <c:pt idx="242">
                  <c:v>43931</c:v>
                </c:pt>
                <c:pt idx="243">
                  <c:v>45488</c:v>
                </c:pt>
                <c:pt idx="244">
                  <c:v>45229</c:v>
                </c:pt>
                <c:pt idx="245">
                  <c:v>44044</c:v>
                </c:pt>
                <c:pt idx="246">
                  <c:v>44789</c:v>
                </c:pt>
                <c:pt idx="247">
                  <c:v>45071</c:v>
                </c:pt>
                <c:pt idx="248">
                  <c:v>45098</c:v>
                </c:pt>
                <c:pt idx="249">
                  <c:v>44546</c:v>
                </c:pt>
                <c:pt idx="250">
                  <c:v>45425</c:v>
                </c:pt>
                <c:pt idx="251">
                  <c:v>44237</c:v>
                </c:pt>
                <c:pt idx="252">
                  <c:v>44662</c:v>
                </c:pt>
                <c:pt idx="253">
                  <c:v>45987</c:v>
                </c:pt>
                <c:pt idx="254">
                  <c:v>44294</c:v>
                </c:pt>
                <c:pt idx="255">
                  <c:v>45291</c:v>
                </c:pt>
                <c:pt idx="256">
                  <c:v>45876</c:v>
                </c:pt>
                <c:pt idx="257">
                  <c:v>43605</c:v>
                </c:pt>
                <c:pt idx="258">
                  <c:v>45763</c:v>
                </c:pt>
                <c:pt idx="259">
                  <c:v>45076</c:v>
                </c:pt>
                <c:pt idx="260">
                  <c:v>45955</c:v>
                </c:pt>
                <c:pt idx="261">
                  <c:v>44589</c:v>
                </c:pt>
                <c:pt idx="262">
                  <c:v>44949</c:v>
                </c:pt>
                <c:pt idx="263">
                  <c:v>43707</c:v>
                </c:pt>
                <c:pt idx="264">
                  <c:v>45716</c:v>
                </c:pt>
                <c:pt idx="265">
                  <c:v>44055</c:v>
                </c:pt>
                <c:pt idx="266">
                  <c:v>44120</c:v>
                </c:pt>
                <c:pt idx="267">
                  <c:v>43404</c:v>
                </c:pt>
                <c:pt idx="268">
                  <c:v>44562</c:v>
                </c:pt>
                <c:pt idx="269">
                  <c:v>45505</c:v>
                </c:pt>
                <c:pt idx="270">
                  <c:v>45818</c:v>
                </c:pt>
              </c:numCache>
            </c:numRef>
          </c:xVal>
          <c:yVal>
            <c:numRef>
              <c:f>Bubble_Chart_Setup!$C$3:$C$273</c:f>
              <c:numCache>
                <c:formatCode>General</c:formatCode>
                <c:ptCount val="271"/>
                <c:pt idx="0">
                  <c:v>3.5</c:v>
                </c:pt>
                <c:pt idx="1">
                  <c:v>8</c:v>
                </c:pt>
                <c:pt idx="2">
                  <c:v>2.5</c:v>
                </c:pt>
                <c:pt idx="3">
                  <c:v>650</c:v>
                </c:pt>
                <c:pt idx="4">
                  <c:v>8.41</c:v>
                </c:pt>
                <c:pt idx="5">
                  <c:v>3.09</c:v>
                </c:pt>
                <c:pt idx="6">
                  <c:v>3.12</c:v>
                </c:pt>
                <c:pt idx="7">
                  <c:v>#N/A</c:v>
                </c:pt>
                <c:pt idx="8">
                  <c:v>#N/A</c:v>
                </c:pt>
                <c:pt idx="9">
                  <c:v>#N/A</c:v>
                </c:pt>
                <c:pt idx="10">
                  <c:v>#N/A</c:v>
                </c:pt>
                <c:pt idx="11">
                  <c:v>139</c:v>
                </c:pt>
                <c:pt idx="12">
                  <c:v>95</c:v>
                </c:pt>
                <c:pt idx="13">
                  <c:v>1</c:v>
                </c:pt>
                <c:pt idx="14">
                  <c:v>3.3</c:v>
                </c:pt>
                <c:pt idx="15">
                  <c:v>17.5</c:v>
                </c:pt>
                <c:pt idx="16">
                  <c:v>0.53</c:v>
                </c:pt>
                <c:pt idx="17">
                  <c:v>30</c:v>
                </c:pt>
                <c:pt idx="18">
                  <c:v>3.5</c:v>
                </c:pt>
                <c:pt idx="19">
                  <c:v>#N/A</c:v>
                </c:pt>
                <c:pt idx="20">
                  <c:v>#N/A</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#N/A</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#N/A</c:v>
                </c:pt>
                <c:pt idx="50">
                  <c:v>#N/A</c:v>
                </c:pt>
                <c:pt idx="51">
                  <c:v>84</c:v>
                </c:pt>
                <c:pt idx="52">
                  <c:v>863</c:v>
                </c:pt>
                <c:pt idx="53">
                  <c:v>4</c:v>
                </c:pt>
                <c:pt idx="54">
                  <c:v>#N/A</c:v>
                </c:pt>
                <c:pt idx="55">
                  <c:v>12</c:v>
                </c:pt>
                <c:pt idx="56">
                  <c:v>69.7</c:v>
                </c:pt>
                <c:pt idx="57">
                  <c:v>0.44</c:v>
                </c:pt>
                <c:pt idx="58">
                  <c:v>#N/A</c:v>
                </c:pt>
                <c:pt idx="59">
                  <c:v>30</c:v>
                </c:pt>
                <c:pt idx="60">
                  <c:v>32</c:v>
                </c:pt>
                <c:pt idx="61">
                  <c:v>1</c:v>
                </c:pt>
                <c:pt idx="62">
                  <c:v>10</c:v>
                </c:pt>
                <c:pt idx="63">
                  <c:v>63</c:v>
                </c:pt>
                <c:pt idx="64">
                  <c:v>11</c:v>
                </c:pt>
                <c:pt idx="65">
                  <c:v>1.32</c:v>
                </c:pt>
                <c:pt idx="66">
                  <c:v>35</c:v>
                </c:pt>
                <c:pt idx="67">
                  <c:v>0.18</c:v>
                </c:pt>
                <c:pt idx="68">
                  <c:v>#N/A</c:v>
                </c:pt>
                <c:pt idx="69">
                  <c:v>1.04</c:v>
                </c:pt>
                <c:pt idx="70">
                  <c:v>#N/A</c:v>
                </c:pt>
                <c:pt idx="71">
                  <c:v>#N/A</c:v>
                </c:pt>
                <c:pt idx="72">
                  <c:v>#N/A</c:v>
                </c:pt>
                <c:pt idx="73">
                  <c:v>8</c:v>
                </c:pt>
                <c:pt idx="74">
                  <c:v>#N/A</c:v>
                </c:pt>
                <c:pt idx="75">
                  <c:v>#N/A</c:v>
                </c:pt>
                <c:pt idx="76">
                  <c:v>120</c:v>
                </c:pt>
                <c:pt idx="77">
                  <c:v>1250</c:v>
                </c:pt>
                <c:pt idx="78">
                  <c:v>3.92</c:v>
                </c:pt>
                <c:pt idx="79">
                  <c:v>100</c:v>
                </c:pt>
                <c:pt idx="80">
                  <c:v>10.23</c:v>
                </c:pt>
                <c:pt idx="81">
                  <c:v>#N/A</c:v>
                </c:pt>
                <c:pt idx="82">
                  <c:v>3.1</c:v>
                </c:pt>
                <c:pt idx="83">
                  <c:v>337</c:v>
                </c:pt>
                <c:pt idx="84">
                  <c:v>9.89</c:v>
                </c:pt>
                <c:pt idx="85">
                  <c:v>50</c:v>
                </c:pt>
                <c:pt idx="86">
                  <c:v>#N/A</c:v>
                </c:pt>
                <c:pt idx="87">
                  <c:v>#N/A</c:v>
                </c:pt>
                <c:pt idx="88">
                  <c:v>#N/A</c:v>
                </c:pt>
                <c:pt idx="89">
                  <c:v>9</c:v>
                </c:pt>
                <c:pt idx="90">
                  <c:v>#N/A</c:v>
                </c:pt>
                <c:pt idx="91">
                  <c:v>#N/A</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#N/A</c:v>
                </c:pt>
                <c:pt idx="114">
                  <c:v>17.809999999999999</c:v>
                </c:pt>
                <c:pt idx="115">
                  <c:v>1.24</c:v>
                </c:pt>
                <c:pt idx="116">
                  <c:v>15.48</c:v>
                </c:pt>
                <c:pt idx="117">
                  <c:v>4.16</c:v>
                </c:pt>
                <c:pt idx="118">
                  <c:v>7</c:v>
                </c:pt>
                <c:pt idx="119">
                  <c:v>#N/A</c:v>
                </c:pt>
                <c:pt idx="120">
                  <c:v>0.8</c:v>
                </c:pt>
                <c:pt idx="121">
                  <c:v>2.5</c:v>
                </c:pt>
                <c:pt idx="122">
                  <c:v>3.25</c:v>
                </c:pt>
                <c:pt idx="123">
                  <c:v>#N/A</c:v>
                </c:pt>
                <c:pt idx="124">
                  <c:v>2</c:v>
                </c:pt>
                <c:pt idx="125">
                  <c:v>4.18</c:v>
                </c:pt>
                <c:pt idx="126">
                  <c:v>3.59</c:v>
                </c:pt>
                <c:pt idx="127">
                  <c:v>5.56</c:v>
                </c:pt>
                <c:pt idx="128">
                  <c:v>60</c:v>
                </c:pt>
                <c:pt idx="129">
                  <c:v>15</c:v>
                </c:pt>
                <c:pt idx="130">
                  <c:v>#N/A</c:v>
                </c:pt>
                <c:pt idx="131">
                  <c:v>9.4</c:v>
                </c:pt>
                <c:pt idx="132">
                  <c:v>2.96</c:v>
                </c:pt>
                <c:pt idx="133">
                  <c:v>22.95</c:v>
                </c:pt>
                <c:pt idx="134">
                  <c:v>0.1</c:v>
                </c:pt>
                <c:pt idx="135">
                  <c:v>15.6</c:v>
                </c:pt>
                <c:pt idx="136">
                  <c:v>100</c:v>
                </c:pt>
                <c:pt idx="137">
                  <c:v>#N/A</c:v>
                </c:pt>
                <c:pt idx="138">
                  <c:v>30</c:v>
                </c:pt>
                <c:pt idx="139">
                  <c:v>32.799999999999997</c:v>
                </c:pt>
                <c:pt idx="140">
                  <c:v>20</c:v>
                </c:pt>
                <c:pt idx="141">
                  <c:v>250</c:v>
                </c:pt>
                <c:pt idx="142">
                  <c:v>52.35</c:v>
                </c:pt>
                <c:pt idx="143">
                  <c:v>5.2</c:v>
                </c:pt>
                <c:pt idx="144">
                  <c:v>#N/A</c:v>
                </c:pt>
                <c:pt idx="145">
                  <c:v>0.8</c:v>
                </c:pt>
                <c:pt idx="146">
                  <c:v>15.25</c:v>
                </c:pt>
                <c:pt idx="147">
                  <c:v>34.5</c:v>
                </c:pt>
                <c:pt idx="148">
                  <c:v>#N/A</c:v>
                </c:pt>
                <c:pt idx="149">
                  <c:v>41.59</c:v>
                </c:pt>
                <c:pt idx="150">
                  <c:v>20</c:v>
                </c:pt>
                <c:pt idx="151">
                  <c:v>5</c:v>
                </c:pt>
                <c:pt idx="152">
                  <c:v>28</c:v>
                </c:pt>
                <c:pt idx="153">
                  <c:v>2.4500000000000002</c:v>
                </c:pt>
                <c:pt idx="154">
                  <c:v>20</c:v>
                </c:pt>
                <c:pt idx="155">
                  <c:v>#N/A</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#N/A</c:v>
                </c:pt>
                <c:pt idx="169">
                  <c:v>6</c:v>
                </c:pt>
                <c:pt idx="170">
                  <c:v>0.02</c:v>
                </c:pt>
                <c:pt idx="171">
                  <c:v>20.5</c:v>
                </c:pt>
                <c:pt idx="172">
                  <c:v>4.2</c:v>
                </c:pt>
                <c:pt idx="173">
                  <c:v>#N/A</c:v>
                </c:pt>
                <c:pt idx="174">
                  <c:v>#N/A</c:v>
                </c:pt>
                <c:pt idx="175">
                  <c:v>4.5</c:v>
                </c:pt>
                <c:pt idx="176">
                  <c:v>2</c:v>
                </c:pt>
                <c:pt idx="177">
                  <c:v>14.65</c:v>
                </c:pt>
                <c:pt idx="178">
                  <c:v>3.8</c:v>
                </c:pt>
                <c:pt idx="179">
                  <c:v>34.299999999999997</c:v>
                </c:pt>
                <c:pt idx="180">
                  <c:v>20</c:v>
                </c:pt>
                <c:pt idx="181">
                  <c:v>2.23</c:v>
                </c:pt>
                <c:pt idx="182">
                  <c:v>21</c:v>
                </c:pt>
                <c:pt idx="183">
                  <c:v>#N/A</c:v>
                </c:pt>
                <c:pt idx="184">
                  <c:v>16.63</c:v>
                </c:pt>
                <c:pt idx="185">
                  <c:v>25.32</c:v>
                </c:pt>
                <c:pt idx="186">
                  <c:v>#N/A</c:v>
                </c:pt>
                <c:pt idx="187">
                  <c:v>20</c:v>
                </c:pt>
                <c:pt idx="188">
                  <c:v>#N/A</c:v>
                </c:pt>
                <c:pt idx="189">
                  <c:v>#N/A</c:v>
                </c:pt>
                <c:pt idx="190">
                  <c:v>15</c:v>
                </c:pt>
                <c:pt idx="191">
                  <c:v>27</c:v>
                </c:pt>
                <c:pt idx="192">
                  <c:v>150</c:v>
                </c:pt>
                <c:pt idx="193">
                  <c:v>5.25</c:v>
                </c:pt>
                <c:pt idx="194">
                  <c:v>60</c:v>
                </c:pt>
                <c:pt idx="195">
                  <c:v>#N/A</c:v>
                </c:pt>
                <c:pt idx="196">
                  <c:v>13</c:v>
                </c:pt>
                <c:pt idx="197">
                  <c:v>22</c:v>
                </c:pt>
                <c:pt idx="198">
                  <c:v>95.1</c:v>
                </c:pt>
                <c:pt idx="199">
                  <c:v>300</c:v>
                </c:pt>
                <c:pt idx="200">
                  <c:v>0.5</c:v>
                </c:pt>
                <c:pt idx="201">
                  <c:v>1.75</c:v>
                </c:pt>
                <c:pt idx="202">
                  <c:v>250</c:v>
                </c:pt>
                <c:pt idx="203">
                  <c:v>2</c:v>
                </c:pt>
                <c:pt idx="204">
                  <c:v>#N/A</c:v>
                </c:pt>
                <c:pt idx="205">
                  <c:v>6.5</c:v>
                </c:pt>
                <c:pt idx="206">
                  <c:v>17.350000000000001</c:v>
                </c:pt>
                <c:pt idx="207">
                  <c:v>65</c:v>
                </c:pt>
                <c:pt idx="208">
                  <c:v>0.92</c:v>
                </c:pt>
                <c:pt idx="209">
                  <c:v>12.63</c:v>
                </c:pt>
                <c:pt idx="210">
                  <c:v>30.15</c:v>
                </c:pt>
                <c:pt idx="211">
                  <c:v>0.25</c:v>
                </c:pt>
                <c:pt idx="212">
                  <c:v>15</c:v>
                </c:pt>
                <c:pt idx="213">
                  <c:v>0.51</c:v>
                </c:pt>
                <c:pt idx="214">
                  <c:v>110</c:v>
                </c:pt>
                <c:pt idx="215">
                  <c:v>#N/A</c:v>
                </c:pt>
                <c:pt idx="216">
                  <c:v>11</c:v>
                </c:pt>
                <c:pt idx="217">
                  <c:v>9.66</c:v>
                </c:pt>
                <c:pt idx="218">
                  <c:v>0.85</c:v>
                </c:pt>
                <c:pt idx="219">
                  <c:v>0.95</c:v>
                </c:pt>
                <c:pt idx="220">
                  <c:v>2</c:v>
                </c:pt>
                <c:pt idx="221">
                  <c:v>24.5</c:v>
                </c:pt>
                <c:pt idx="222">
                  <c:v>6</c:v>
                </c:pt>
                <c:pt idx="223">
                  <c:v>2.1800000000000002</c:v>
                </c:pt>
                <c:pt idx="224">
                  <c:v>#N/A</c:v>
                </c:pt>
                <c:pt idx="225">
                  <c:v>#N/A</c:v>
                </c:pt>
                <c:pt idx="226">
                  <c:v>54</c:v>
                </c:pt>
                <c:pt idx="227">
                  <c:v>48</c:v>
                </c:pt>
                <c:pt idx="228">
                  <c:v>830</c:v>
                </c:pt>
                <c:pt idx="229">
                  <c:v>2.1</c:v>
                </c:pt>
                <c:pt idx="230">
                  <c:v>4.1500000000000004</c:v>
                </c:pt>
                <c:pt idx="231">
                  <c:v>4.67</c:v>
                </c:pt>
                <c:pt idx="232">
                  <c:v>0.61</c:v>
                </c:pt>
                <c:pt idx="233">
                  <c:v>29</c:v>
                </c:pt>
                <c:pt idx="234">
                  <c:v>#N/A</c:v>
                </c:pt>
                <c:pt idx="235">
                  <c:v>15</c:v>
                </c:pt>
                <c:pt idx="236">
                  <c:v>8</c:v>
                </c:pt>
                <c:pt idx="237">
                  <c:v>15</c:v>
                </c:pt>
                <c:pt idx="238">
                  <c:v>#N/A</c:v>
                </c:pt>
                <c:pt idx="239">
                  <c:v>#N/A</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#N/A</c:v>
                </c:pt>
                <c:pt idx="253">
                  <c:v>28.59</c:v>
                </c:pt>
                <c:pt idx="254">
                  <c:v>1.3</c:v>
                </c:pt>
                <c:pt idx="255">
                  <c:v>1.86</c:v>
                </c:pt>
                <c:pt idx="256">
                  <c:v>65</c:v>
                </c:pt>
                <c:pt idx="257">
                  <c:v>#N/A</c:v>
                </c:pt>
                <c:pt idx="258">
                  <c:v>8</c:v>
                </c:pt>
                <c:pt idx="259">
                  <c:v>7.5</c:v>
                </c:pt>
                <c:pt idx="260">
                  <c:v>4.9000000000000004</c:v>
                </c:pt>
                <c:pt idx="261">
                  <c:v>100</c:v>
                </c:pt>
                <c:pt idx="262">
                  <c:v>#N/A</c:v>
                </c:pt>
                <c:pt idx="263">
                  <c:v>11.45</c:v>
                </c:pt>
                <c:pt idx="264">
                  <c:v>13</c:v>
                </c:pt>
                <c:pt idx="265">
                  <c:v>6.5</c:v>
                </c:pt>
                <c:pt idx="266">
                  <c:v>0.75</c:v>
                </c:pt>
                <c:pt idx="267">
                  <c:v>0.63</c:v>
                </c:pt>
                <c:pt idx="268">
                  <c:v>0.35</c:v>
                </c:pt>
                <c:pt idx="269">
                  <c:v>#N/A</c:v>
                </c:pt>
                <c:pt idx="270">
                  <c:v>25.76</c:v>
                </c:pt>
              </c:numCache>
            </c:numRef>
          </c:yVal>
          <c:bubbleSize>
            <c:numRef>
              <c:f>Bubble_Chart_Setup!$D$3:$D$273</c:f>
              <c:numCache>
                <c:formatCode>General</c:formatCode>
                <c:ptCount val="271"/>
                <c:pt idx="0">
                  <c:v>3.5</c:v>
                </c:pt>
                <c:pt idx="1">
                  <c:v>8</c:v>
                </c:pt>
                <c:pt idx="2">
                  <c:v>2.5</c:v>
                </c:pt>
                <c:pt idx="3">
                  <c:v>650</c:v>
                </c:pt>
                <c:pt idx="4">
                  <c:v>8.41</c:v>
                </c:pt>
                <c:pt idx="5">
                  <c:v>3.09</c:v>
                </c:pt>
                <c:pt idx="6">
                  <c:v>3.12</c:v>
                </c:pt>
                <c:pt idx="7">
                  <c:v>0</c:v>
                </c:pt>
                <c:pt idx="8">
                  <c:v>0</c:v>
                </c:pt>
                <c:pt idx="9">
                  <c:v>0</c:v>
                </c:pt>
                <c:pt idx="10">
                  <c:v>0</c:v>
                </c:pt>
                <c:pt idx="11">
                  <c:v>139</c:v>
                </c:pt>
                <c:pt idx="12">
                  <c:v>95</c:v>
                </c:pt>
                <c:pt idx="13">
                  <c:v>1</c:v>
                </c:pt>
                <c:pt idx="14">
                  <c:v>3.3</c:v>
                </c:pt>
                <c:pt idx="15">
                  <c:v>17.5</c:v>
                </c:pt>
                <c:pt idx="16">
                  <c:v>0.53</c:v>
                </c:pt>
                <c:pt idx="17">
                  <c:v>30</c:v>
                </c:pt>
                <c:pt idx="18">
                  <c:v>3.5</c:v>
                </c:pt>
                <c:pt idx="19">
                  <c:v>0</c:v>
                </c:pt>
                <c:pt idx="20">
                  <c:v>0</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0</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0</c:v>
                </c:pt>
                <c:pt idx="50">
                  <c:v>0</c:v>
                </c:pt>
                <c:pt idx="51">
                  <c:v>84</c:v>
                </c:pt>
                <c:pt idx="52">
                  <c:v>863</c:v>
                </c:pt>
                <c:pt idx="53">
                  <c:v>4</c:v>
                </c:pt>
                <c:pt idx="54">
                  <c:v>0</c:v>
                </c:pt>
                <c:pt idx="55">
                  <c:v>12</c:v>
                </c:pt>
                <c:pt idx="56">
                  <c:v>69.7</c:v>
                </c:pt>
                <c:pt idx="57">
                  <c:v>0.44</c:v>
                </c:pt>
                <c:pt idx="58">
                  <c:v>0</c:v>
                </c:pt>
                <c:pt idx="59">
                  <c:v>30</c:v>
                </c:pt>
                <c:pt idx="60">
                  <c:v>32</c:v>
                </c:pt>
                <c:pt idx="61">
                  <c:v>1</c:v>
                </c:pt>
                <c:pt idx="62">
                  <c:v>10</c:v>
                </c:pt>
                <c:pt idx="63">
                  <c:v>63</c:v>
                </c:pt>
                <c:pt idx="64">
                  <c:v>11</c:v>
                </c:pt>
                <c:pt idx="65">
                  <c:v>1.32</c:v>
                </c:pt>
                <c:pt idx="66">
                  <c:v>35</c:v>
                </c:pt>
                <c:pt idx="67">
                  <c:v>0.18</c:v>
                </c:pt>
                <c:pt idx="68">
                  <c:v>0</c:v>
                </c:pt>
                <c:pt idx="69">
                  <c:v>1.04</c:v>
                </c:pt>
                <c:pt idx="70">
                  <c:v>0</c:v>
                </c:pt>
                <c:pt idx="71">
                  <c:v>0</c:v>
                </c:pt>
                <c:pt idx="72">
                  <c:v>0</c:v>
                </c:pt>
                <c:pt idx="73">
                  <c:v>8</c:v>
                </c:pt>
                <c:pt idx="74">
                  <c:v>0</c:v>
                </c:pt>
                <c:pt idx="75">
                  <c:v>0</c:v>
                </c:pt>
                <c:pt idx="76">
                  <c:v>120</c:v>
                </c:pt>
                <c:pt idx="77">
                  <c:v>1250</c:v>
                </c:pt>
                <c:pt idx="78">
                  <c:v>3.92</c:v>
                </c:pt>
                <c:pt idx="79">
                  <c:v>100</c:v>
                </c:pt>
                <c:pt idx="80">
                  <c:v>10.23</c:v>
                </c:pt>
                <c:pt idx="81">
                  <c:v>0</c:v>
                </c:pt>
                <c:pt idx="82">
                  <c:v>3.1</c:v>
                </c:pt>
                <c:pt idx="83">
                  <c:v>337</c:v>
                </c:pt>
                <c:pt idx="84">
                  <c:v>9.89</c:v>
                </c:pt>
                <c:pt idx="85">
                  <c:v>50</c:v>
                </c:pt>
                <c:pt idx="86">
                  <c:v>0</c:v>
                </c:pt>
                <c:pt idx="87">
                  <c:v>0</c:v>
                </c:pt>
                <c:pt idx="88">
                  <c:v>0</c:v>
                </c:pt>
                <c:pt idx="89">
                  <c:v>9</c:v>
                </c:pt>
                <c:pt idx="90">
                  <c:v>0</c:v>
                </c:pt>
                <c:pt idx="91">
                  <c:v>0</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0</c:v>
                </c:pt>
                <c:pt idx="114">
                  <c:v>17.809999999999999</c:v>
                </c:pt>
                <c:pt idx="115">
                  <c:v>1.24</c:v>
                </c:pt>
                <c:pt idx="116">
                  <c:v>15.48</c:v>
                </c:pt>
                <c:pt idx="117">
                  <c:v>4.16</c:v>
                </c:pt>
                <c:pt idx="118">
                  <c:v>7</c:v>
                </c:pt>
                <c:pt idx="119">
                  <c:v>0</c:v>
                </c:pt>
                <c:pt idx="120">
                  <c:v>0.8</c:v>
                </c:pt>
                <c:pt idx="121">
                  <c:v>2.5</c:v>
                </c:pt>
                <c:pt idx="122">
                  <c:v>3.25</c:v>
                </c:pt>
                <c:pt idx="123">
                  <c:v>0</c:v>
                </c:pt>
                <c:pt idx="124">
                  <c:v>2</c:v>
                </c:pt>
                <c:pt idx="125">
                  <c:v>4.18</c:v>
                </c:pt>
                <c:pt idx="126">
                  <c:v>3.59</c:v>
                </c:pt>
                <c:pt idx="127">
                  <c:v>5.56</c:v>
                </c:pt>
                <c:pt idx="128">
                  <c:v>60</c:v>
                </c:pt>
                <c:pt idx="129">
                  <c:v>15</c:v>
                </c:pt>
                <c:pt idx="130">
                  <c:v>0</c:v>
                </c:pt>
                <c:pt idx="131">
                  <c:v>9.4</c:v>
                </c:pt>
                <c:pt idx="132">
                  <c:v>2.96</c:v>
                </c:pt>
                <c:pt idx="133">
                  <c:v>22.95</c:v>
                </c:pt>
                <c:pt idx="134">
                  <c:v>0.1</c:v>
                </c:pt>
                <c:pt idx="135">
                  <c:v>15.6</c:v>
                </c:pt>
                <c:pt idx="136">
                  <c:v>100</c:v>
                </c:pt>
                <c:pt idx="137">
                  <c:v>0</c:v>
                </c:pt>
                <c:pt idx="138">
                  <c:v>30</c:v>
                </c:pt>
                <c:pt idx="139">
                  <c:v>32.799999999999997</c:v>
                </c:pt>
                <c:pt idx="140">
                  <c:v>20</c:v>
                </c:pt>
                <c:pt idx="141">
                  <c:v>250</c:v>
                </c:pt>
                <c:pt idx="142">
                  <c:v>52.35</c:v>
                </c:pt>
                <c:pt idx="143">
                  <c:v>5.2</c:v>
                </c:pt>
                <c:pt idx="144">
                  <c:v>0</c:v>
                </c:pt>
                <c:pt idx="145">
                  <c:v>0.8</c:v>
                </c:pt>
                <c:pt idx="146">
                  <c:v>15.25</c:v>
                </c:pt>
                <c:pt idx="147">
                  <c:v>34.5</c:v>
                </c:pt>
                <c:pt idx="148">
                  <c:v>0</c:v>
                </c:pt>
                <c:pt idx="149">
                  <c:v>41.59</c:v>
                </c:pt>
                <c:pt idx="150">
                  <c:v>20</c:v>
                </c:pt>
                <c:pt idx="151">
                  <c:v>5</c:v>
                </c:pt>
                <c:pt idx="152">
                  <c:v>28</c:v>
                </c:pt>
                <c:pt idx="153">
                  <c:v>2.4500000000000002</c:v>
                </c:pt>
                <c:pt idx="154">
                  <c:v>20</c:v>
                </c:pt>
                <c:pt idx="155">
                  <c:v>0</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0</c:v>
                </c:pt>
                <c:pt idx="169">
                  <c:v>6</c:v>
                </c:pt>
                <c:pt idx="170">
                  <c:v>0.02</c:v>
                </c:pt>
                <c:pt idx="171">
                  <c:v>20.5</c:v>
                </c:pt>
                <c:pt idx="172">
                  <c:v>4.2</c:v>
                </c:pt>
                <c:pt idx="173">
                  <c:v>0</c:v>
                </c:pt>
                <c:pt idx="174">
                  <c:v>0</c:v>
                </c:pt>
                <c:pt idx="175">
                  <c:v>4.5</c:v>
                </c:pt>
                <c:pt idx="176">
                  <c:v>2</c:v>
                </c:pt>
                <c:pt idx="177">
                  <c:v>14.65</c:v>
                </c:pt>
                <c:pt idx="178">
                  <c:v>3.8</c:v>
                </c:pt>
                <c:pt idx="179">
                  <c:v>34.299999999999997</c:v>
                </c:pt>
                <c:pt idx="180">
                  <c:v>20</c:v>
                </c:pt>
                <c:pt idx="181">
                  <c:v>2.23</c:v>
                </c:pt>
                <c:pt idx="182">
                  <c:v>21</c:v>
                </c:pt>
                <c:pt idx="183">
                  <c:v>0</c:v>
                </c:pt>
                <c:pt idx="184">
                  <c:v>16.63</c:v>
                </c:pt>
                <c:pt idx="185">
                  <c:v>25.32</c:v>
                </c:pt>
                <c:pt idx="186">
                  <c:v>0</c:v>
                </c:pt>
                <c:pt idx="187">
                  <c:v>20</c:v>
                </c:pt>
                <c:pt idx="188">
                  <c:v>0</c:v>
                </c:pt>
                <c:pt idx="189">
                  <c:v>0</c:v>
                </c:pt>
                <c:pt idx="190">
                  <c:v>15</c:v>
                </c:pt>
                <c:pt idx="191">
                  <c:v>27</c:v>
                </c:pt>
                <c:pt idx="192">
                  <c:v>150</c:v>
                </c:pt>
                <c:pt idx="193">
                  <c:v>5.25</c:v>
                </c:pt>
                <c:pt idx="194">
                  <c:v>60</c:v>
                </c:pt>
                <c:pt idx="195">
                  <c:v>0</c:v>
                </c:pt>
                <c:pt idx="196">
                  <c:v>13</c:v>
                </c:pt>
                <c:pt idx="197">
                  <c:v>22</c:v>
                </c:pt>
                <c:pt idx="198">
                  <c:v>95.1</c:v>
                </c:pt>
                <c:pt idx="199">
                  <c:v>300</c:v>
                </c:pt>
                <c:pt idx="200">
                  <c:v>0.5</c:v>
                </c:pt>
                <c:pt idx="201">
                  <c:v>1.75</c:v>
                </c:pt>
                <c:pt idx="202">
                  <c:v>250</c:v>
                </c:pt>
                <c:pt idx="203">
                  <c:v>2</c:v>
                </c:pt>
                <c:pt idx="204">
                  <c:v>0</c:v>
                </c:pt>
                <c:pt idx="205">
                  <c:v>6.5</c:v>
                </c:pt>
                <c:pt idx="206">
                  <c:v>17.350000000000001</c:v>
                </c:pt>
                <c:pt idx="207">
                  <c:v>65</c:v>
                </c:pt>
                <c:pt idx="208">
                  <c:v>0.92</c:v>
                </c:pt>
                <c:pt idx="209">
                  <c:v>12.63</c:v>
                </c:pt>
                <c:pt idx="210">
                  <c:v>30.15</c:v>
                </c:pt>
                <c:pt idx="211">
                  <c:v>0.25</c:v>
                </c:pt>
                <c:pt idx="212">
                  <c:v>15</c:v>
                </c:pt>
                <c:pt idx="213">
                  <c:v>0.51</c:v>
                </c:pt>
                <c:pt idx="214">
                  <c:v>110</c:v>
                </c:pt>
                <c:pt idx="215">
                  <c:v>0</c:v>
                </c:pt>
                <c:pt idx="216">
                  <c:v>11</c:v>
                </c:pt>
                <c:pt idx="217">
                  <c:v>9.66</c:v>
                </c:pt>
                <c:pt idx="218">
                  <c:v>0.85</c:v>
                </c:pt>
                <c:pt idx="219">
                  <c:v>0.95</c:v>
                </c:pt>
                <c:pt idx="220">
                  <c:v>2</c:v>
                </c:pt>
                <c:pt idx="221">
                  <c:v>24.5</c:v>
                </c:pt>
                <c:pt idx="222">
                  <c:v>6</c:v>
                </c:pt>
                <c:pt idx="223">
                  <c:v>2.1800000000000002</c:v>
                </c:pt>
                <c:pt idx="224">
                  <c:v>0</c:v>
                </c:pt>
                <c:pt idx="225">
                  <c:v>0</c:v>
                </c:pt>
                <c:pt idx="226">
                  <c:v>54</c:v>
                </c:pt>
                <c:pt idx="227">
                  <c:v>48</c:v>
                </c:pt>
                <c:pt idx="228">
                  <c:v>830</c:v>
                </c:pt>
                <c:pt idx="229">
                  <c:v>2.1</c:v>
                </c:pt>
                <c:pt idx="230">
                  <c:v>4.1500000000000004</c:v>
                </c:pt>
                <c:pt idx="231">
                  <c:v>4.67</c:v>
                </c:pt>
                <c:pt idx="232">
                  <c:v>0.61</c:v>
                </c:pt>
                <c:pt idx="233">
                  <c:v>29</c:v>
                </c:pt>
                <c:pt idx="234">
                  <c:v>0</c:v>
                </c:pt>
                <c:pt idx="235">
                  <c:v>15</c:v>
                </c:pt>
                <c:pt idx="236">
                  <c:v>8</c:v>
                </c:pt>
                <c:pt idx="237">
                  <c:v>15</c:v>
                </c:pt>
                <c:pt idx="238">
                  <c:v>0</c:v>
                </c:pt>
                <c:pt idx="239">
                  <c:v>0</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0</c:v>
                </c:pt>
                <c:pt idx="253">
                  <c:v>28.59</c:v>
                </c:pt>
                <c:pt idx="254">
                  <c:v>1.3</c:v>
                </c:pt>
                <c:pt idx="255">
                  <c:v>1.86</c:v>
                </c:pt>
                <c:pt idx="256">
                  <c:v>65</c:v>
                </c:pt>
                <c:pt idx="257">
                  <c:v>0</c:v>
                </c:pt>
                <c:pt idx="258">
                  <c:v>8</c:v>
                </c:pt>
                <c:pt idx="259">
                  <c:v>7.5</c:v>
                </c:pt>
                <c:pt idx="260">
                  <c:v>4.9000000000000004</c:v>
                </c:pt>
                <c:pt idx="261">
                  <c:v>100</c:v>
                </c:pt>
                <c:pt idx="262">
                  <c:v>0</c:v>
                </c:pt>
                <c:pt idx="263">
                  <c:v>11.45</c:v>
                </c:pt>
                <c:pt idx="264">
                  <c:v>13</c:v>
                </c:pt>
                <c:pt idx="265">
                  <c:v>6.5</c:v>
                </c:pt>
                <c:pt idx="266">
                  <c:v>0.75</c:v>
                </c:pt>
                <c:pt idx="267">
                  <c:v>0.63</c:v>
                </c:pt>
                <c:pt idx="268">
                  <c:v>0.35</c:v>
                </c:pt>
                <c:pt idx="269">
                  <c:v>0</c:v>
                </c:pt>
                <c:pt idx="270">
                  <c:v>25.76</c:v>
                </c:pt>
              </c:numCache>
            </c:numRef>
          </c:bubbleSize>
          <c:bubble3D val="0"/>
          <c:extLst>
            <c:ext xmlns:c16="http://schemas.microsoft.com/office/drawing/2014/chart" uri="{C3380CC4-5D6E-409C-BE32-E72D297353CC}">
              <c16:uniqueId val="{00000000-06C5-4A4A-B2F6-61B966DA9C7F}"/>
            </c:ext>
          </c:extLst>
        </c:ser>
        <c:dLbls>
          <c:showLegendKey val="0"/>
          <c:showVal val="0"/>
          <c:showCatName val="0"/>
          <c:showSerName val="0"/>
          <c:showPercent val="0"/>
          <c:showBubbleSize val="0"/>
        </c:dLbls>
        <c:bubbleScale val="100"/>
        <c:showNegBubbles val="0"/>
        <c:axId val="1232958479"/>
        <c:axId val="1232944079"/>
      </c:bubbleChart>
      <c:valAx>
        <c:axId val="1232958479"/>
        <c:scaling>
          <c:orientation val="minMax"/>
          <c:max val="46100"/>
          <c:min val="41800"/>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44079"/>
        <c:crosses val="autoZero"/>
        <c:crossBetween val="midCat"/>
        <c:majorUnit val="700"/>
      </c:valAx>
      <c:valAx>
        <c:axId val="1232944079"/>
        <c:scaling>
          <c:orientation val="minMax"/>
          <c:min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58479"/>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t>Average &amp; Median Deal Size by Sector</a:t>
            </a:r>
          </a:p>
          <a:p>
            <a:pPr>
              <a:defRPr sz="1200"/>
            </a:pPr>
            <a:r>
              <a:rPr lang="en-US" sz="1200" i="1"/>
              <a:t>(USD MM)</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1"/>
          <c:tx>
            <c:strRef>
              <c:f>Outputs!$B$9</c:f>
              <c:strCache>
                <c:ptCount val="1"/>
                <c:pt idx="0">
                  <c:v>Average</c:v>
                </c:pt>
              </c:strCache>
            </c:strRef>
          </c:tx>
          <c:spPr>
            <a:solidFill>
              <a:schemeClr val="accent3">
                <a:shade val="76000"/>
              </a:schemeClr>
            </a:solidFill>
            <a:ln>
              <a:noFill/>
            </a:ln>
            <a:effectLst/>
          </c:spPr>
          <c:invertIfNegative val="0"/>
          <c:cat>
            <c:strRef>
              <c:f>Outputs!$C$6:$K$6</c:f>
              <c:strCache>
                <c:ptCount val="9"/>
                <c:pt idx="0">
                  <c:v>Overall</c:v>
                </c:pt>
                <c:pt idx="1">
                  <c:v>Renewables</c:v>
                </c:pt>
                <c:pt idx="2">
                  <c:v>LDES</c:v>
                </c:pt>
                <c:pt idx="3">
                  <c:v>Hydrogen</c:v>
                </c:pt>
                <c:pt idx="4">
                  <c:v>CDR</c:v>
                </c:pt>
                <c:pt idx="5">
                  <c:v>Industrial Decarbonization</c:v>
                </c:pt>
                <c:pt idx="6">
                  <c:v>Buildings</c:v>
                </c:pt>
                <c:pt idx="7">
                  <c:v>Mobility</c:v>
                </c:pt>
                <c:pt idx="8">
                  <c:v>Food&amp;Ag</c:v>
                </c:pt>
              </c:strCache>
            </c:strRef>
          </c:cat>
          <c:val>
            <c:numRef>
              <c:f>Outputs!$C$9:$K$9</c:f>
              <c:numCache>
                <c:formatCode>_("$"* #,##0.00_);_("$"* \(#,##0.00\);_("$"* "-"??_);_(@_)</c:formatCode>
                <c:ptCount val="9"/>
                <c:pt idx="0">
                  <c:v>46.603981900452496</c:v>
                </c:pt>
                <c:pt idx="1">
                  <c:v>88.74733333333333</c:v>
                </c:pt>
                <c:pt idx="2">
                  <c:v>19.469000000000001</c:v>
                </c:pt>
                <c:pt idx="3">
                  <c:v>51.111923076923077</c:v>
                </c:pt>
                <c:pt idx="4">
                  <c:v>51.502499999999998</c:v>
                </c:pt>
                <c:pt idx="5">
                  <c:v>26.962093023255818</c:v>
                </c:pt>
                <c:pt idx="6">
                  <c:v>12.103333333333333</c:v>
                </c:pt>
                <c:pt idx="7">
                  <c:v>81.478999999999999</c:v>
                </c:pt>
                <c:pt idx="8">
                  <c:v>26.019459459459458</c:v>
                </c:pt>
              </c:numCache>
            </c:numRef>
          </c:val>
          <c:extLst>
            <c:ext xmlns:c16="http://schemas.microsoft.com/office/drawing/2014/chart" uri="{C3380CC4-5D6E-409C-BE32-E72D297353CC}">
              <c16:uniqueId val="{00000000-76C4-4A60-A155-B9BB43798893}"/>
            </c:ext>
          </c:extLst>
        </c:ser>
        <c:dLbls>
          <c:showLegendKey val="0"/>
          <c:showVal val="0"/>
          <c:showCatName val="0"/>
          <c:showSerName val="0"/>
          <c:showPercent val="0"/>
          <c:showBubbleSize val="0"/>
        </c:dLbls>
        <c:gapWidth val="219"/>
        <c:axId val="10355023"/>
        <c:axId val="10350223"/>
      </c:barChart>
      <c:lineChart>
        <c:grouping val="stacked"/>
        <c:varyColors val="0"/>
        <c:ser>
          <c:idx val="0"/>
          <c:order val="0"/>
          <c:tx>
            <c:strRef>
              <c:f>Outputs!$B$8</c:f>
              <c:strCache>
                <c:ptCount val="1"/>
                <c:pt idx="0">
                  <c:v>Median</c:v>
                </c:pt>
              </c:strCache>
            </c:strRef>
          </c:tx>
          <c:spPr>
            <a:ln w="28575" cap="rnd">
              <a:solidFill>
                <a:schemeClr val="accent3">
                  <a:tint val="77000"/>
                </a:schemeClr>
              </a:solidFill>
              <a:round/>
            </a:ln>
            <a:effectLst/>
          </c:spPr>
          <c:marker>
            <c:symbol val="none"/>
          </c:marker>
          <c:cat>
            <c:strRef>
              <c:f>Outputs!$C$6:$K$6</c:f>
              <c:strCache>
                <c:ptCount val="9"/>
                <c:pt idx="0">
                  <c:v>Overall</c:v>
                </c:pt>
                <c:pt idx="1">
                  <c:v>Renewables</c:v>
                </c:pt>
                <c:pt idx="2">
                  <c:v>LDES</c:v>
                </c:pt>
                <c:pt idx="3">
                  <c:v>Hydrogen</c:v>
                </c:pt>
                <c:pt idx="4">
                  <c:v>CDR</c:v>
                </c:pt>
                <c:pt idx="5">
                  <c:v>Industrial Decarbonization</c:v>
                </c:pt>
                <c:pt idx="6">
                  <c:v>Buildings</c:v>
                </c:pt>
                <c:pt idx="7">
                  <c:v>Mobility</c:v>
                </c:pt>
                <c:pt idx="8">
                  <c:v>Food&amp;Ag</c:v>
                </c:pt>
              </c:strCache>
            </c:strRef>
          </c:cat>
          <c:val>
            <c:numRef>
              <c:f>Outputs!$C$8:$K$8</c:f>
              <c:numCache>
                <c:formatCode>_("$"* #,##0.00_);_("$"* \(#,##0.00\);_("$"* "-"??_);_(@_)</c:formatCode>
                <c:ptCount val="9"/>
                <c:pt idx="0">
                  <c:v>9.89</c:v>
                </c:pt>
                <c:pt idx="1">
                  <c:v>13</c:v>
                </c:pt>
                <c:pt idx="2">
                  <c:v>6.5</c:v>
                </c:pt>
                <c:pt idx="3">
                  <c:v>12.5</c:v>
                </c:pt>
                <c:pt idx="4">
                  <c:v>39</c:v>
                </c:pt>
                <c:pt idx="5">
                  <c:v>6.7</c:v>
                </c:pt>
                <c:pt idx="6">
                  <c:v>7.75</c:v>
                </c:pt>
                <c:pt idx="7">
                  <c:v>8.9749999999999996</c:v>
                </c:pt>
                <c:pt idx="8">
                  <c:v>8</c:v>
                </c:pt>
              </c:numCache>
            </c:numRef>
          </c:val>
          <c:smooth val="0"/>
          <c:extLst>
            <c:ext xmlns:c16="http://schemas.microsoft.com/office/drawing/2014/chart" uri="{C3380CC4-5D6E-409C-BE32-E72D297353CC}">
              <c16:uniqueId val="{00000001-76C4-4A60-A155-B9BB43798893}"/>
            </c:ext>
          </c:extLst>
        </c:ser>
        <c:dLbls>
          <c:showLegendKey val="0"/>
          <c:showVal val="0"/>
          <c:showCatName val="0"/>
          <c:showSerName val="0"/>
          <c:showPercent val="0"/>
          <c:showBubbleSize val="0"/>
        </c:dLbls>
        <c:marker val="1"/>
        <c:smooth val="0"/>
        <c:axId val="10355023"/>
        <c:axId val="10350223"/>
      </c:lineChart>
      <c:catAx>
        <c:axId val="1035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0350223"/>
        <c:crosses val="autoZero"/>
        <c:auto val="1"/>
        <c:lblAlgn val="ctr"/>
        <c:lblOffset val="100"/>
        <c:noMultiLvlLbl val="0"/>
      </c:catAx>
      <c:valAx>
        <c:axId val="103502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0355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t>Deal Count &amp; Median Deal Size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cked"/>
        <c:varyColors val="0"/>
        <c:ser>
          <c:idx val="0"/>
          <c:order val="0"/>
          <c:tx>
            <c:strRef>
              <c:f>Outputs!$B$25</c:f>
              <c:strCache>
                <c:ptCount val="1"/>
                <c:pt idx="0">
                  <c:v>Deal Count</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Outputs!$C$25:$L$25</c:f>
              <c:numCache>
                <c:formatCode>General</c:formatCode>
                <c:ptCount val="10"/>
                <c:pt idx="0">
                  <c:v>5</c:v>
                </c:pt>
                <c:pt idx="1">
                  <c:v>10</c:v>
                </c:pt>
                <c:pt idx="2">
                  <c:v>9</c:v>
                </c:pt>
                <c:pt idx="3">
                  <c:v>13</c:v>
                </c:pt>
                <c:pt idx="4">
                  <c:v>16</c:v>
                </c:pt>
                <c:pt idx="5">
                  <c:v>22</c:v>
                </c:pt>
                <c:pt idx="6">
                  <c:v>47</c:v>
                </c:pt>
                <c:pt idx="7">
                  <c:v>45</c:v>
                </c:pt>
                <c:pt idx="8">
                  <c:v>39</c:v>
                </c:pt>
                <c:pt idx="9">
                  <c:v>35</c:v>
                </c:pt>
              </c:numCache>
            </c:numRef>
          </c:val>
          <c:smooth val="0"/>
          <c:extLst>
            <c:ext xmlns:c16="http://schemas.microsoft.com/office/drawing/2014/chart" uri="{C3380CC4-5D6E-409C-BE32-E72D297353CC}">
              <c16:uniqueId val="{00000000-676E-443C-A183-6B2515AA184C}"/>
            </c:ext>
          </c:extLst>
        </c:ser>
        <c:dLbls>
          <c:showLegendKey val="0"/>
          <c:showVal val="0"/>
          <c:showCatName val="0"/>
          <c:showSerName val="0"/>
          <c:showPercent val="0"/>
          <c:showBubbleSize val="0"/>
        </c:dLbls>
        <c:marker val="1"/>
        <c:smooth val="0"/>
        <c:axId val="10456783"/>
        <c:axId val="10445743"/>
      </c:lineChart>
      <c:lineChart>
        <c:grouping val="stacked"/>
        <c:varyColors val="0"/>
        <c:ser>
          <c:idx val="1"/>
          <c:order val="1"/>
          <c:tx>
            <c:strRef>
              <c:f>Outputs!$B$26</c:f>
              <c:strCache>
                <c:ptCount val="1"/>
                <c:pt idx="0">
                  <c:v>Median Deal Size</c:v>
                </c:pt>
              </c:strCache>
            </c:strRef>
          </c:tx>
          <c:spPr>
            <a:ln w="28575" cap="rnd">
              <a:solidFill>
                <a:schemeClr val="accent3">
                  <a:tint val="77000"/>
                </a:schemeClr>
              </a:solidFill>
              <a:round/>
            </a:ln>
            <a:effectLst/>
          </c:spPr>
          <c:marker>
            <c:symbol val="none"/>
          </c:marker>
          <c:cat>
            <c:numRef>
              <c:f>Outputs!$C$23:$M$23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Outputs!$C$26:$L$26</c:f>
              <c:numCache>
                <c:formatCode>_("$"* #,##0.00_);_("$"* \(#,##0.00\);_("$"* "-"??_);_(@_)</c:formatCode>
                <c:ptCount val="10"/>
                <c:pt idx="0">
                  <c:v>11</c:v>
                </c:pt>
                <c:pt idx="1">
                  <c:v>4.92</c:v>
                </c:pt>
                <c:pt idx="2">
                  <c:v>3.92</c:v>
                </c:pt>
                <c:pt idx="3">
                  <c:v>5.25</c:v>
                </c:pt>
                <c:pt idx="4">
                  <c:v>6.51</c:v>
                </c:pt>
                <c:pt idx="5">
                  <c:v>12</c:v>
                </c:pt>
                <c:pt idx="6">
                  <c:v>7</c:v>
                </c:pt>
                <c:pt idx="7">
                  <c:v>5.125</c:v>
                </c:pt>
                <c:pt idx="8">
                  <c:v>12</c:v>
                </c:pt>
                <c:pt idx="9">
                  <c:v>15</c:v>
                </c:pt>
              </c:numCache>
            </c:numRef>
          </c:val>
          <c:smooth val="0"/>
          <c:extLst>
            <c:ext xmlns:c16="http://schemas.microsoft.com/office/drawing/2014/chart" uri="{C3380CC4-5D6E-409C-BE32-E72D297353CC}">
              <c16:uniqueId val="{00000001-676E-443C-A183-6B2515AA184C}"/>
            </c:ext>
          </c:extLst>
        </c:ser>
        <c:dLbls>
          <c:showLegendKey val="0"/>
          <c:showVal val="0"/>
          <c:showCatName val="0"/>
          <c:showSerName val="0"/>
          <c:showPercent val="0"/>
          <c:showBubbleSize val="0"/>
        </c:dLbls>
        <c:marker val="1"/>
        <c:smooth val="0"/>
        <c:axId val="10355503"/>
        <c:axId val="10358383"/>
      </c:lineChart>
      <c:catAx>
        <c:axId val="1045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445743"/>
        <c:crosses val="autoZero"/>
        <c:auto val="1"/>
        <c:lblAlgn val="ctr"/>
        <c:lblOffset val="100"/>
        <c:noMultiLvlLbl val="0"/>
      </c:catAx>
      <c:valAx>
        <c:axId val="104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456783"/>
        <c:crosses val="autoZero"/>
        <c:crossBetween val="between"/>
      </c:valAx>
      <c:valAx>
        <c:axId val="10358383"/>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355503"/>
        <c:crosses val="max"/>
        <c:crossBetween val="between"/>
      </c:valAx>
      <c:catAx>
        <c:axId val="10355503"/>
        <c:scaling>
          <c:orientation val="minMax"/>
        </c:scaling>
        <c:delete val="1"/>
        <c:axPos val="b"/>
        <c:numFmt formatCode="General" sourceLinked="1"/>
        <c:majorTickMark val="out"/>
        <c:minorTickMark val="none"/>
        <c:tickLblPos val="nextTo"/>
        <c:crossAx val="103583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bubbleChart>
        <c:varyColors val="0"/>
        <c:ser>
          <c:idx val="0"/>
          <c:order val="0"/>
          <c:tx>
            <c:strRef>
              <c:f>Bubble_Chart_Setup!$C$2</c:f>
              <c:strCache>
                <c:ptCount val="1"/>
                <c:pt idx="0">
                  <c:v>Deal Size</c:v>
                </c:pt>
              </c:strCache>
            </c:strRef>
          </c:tx>
          <c:spPr>
            <a:solidFill>
              <a:schemeClr val="accent1">
                <a:alpha val="75000"/>
              </a:schemeClr>
            </a:solidFill>
            <a:ln>
              <a:noFill/>
            </a:ln>
            <a:effectLst/>
          </c:spPr>
          <c:invertIfNegative val="0"/>
          <c:xVal>
            <c:numRef>
              <c:f>Bubble_Chart_Setup!$B$3:$B$273</c:f>
              <c:numCache>
                <c:formatCode>m/d/yyyy</c:formatCode>
                <c:ptCount val="271"/>
                <c:pt idx="0">
                  <c:v>44895</c:v>
                </c:pt>
                <c:pt idx="1">
                  <c:v>45657</c:v>
                </c:pt>
                <c:pt idx="2">
                  <c:v>43879</c:v>
                </c:pt>
                <c:pt idx="3">
                  <c:v>44721</c:v>
                </c:pt>
                <c:pt idx="4">
                  <c:v>45978</c:v>
                </c:pt>
                <c:pt idx="5">
                  <c:v>42207</c:v>
                </c:pt>
                <c:pt idx="6">
                  <c:v>42699</c:v>
                </c:pt>
                <c:pt idx="7">
                  <c:v>45292</c:v>
                </c:pt>
                <c:pt idx="8">
                  <c:v>45658</c:v>
                </c:pt>
                <c:pt idx="9">
                  <c:v>44270</c:v>
                </c:pt>
                <c:pt idx="10">
                  <c:v>45474</c:v>
                </c:pt>
                <c:pt idx="11">
                  <c:v>45002</c:v>
                </c:pt>
                <c:pt idx="12">
                  <c:v>45853</c:v>
                </c:pt>
                <c:pt idx="13">
                  <c:v>43220</c:v>
                </c:pt>
                <c:pt idx="14">
                  <c:v>44358</c:v>
                </c:pt>
                <c:pt idx="15">
                  <c:v>44869</c:v>
                </c:pt>
                <c:pt idx="16">
                  <c:v>44197</c:v>
                </c:pt>
                <c:pt idx="17">
                  <c:v>44834</c:v>
                </c:pt>
                <c:pt idx="18">
                  <c:v>44897</c:v>
                </c:pt>
                <c:pt idx="19">
                  <c:v>44621</c:v>
                </c:pt>
                <c:pt idx="20">
                  <c:v>45566</c:v>
                </c:pt>
                <c:pt idx="21">
                  <c:v>44189</c:v>
                </c:pt>
                <c:pt idx="22">
                  <c:v>44204</c:v>
                </c:pt>
                <c:pt idx="23">
                  <c:v>44390</c:v>
                </c:pt>
                <c:pt idx="24">
                  <c:v>45645</c:v>
                </c:pt>
                <c:pt idx="25">
                  <c:v>45429</c:v>
                </c:pt>
                <c:pt idx="26">
                  <c:v>42680</c:v>
                </c:pt>
                <c:pt idx="27">
                  <c:v>44666</c:v>
                </c:pt>
                <c:pt idx="28">
                  <c:v>43661</c:v>
                </c:pt>
                <c:pt idx="29">
                  <c:v>44741</c:v>
                </c:pt>
                <c:pt idx="30">
                  <c:v>44833</c:v>
                </c:pt>
                <c:pt idx="31">
                  <c:v>45141</c:v>
                </c:pt>
                <c:pt idx="32">
                  <c:v>45474</c:v>
                </c:pt>
                <c:pt idx="33">
                  <c:v>44917</c:v>
                </c:pt>
                <c:pt idx="34">
                  <c:v>45536</c:v>
                </c:pt>
                <c:pt idx="35">
                  <c:v>42548</c:v>
                </c:pt>
                <c:pt idx="36">
                  <c:v>43753</c:v>
                </c:pt>
                <c:pt idx="37">
                  <c:v>43895</c:v>
                </c:pt>
                <c:pt idx="38">
                  <c:v>43565</c:v>
                </c:pt>
                <c:pt idx="39">
                  <c:v>43594</c:v>
                </c:pt>
                <c:pt idx="40">
                  <c:v>44413</c:v>
                </c:pt>
                <c:pt idx="41">
                  <c:v>45687</c:v>
                </c:pt>
                <c:pt idx="42">
                  <c:v>44927</c:v>
                </c:pt>
                <c:pt idx="43">
                  <c:v>45916</c:v>
                </c:pt>
                <c:pt idx="44">
                  <c:v>44986</c:v>
                </c:pt>
                <c:pt idx="45">
                  <c:v>45399</c:v>
                </c:pt>
                <c:pt idx="46">
                  <c:v>44531</c:v>
                </c:pt>
                <c:pt idx="47">
                  <c:v>45596</c:v>
                </c:pt>
                <c:pt idx="48">
                  <c:v>45047</c:v>
                </c:pt>
                <c:pt idx="49">
                  <c:v>44215</c:v>
                </c:pt>
                <c:pt idx="50">
                  <c:v>43003</c:v>
                </c:pt>
                <c:pt idx="51">
                  <c:v>43977</c:v>
                </c:pt>
                <c:pt idx="52">
                  <c:v>45834</c:v>
                </c:pt>
                <c:pt idx="53">
                  <c:v>44524</c:v>
                </c:pt>
                <c:pt idx="54">
                  <c:v>44774</c:v>
                </c:pt>
                <c:pt idx="55">
                  <c:v>43845</c:v>
                </c:pt>
                <c:pt idx="56">
                  <c:v>44880</c:v>
                </c:pt>
                <c:pt idx="57">
                  <c:v>44223</c:v>
                </c:pt>
                <c:pt idx="58">
                  <c:v>44561</c:v>
                </c:pt>
                <c:pt idx="59">
                  <c:v>45845</c:v>
                </c:pt>
                <c:pt idx="60">
                  <c:v>43850</c:v>
                </c:pt>
                <c:pt idx="61">
                  <c:v>44769</c:v>
                </c:pt>
                <c:pt idx="62">
                  <c:v>44974</c:v>
                </c:pt>
                <c:pt idx="63">
                  <c:v>44196</c:v>
                </c:pt>
                <c:pt idx="64">
                  <c:v>45595</c:v>
                </c:pt>
                <c:pt idx="65">
                  <c:v>45292</c:v>
                </c:pt>
                <c:pt idx="66">
                  <c:v>44749</c:v>
                </c:pt>
                <c:pt idx="67">
                  <c:v>45473</c:v>
                </c:pt>
                <c:pt idx="68">
                  <c:v>45261</c:v>
                </c:pt>
                <c:pt idx="69">
                  <c:v>45657</c:v>
                </c:pt>
                <c:pt idx="70">
                  <c:v>45866</c:v>
                </c:pt>
                <c:pt idx="71">
                  <c:v>45536</c:v>
                </c:pt>
                <c:pt idx="72">
                  <c:v>42641</c:v>
                </c:pt>
                <c:pt idx="73">
                  <c:v>43368</c:v>
                </c:pt>
                <c:pt idx="74">
                  <c:v>44197</c:v>
                </c:pt>
                <c:pt idx="75">
                  <c:v>44621</c:v>
                </c:pt>
                <c:pt idx="76">
                  <c:v>45974</c:v>
                </c:pt>
                <c:pt idx="77">
                  <c:v>43584</c:v>
                </c:pt>
                <c:pt idx="78">
                  <c:v>43069</c:v>
                </c:pt>
                <c:pt idx="79">
                  <c:v>45545</c:v>
                </c:pt>
                <c:pt idx="80">
                  <c:v>44085</c:v>
                </c:pt>
                <c:pt idx="81">
                  <c:v>44505</c:v>
                </c:pt>
                <c:pt idx="82">
                  <c:v>45961</c:v>
                </c:pt>
                <c:pt idx="83">
                  <c:v>42013</c:v>
                </c:pt>
                <c:pt idx="84">
                  <c:v>43279</c:v>
                </c:pt>
                <c:pt idx="85">
                  <c:v>45642</c:v>
                </c:pt>
                <c:pt idx="86">
                  <c:v>44470</c:v>
                </c:pt>
                <c:pt idx="87">
                  <c:v>43040</c:v>
                </c:pt>
                <c:pt idx="88">
                  <c:v>43465</c:v>
                </c:pt>
                <c:pt idx="89">
                  <c:v>45015</c:v>
                </c:pt>
                <c:pt idx="90">
                  <c:v>45170</c:v>
                </c:pt>
                <c:pt idx="91">
                  <c:v>45106</c:v>
                </c:pt>
                <c:pt idx="92">
                  <c:v>45630</c:v>
                </c:pt>
                <c:pt idx="93">
                  <c:v>44270</c:v>
                </c:pt>
                <c:pt idx="94">
                  <c:v>44561</c:v>
                </c:pt>
                <c:pt idx="95">
                  <c:v>44673</c:v>
                </c:pt>
                <c:pt idx="96">
                  <c:v>44249</c:v>
                </c:pt>
                <c:pt idx="97">
                  <c:v>44949</c:v>
                </c:pt>
                <c:pt idx="98">
                  <c:v>43599</c:v>
                </c:pt>
                <c:pt idx="99">
                  <c:v>44517</c:v>
                </c:pt>
                <c:pt idx="100">
                  <c:v>44340</c:v>
                </c:pt>
                <c:pt idx="101">
                  <c:v>45224</c:v>
                </c:pt>
                <c:pt idx="102">
                  <c:v>45933</c:v>
                </c:pt>
                <c:pt idx="103">
                  <c:v>44501</c:v>
                </c:pt>
                <c:pt idx="104">
                  <c:v>44985</c:v>
                </c:pt>
                <c:pt idx="105">
                  <c:v>43472</c:v>
                </c:pt>
                <c:pt idx="106">
                  <c:v>44561</c:v>
                </c:pt>
                <c:pt idx="107">
                  <c:v>45474</c:v>
                </c:pt>
                <c:pt idx="108">
                  <c:v>44547</c:v>
                </c:pt>
                <c:pt idx="109">
                  <c:v>43777</c:v>
                </c:pt>
                <c:pt idx="110">
                  <c:v>45113</c:v>
                </c:pt>
                <c:pt idx="111">
                  <c:v>45288</c:v>
                </c:pt>
                <c:pt idx="112">
                  <c:v>45597</c:v>
                </c:pt>
                <c:pt idx="113">
                  <c:v>44365</c:v>
                </c:pt>
                <c:pt idx="114">
                  <c:v>42412</c:v>
                </c:pt>
                <c:pt idx="115">
                  <c:v>43220</c:v>
                </c:pt>
                <c:pt idx="116">
                  <c:v>45980</c:v>
                </c:pt>
                <c:pt idx="117">
                  <c:v>44705</c:v>
                </c:pt>
                <c:pt idx="118">
                  <c:v>45076</c:v>
                </c:pt>
                <c:pt idx="119">
                  <c:v>44524</c:v>
                </c:pt>
                <c:pt idx="120">
                  <c:v>43084</c:v>
                </c:pt>
                <c:pt idx="121">
                  <c:v>43458</c:v>
                </c:pt>
                <c:pt idx="122">
                  <c:v>44501</c:v>
                </c:pt>
                <c:pt idx="123">
                  <c:v>44851</c:v>
                </c:pt>
                <c:pt idx="124">
                  <c:v>43468</c:v>
                </c:pt>
                <c:pt idx="125">
                  <c:v>44865</c:v>
                </c:pt>
                <c:pt idx="126">
                  <c:v>45257</c:v>
                </c:pt>
                <c:pt idx="127">
                  <c:v>43819</c:v>
                </c:pt>
                <c:pt idx="128">
                  <c:v>44837</c:v>
                </c:pt>
                <c:pt idx="129">
                  <c:v>43488</c:v>
                </c:pt>
                <c:pt idx="130">
                  <c:v>44866</c:v>
                </c:pt>
                <c:pt idx="131">
                  <c:v>43256</c:v>
                </c:pt>
                <c:pt idx="132">
                  <c:v>44455</c:v>
                </c:pt>
                <c:pt idx="133">
                  <c:v>45944</c:v>
                </c:pt>
                <c:pt idx="134">
                  <c:v>44315</c:v>
                </c:pt>
                <c:pt idx="135">
                  <c:v>45814</c:v>
                </c:pt>
                <c:pt idx="136">
                  <c:v>44621</c:v>
                </c:pt>
                <c:pt idx="137">
                  <c:v>45078</c:v>
                </c:pt>
                <c:pt idx="138">
                  <c:v>44112</c:v>
                </c:pt>
                <c:pt idx="139">
                  <c:v>45013</c:v>
                </c:pt>
                <c:pt idx="140">
                  <c:v>44544</c:v>
                </c:pt>
                <c:pt idx="141">
                  <c:v>44778</c:v>
                </c:pt>
                <c:pt idx="142">
                  <c:v>44622</c:v>
                </c:pt>
                <c:pt idx="143">
                  <c:v>45377</c:v>
                </c:pt>
                <c:pt idx="144">
                  <c:v>45302</c:v>
                </c:pt>
                <c:pt idx="145">
                  <c:v>44756</c:v>
                </c:pt>
                <c:pt idx="146">
                  <c:v>45077</c:v>
                </c:pt>
                <c:pt idx="147">
                  <c:v>43371</c:v>
                </c:pt>
                <c:pt idx="148">
                  <c:v>44321</c:v>
                </c:pt>
                <c:pt idx="149">
                  <c:v>43916</c:v>
                </c:pt>
                <c:pt idx="150">
                  <c:v>44398</c:v>
                </c:pt>
                <c:pt idx="151">
                  <c:v>42880</c:v>
                </c:pt>
                <c:pt idx="152">
                  <c:v>45042</c:v>
                </c:pt>
                <c:pt idx="153">
                  <c:v>44988</c:v>
                </c:pt>
                <c:pt idx="154">
                  <c:v>45786</c:v>
                </c:pt>
                <c:pt idx="155">
                  <c:v>44586</c:v>
                </c:pt>
                <c:pt idx="156">
                  <c:v>43455</c:v>
                </c:pt>
                <c:pt idx="157">
                  <c:v>44922</c:v>
                </c:pt>
                <c:pt idx="158">
                  <c:v>45559</c:v>
                </c:pt>
                <c:pt idx="159">
                  <c:v>44835</c:v>
                </c:pt>
                <c:pt idx="160">
                  <c:v>44866</c:v>
                </c:pt>
                <c:pt idx="161">
                  <c:v>44562</c:v>
                </c:pt>
                <c:pt idx="162">
                  <c:v>43776</c:v>
                </c:pt>
                <c:pt idx="163">
                  <c:v>44424</c:v>
                </c:pt>
                <c:pt idx="164">
                  <c:v>44624</c:v>
                </c:pt>
                <c:pt idx="165">
                  <c:v>44057</c:v>
                </c:pt>
                <c:pt idx="166">
                  <c:v>45748</c:v>
                </c:pt>
                <c:pt idx="167">
                  <c:v>44075</c:v>
                </c:pt>
                <c:pt idx="168">
                  <c:v>45747</c:v>
                </c:pt>
                <c:pt idx="169">
                  <c:v>44250</c:v>
                </c:pt>
                <c:pt idx="170">
                  <c:v>44740</c:v>
                </c:pt>
                <c:pt idx="171">
                  <c:v>43158</c:v>
                </c:pt>
                <c:pt idx="172">
                  <c:v>42415</c:v>
                </c:pt>
                <c:pt idx="173">
                  <c:v>43487</c:v>
                </c:pt>
                <c:pt idx="174">
                  <c:v>43845</c:v>
                </c:pt>
                <c:pt idx="175">
                  <c:v>44987</c:v>
                </c:pt>
                <c:pt idx="176">
                  <c:v>44986</c:v>
                </c:pt>
                <c:pt idx="177">
                  <c:v>45178</c:v>
                </c:pt>
                <c:pt idx="178">
                  <c:v>44734</c:v>
                </c:pt>
                <c:pt idx="179">
                  <c:v>45425</c:v>
                </c:pt>
                <c:pt idx="180">
                  <c:v>44044</c:v>
                </c:pt>
                <c:pt idx="181">
                  <c:v>44380</c:v>
                </c:pt>
                <c:pt idx="182">
                  <c:v>45363</c:v>
                </c:pt>
                <c:pt idx="183">
                  <c:v>44317</c:v>
                </c:pt>
                <c:pt idx="184">
                  <c:v>45693</c:v>
                </c:pt>
                <c:pt idx="185">
                  <c:v>41802</c:v>
                </c:pt>
                <c:pt idx="186">
                  <c:v>44348</c:v>
                </c:pt>
                <c:pt idx="187">
                  <c:v>44420</c:v>
                </c:pt>
                <c:pt idx="188">
                  <c:v>44634</c:v>
                </c:pt>
                <c:pt idx="189">
                  <c:v>45132</c:v>
                </c:pt>
                <c:pt idx="190">
                  <c:v>45384</c:v>
                </c:pt>
                <c:pt idx="191">
                  <c:v>44428</c:v>
                </c:pt>
                <c:pt idx="192">
                  <c:v>45810</c:v>
                </c:pt>
                <c:pt idx="193">
                  <c:v>44756</c:v>
                </c:pt>
                <c:pt idx="194">
                  <c:v>45140</c:v>
                </c:pt>
                <c:pt idx="195">
                  <c:v>44197</c:v>
                </c:pt>
                <c:pt idx="196">
                  <c:v>43383</c:v>
                </c:pt>
                <c:pt idx="197">
                  <c:v>43578</c:v>
                </c:pt>
                <c:pt idx="198">
                  <c:v>44523</c:v>
                </c:pt>
                <c:pt idx="199">
                  <c:v>43857</c:v>
                </c:pt>
                <c:pt idx="200">
                  <c:v>45627</c:v>
                </c:pt>
                <c:pt idx="201">
                  <c:v>42939</c:v>
                </c:pt>
                <c:pt idx="202">
                  <c:v>45204</c:v>
                </c:pt>
                <c:pt idx="203">
                  <c:v>42612</c:v>
                </c:pt>
                <c:pt idx="204">
                  <c:v>45323</c:v>
                </c:pt>
                <c:pt idx="205">
                  <c:v>42657</c:v>
                </c:pt>
                <c:pt idx="206">
                  <c:v>42158</c:v>
                </c:pt>
                <c:pt idx="207">
                  <c:v>45686</c:v>
                </c:pt>
                <c:pt idx="208">
                  <c:v>44875</c:v>
                </c:pt>
                <c:pt idx="209">
                  <c:v>44682</c:v>
                </c:pt>
                <c:pt idx="210">
                  <c:v>44089</c:v>
                </c:pt>
                <c:pt idx="211">
                  <c:v>42629</c:v>
                </c:pt>
                <c:pt idx="212">
                  <c:v>45530</c:v>
                </c:pt>
                <c:pt idx="213">
                  <c:v>44118</c:v>
                </c:pt>
                <c:pt idx="214">
                  <c:v>44927</c:v>
                </c:pt>
                <c:pt idx="215">
                  <c:v>45383</c:v>
                </c:pt>
                <c:pt idx="216">
                  <c:v>42348</c:v>
                </c:pt>
                <c:pt idx="217">
                  <c:v>44165</c:v>
                </c:pt>
                <c:pt idx="218">
                  <c:v>42930</c:v>
                </c:pt>
                <c:pt idx="219">
                  <c:v>43216</c:v>
                </c:pt>
                <c:pt idx="220">
                  <c:v>44197</c:v>
                </c:pt>
                <c:pt idx="221">
                  <c:v>45749</c:v>
                </c:pt>
                <c:pt idx="222">
                  <c:v>45307</c:v>
                </c:pt>
                <c:pt idx="223">
                  <c:v>44868</c:v>
                </c:pt>
                <c:pt idx="224">
                  <c:v>44413</c:v>
                </c:pt>
                <c:pt idx="225">
                  <c:v>45809</c:v>
                </c:pt>
                <c:pt idx="226">
                  <c:v>45610</c:v>
                </c:pt>
                <c:pt idx="227">
                  <c:v>45215</c:v>
                </c:pt>
                <c:pt idx="228">
                  <c:v>44868</c:v>
                </c:pt>
                <c:pt idx="229">
                  <c:v>42348</c:v>
                </c:pt>
                <c:pt idx="230">
                  <c:v>45246</c:v>
                </c:pt>
                <c:pt idx="231">
                  <c:v>44813</c:v>
                </c:pt>
                <c:pt idx="232">
                  <c:v>45240</c:v>
                </c:pt>
                <c:pt idx="233">
                  <c:v>44385</c:v>
                </c:pt>
                <c:pt idx="234">
                  <c:v>44874</c:v>
                </c:pt>
                <c:pt idx="235">
                  <c:v>42941</c:v>
                </c:pt>
                <c:pt idx="236">
                  <c:v>44273</c:v>
                </c:pt>
                <c:pt idx="237">
                  <c:v>45135</c:v>
                </c:pt>
                <c:pt idx="238">
                  <c:v>45748</c:v>
                </c:pt>
                <c:pt idx="239">
                  <c:v>44460</c:v>
                </c:pt>
                <c:pt idx="240">
                  <c:v>42482</c:v>
                </c:pt>
                <c:pt idx="241">
                  <c:v>42970</c:v>
                </c:pt>
                <c:pt idx="242">
                  <c:v>43931</c:v>
                </c:pt>
                <c:pt idx="243">
                  <c:v>45488</c:v>
                </c:pt>
                <c:pt idx="244">
                  <c:v>45229</c:v>
                </c:pt>
                <c:pt idx="245">
                  <c:v>44044</c:v>
                </c:pt>
                <c:pt idx="246">
                  <c:v>44789</c:v>
                </c:pt>
                <c:pt idx="247">
                  <c:v>45071</c:v>
                </c:pt>
                <c:pt idx="248">
                  <c:v>45098</c:v>
                </c:pt>
                <c:pt idx="249">
                  <c:v>44546</c:v>
                </c:pt>
                <c:pt idx="250">
                  <c:v>45425</c:v>
                </c:pt>
                <c:pt idx="251">
                  <c:v>44237</c:v>
                </c:pt>
                <c:pt idx="252">
                  <c:v>44662</c:v>
                </c:pt>
                <c:pt idx="253">
                  <c:v>45987</c:v>
                </c:pt>
                <c:pt idx="254">
                  <c:v>44294</c:v>
                </c:pt>
                <c:pt idx="255">
                  <c:v>45291</c:v>
                </c:pt>
                <c:pt idx="256">
                  <c:v>45876</c:v>
                </c:pt>
                <c:pt idx="257">
                  <c:v>43605</c:v>
                </c:pt>
                <c:pt idx="258">
                  <c:v>45763</c:v>
                </c:pt>
                <c:pt idx="259">
                  <c:v>45076</c:v>
                </c:pt>
                <c:pt idx="260">
                  <c:v>45955</c:v>
                </c:pt>
                <c:pt idx="261">
                  <c:v>44589</c:v>
                </c:pt>
                <c:pt idx="262">
                  <c:v>44949</c:v>
                </c:pt>
                <c:pt idx="263">
                  <c:v>43707</c:v>
                </c:pt>
                <c:pt idx="264">
                  <c:v>45716</c:v>
                </c:pt>
                <c:pt idx="265">
                  <c:v>44055</c:v>
                </c:pt>
                <c:pt idx="266">
                  <c:v>44120</c:v>
                </c:pt>
                <c:pt idx="267">
                  <c:v>43404</c:v>
                </c:pt>
                <c:pt idx="268">
                  <c:v>44562</c:v>
                </c:pt>
                <c:pt idx="269">
                  <c:v>45505</c:v>
                </c:pt>
                <c:pt idx="270">
                  <c:v>45818</c:v>
                </c:pt>
              </c:numCache>
            </c:numRef>
          </c:xVal>
          <c:yVal>
            <c:numRef>
              <c:f>Bubble_Chart_Setup!$C$3:$C$273</c:f>
              <c:numCache>
                <c:formatCode>General</c:formatCode>
                <c:ptCount val="271"/>
                <c:pt idx="0">
                  <c:v>3.5</c:v>
                </c:pt>
                <c:pt idx="1">
                  <c:v>8</c:v>
                </c:pt>
                <c:pt idx="2">
                  <c:v>2.5</c:v>
                </c:pt>
                <c:pt idx="3">
                  <c:v>650</c:v>
                </c:pt>
                <c:pt idx="4">
                  <c:v>8.41</c:v>
                </c:pt>
                <c:pt idx="5">
                  <c:v>3.09</c:v>
                </c:pt>
                <c:pt idx="6">
                  <c:v>3.12</c:v>
                </c:pt>
                <c:pt idx="7">
                  <c:v>#N/A</c:v>
                </c:pt>
                <c:pt idx="8">
                  <c:v>#N/A</c:v>
                </c:pt>
                <c:pt idx="9">
                  <c:v>#N/A</c:v>
                </c:pt>
                <c:pt idx="10">
                  <c:v>#N/A</c:v>
                </c:pt>
                <c:pt idx="11">
                  <c:v>139</c:v>
                </c:pt>
                <c:pt idx="12">
                  <c:v>95</c:v>
                </c:pt>
                <c:pt idx="13">
                  <c:v>1</c:v>
                </c:pt>
                <c:pt idx="14">
                  <c:v>3.3</c:v>
                </c:pt>
                <c:pt idx="15">
                  <c:v>17.5</c:v>
                </c:pt>
                <c:pt idx="16">
                  <c:v>0.53</c:v>
                </c:pt>
                <c:pt idx="17">
                  <c:v>30</c:v>
                </c:pt>
                <c:pt idx="18">
                  <c:v>3.5</c:v>
                </c:pt>
                <c:pt idx="19">
                  <c:v>#N/A</c:v>
                </c:pt>
                <c:pt idx="20">
                  <c:v>#N/A</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#N/A</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#N/A</c:v>
                </c:pt>
                <c:pt idx="50">
                  <c:v>#N/A</c:v>
                </c:pt>
                <c:pt idx="51">
                  <c:v>84</c:v>
                </c:pt>
                <c:pt idx="52">
                  <c:v>863</c:v>
                </c:pt>
                <c:pt idx="53">
                  <c:v>4</c:v>
                </c:pt>
                <c:pt idx="54">
                  <c:v>#N/A</c:v>
                </c:pt>
                <c:pt idx="55">
                  <c:v>12</c:v>
                </c:pt>
                <c:pt idx="56">
                  <c:v>69.7</c:v>
                </c:pt>
                <c:pt idx="57">
                  <c:v>0.44</c:v>
                </c:pt>
                <c:pt idx="58">
                  <c:v>#N/A</c:v>
                </c:pt>
                <c:pt idx="59">
                  <c:v>30</c:v>
                </c:pt>
                <c:pt idx="60">
                  <c:v>32</c:v>
                </c:pt>
                <c:pt idx="61">
                  <c:v>1</c:v>
                </c:pt>
                <c:pt idx="62">
                  <c:v>10</c:v>
                </c:pt>
                <c:pt idx="63">
                  <c:v>63</c:v>
                </c:pt>
                <c:pt idx="64">
                  <c:v>11</c:v>
                </c:pt>
                <c:pt idx="65">
                  <c:v>1.32</c:v>
                </c:pt>
                <c:pt idx="66">
                  <c:v>35</c:v>
                </c:pt>
                <c:pt idx="67">
                  <c:v>0.18</c:v>
                </c:pt>
                <c:pt idx="68">
                  <c:v>#N/A</c:v>
                </c:pt>
                <c:pt idx="69">
                  <c:v>1.04</c:v>
                </c:pt>
                <c:pt idx="70">
                  <c:v>#N/A</c:v>
                </c:pt>
                <c:pt idx="71">
                  <c:v>#N/A</c:v>
                </c:pt>
                <c:pt idx="72">
                  <c:v>#N/A</c:v>
                </c:pt>
                <c:pt idx="73">
                  <c:v>8</c:v>
                </c:pt>
                <c:pt idx="74">
                  <c:v>#N/A</c:v>
                </c:pt>
                <c:pt idx="75">
                  <c:v>#N/A</c:v>
                </c:pt>
                <c:pt idx="76">
                  <c:v>120</c:v>
                </c:pt>
                <c:pt idx="77">
                  <c:v>1250</c:v>
                </c:pt>
                <c:pt idx="78">
                  <c:v>3.92</c:v>
                </c:pt>
                <c:pt idx="79">
                  <c:v>100</c:v>
                </c:pt>
                <c:pt idx="80">
                  <c:v>10.23</c:v>
                </c:pt>
                <c:pt idx="81">
                  <c:v>#N/A</c:v>
                </c:pt>
                <c:pt idx="82">
                  <c:v>3.1</c:v>
                </c:pt>
                <c:pt idx="83">
                  <c:v>337</c:v>
                </c:pt>
                <c:pt idx="84">
                  <c:v>9.89</c:v>
                </c:pt>
                <c:pt idx="85">
                  <c:v>50</c:v>
                </c:pt>
                <c:pt idx="86">
                  <c:v>#N/A</c:v>
                </c:pt>
                <c:pt idx="87">
                  <c:v>#N/A</c:v>
                </c:pt>
                <c:pt idx="88">
                  <c:v>#N/A</c:v>
                </c:pt>
                <c:pt idx="89">
                  <c:v>9</c:v>
                </c:pt>
                <c:pt idx="90">
                  <c:v>#N/A</c:v>
                </c:pt>
                <c:pt idx="91">
                  <c:v>#N/A</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#N/A</c:v>
                </c:pt>
                <c:pt idx="114">
                  <c:v>17.809999999999999</c:v>
                </c:pt>
                <c:pt idx="115">
                  <c:v>1.24</c:v>
                </c:pt>
                <c:pt idx="116">
                  <c:v>15.48</c:v>
                </c:pt>
                <c:pt idx="117">
                  <c:v>4.16</c:v>
                </c:pt>
                <c:pt idx="118">
                  <c:v>7</c:v>
                </c:pt>
                <c:pt idx="119">
                  <c:v>#N/A</c:v>
                </c:pt>
                <c:pt idx="120">
                  <c:v>0.8</c:v>
                </c:pt>
                <c:pt idx="121">
                  <c:v>2.5</c:v>
                </c:pt>
                <c:pt idx="122">
                  <c:v>3.25</c:v>
                </c:pt>
                <c:pt idx="123">
                  <c:v>#N/A</c:v>
                </c:pt>
                <c:pt idx="124">
                  <c:v>2</c:v>
                </c:pt>
                <c:pt idx="125">
                  <c:v>4.18</c:v>
                </c:pt>
                <c:pt idx="126">
                  <c:v>3.59</c:v>
                </c:pt>
                <c:pt idx="127">
                  <c:v>5.56</c:v>
                </c:pt>
                <c:pt idx="128">
                  <c:v>60</c:v>
                </c:pt>
                <c:pt idx="129">
                  <c:v>15</c:v>
                </c:pt>
                <c:pt idx="130">
                  <c:v>#N/A</c:v>
                </c:pt>
                <c:pt idx="131">
                  <c:v>9.4</c:v>
                </c:pt>
                <c:pt idx="132">
                  <c:v>2.96</c:v>
                </c:pt>
                <c:pt idx="133">
                  <c:v>22.95</c:v>
                </c:pt>
                <c:pt idx="134">
                  <c:v>0.1</c:v>
                </c:pt>
                <c:pt idx="135">
                  <c:v>15.6</c:v>
                </c:pt>
                <c:pt idx="136">
                  <c:v>100</c:v>
                </c:pt>
                <c:pt idx="137">
                  <c:v>#N/A</c:v>
                </c:pt>
                <c:pt idx="138">
                  <c:v>30</c:v>
                </c:pt>
                <c:pt idx="139">
                  <c:v>32.799999999999997</c:v>
                </c:pt>
                <c:pt idx="140">
                  <c:v>20</c:v>
                </c:pt>
                <c:pt idx="141">
                  <c:v>250</c:v>
                </c:pt>
                <c:pt idx="142">
                  <c:v>52.35</c:v>
                </c:pt>
                <c:pt idx="143">
                  <c:v>5.2</c:v>
                </c:pt>
                <c:pt idx="144">
                  <c:v>#N/A</c:v>
                </c:pt>
                <c:pt idx="145">
                  <c:v>0.8</c:v>
                </c:pt>
                <c:pt idx="146">
                  <c:v>15.25</c:v>
                </c:pt>
                <c:pt idx="147">
                  <c:v>34.5</c:v>
                </c:pt>
                <c:pt idx="148">
                  <c:v>#N/A</c:v>
                </c:pt>
                <c:pt idx="149">
                  <c:v>41.59</c:v>
                </c:pt>
                <c:pt idx="150">
                  <c:v>20</c:v>
                </c:pt>
                <c:pt idx="151">
                  <c:v>5</c:v>
                </c:pt>
                <c:pt idx="152">
                  <c:v>28</c:v>
                </c:pt>
                <c:pt idx="153">
                  <c:v>2.4500000000000002</c:v>
                </c:pt>
                <c:pt idx="154">
                  <c:v>20</c:v>
                </c:pt>
                <c:pt idx="155">
                  <c:v>#N/A</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#N/A</c:v>
                </c:pt>
                <c:pt idx="169">
                  <c:v>6</c:v>
                </c:pt>
                <c:pt idx="170">
                  <c:v>0.02</c:v>
                </c:pt>
                <c:pt idx="171">
                  <c:v>20.5</c:v>
                </c:pt>
                <c:pt idx="172">
                  <c:v>4.2</c:v>
                </c:pt>
                <c:pt idx="173">
                  <c:v>#N/A</c:v>
                </c:pt>
                <c:pt idx="174">
                  <c:v>#N/A</c:v>
                </c:pt>
                <c:pt idx="175">
                  <c:v>4.5</c:v>
                </c:pt>
                <c:pt idx="176">
                  <c:v>2</c:v>
                </c:pt>
                <c:pt idx="177">
                  <c:v>14.65</c:v>
                </c:pt>
                <c:pt idx="178">
                  <c:v>3.8</c:v>
                </c:pt>
                <c:pt idx="179">
                  <c:v>34.299999999999997</c:v>
                </c:pt>
                <c:pt idx="180">
                  <c:v>20</c:v>
                </c:pt>
                <c:pt idx="181">
                  <c:v>2.23</c:v>
                </c:pt>
                <c:pt idx="182">
                  <c:v>21</c:v>
                </c:pt>
                <c:pt idx="183">
                  <c:v>#N/A</c:v>
                </c:pt>
                <c:pt idx="184">
                  <c:v>16.63</c:v>
                </c:pt>
                <c:pt idx="185">
                  <c:v>25.32</c:v>
                </c:pt>
                <c:pt idx="186">
                  <c:v>#N/A</c:v>
                </c:pt>
                <c:pt idx="187">
                  <c:v>20</c:v>
                </c:pt>
                <c:pt idx="188">
                  <c:v>#N/A</c:v>
                </c:pt>
                <c:pt idx="189">
                  <c:v>#N/A</c:v>
                </c:pt>
                <c:pt idx="190">
                  <c:v>15</c:v>
                </c:pt>
                <c:pt idx="191">
                  <c:v>27</c:v>
                </c:pt>
                <c:pt idx="192">
                  <c:v>150</c:v>
                </c:pt>
                <c:pt idx="193">
                  <c:v>5.25</c:v>
                </c:pt>
                <c:pt idx="194">
                  <c:v>60</c:v>
                </c:pt>
                <c:pt idx="195">
                  <c:v>#N/A</c:v>
                </c:pt>
                <c:pt idx="196">
                  <c:v>13</c:v>
                </c:pt>
                <c:pt idx="197">
                  <c:v>22</c:v>
                </c:pt>
                <c:pt idx="198">
                  <c:v>95.1</c:v>
                </c:pt>
                <c:pt idx="199">
                  <c:v>300</c:v>
                </c:pt>
                <c:pt idx="200">
                  <c:v>0.5</c:v>
                </c:pt>
                <c:pt idx="201">
                  <c:v>1.75</c:v>
                </c:pt>
                <c:pt idx="202">
                  <c:v>250</c:v>
                </c:pt>
                <c:pt idx="203">
                  <c:v>2</c:v>
                </c:pt>
                <c:pt idx="204">
                  <c:v>#N/A</c:v>
                </c:pt>
                <c:pt idx="205">
                  <c:v>6.5</c:v>
                </c:pt>
                <c:pt idx="206">
                  <c:v>17.350000000000001</c:v>
                </c:pt>
                <c:pt idx="207">
                  <c:v>65</c:v>
                </c:pt>
                <c:pt idx="208">
                  <c:v>0.92</c:v>
                </c:pt>
                <c:pt idx="209">
                  <c:v>12.63</c:v>
                </c:pt>
                <c:pt idx="210">
                  <c:v>30.15</c:v>
                </c:pt>
                <c:pt idx="211">
                  <c:v>0.25</c:v>
                </c:pt>
                <c:pt idx="212">
                  <c:v>15</c:v>
                </c:pt>
                <c:pt idx="213">
                  <c:v>0.51</c:v>
                </c:pt>
                <c:pt idx="214">
                  <c:v>110</c:v>
                </c:pt>
                <c:pt idx="215">
                  <c:v>#N/A</c:v>
                </c:pt>
                <c:pt idx="216">
                  <c:v>11</c:v>
                </c:pt>
                <c:pt idx="217">
                  <c:v>9.66</c:v>
                </c:pt>
                <c:pt idx="218">
                  <c:v>0.85</c:v>
                </c:pt>
                <c:pt idx="219">
                  <c:v>0.95</c:v>
                </c:pt>
                <c:pt idx="220">
                  <c:v>2</c:v>
                </c:pt>
                <c:pt idx="221">
                  <c:v>24.5</c:v>
                </c:pt>
                <c:pt idx="222">
                  <c:v>6</c:v>
                </c:pt>
                <c:pt idx="223">
                  <c:v>2.1800000000000002</c:v>
                </c:pt>
                <c:pt idx="224">
                  <c:v>#N/A</c:v>
                </c:pt>
                <c:pt idx="225">
                  <c:v>#N/A</c:v>
                </c:pt>
                <c:pt idx="226">
                  <c:v>54</c:v>
                </c:pt>
                <c:pt idx="227">
                  <c:v>48</c:v>
                </c:pt>
                <c:pt idx="228">
                  <c:v>830</c:v>
                </c:pt>
                <c:pt idx="229">
                  <c:v>2.1</c:v>
                </c:pt>
                <c:pt idx="230">
                  <c:v>4.1500000000000004</c:v>
                </c:pt>
                <c:pt idx="231">
                  <c:v>4.67</c:v>
                </c:pt>
                <c:pt idx="232">
                  <c:v>0.61</c:v>
                </c:pt>
                <c:pt idx="233">
                  <c:v>29</c:v>
                </c:pt>
                <c:pt idx="234">
                  <c:v>#N/A</c:v>
                </c:pt>
                <c:pt idx="235">
                  <c:v>15</c:v>
                </c:pt>
                <c:pt idx="236">
                  <c:v>8</c:v>
                </c:pt>
                <c:pt idx="237">
                  <c:v>15</c:v>
                </c:pt>
                <c:pt idx="238">
                  <c:v>#N/A</c:v>
                </c:pt>
                <c:pt idx="239">
                  <c:v>#N/A</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#N/A</c:v>
                </c:pt>
                <c:pt idx="253">
                  <c:v>28.59</c:v>
                </c:pt>
                <c:pt idx="254">
                  <c:v>1.3</c:v>
                </c:pt>
                <c:pt idx="255">
                  <c:v>1.86</c:v>
                </c:pt>
                <c:pt idx="256">
                  <c:v>65</c:v>
                </c:pt>
                <c:pt idx="257">
                  <c:v>#N/A</c:v>
                </c:pt>
                <c:pt idx="258">
                  <c:v>8</c:v>
                </c:pt>
                <c:pt idx="259">
                  <c:v>7.5</c:v>
                </c:pt>
                <c:pt idx="260">
                  <c:v>4.9000000000000004</c:v>
                </c:pt>
                <c:pt idx="261">
                  <c:v>100</c:v>
                </c:pt>
                <c:pt idx="262">
                  <c:v>#N/A</c:v>
                </c:pt>
                <c:pt idx="263">
                  <c:v>11.45</c:v>
                </c:pt>
                <c:pt idx="264">
                  <c:v>13</c:v>
                </c:pt>
                <c:pt idx="265">
                  <c:v>6.5</c:v>
                </c:pt>
                <c:pt idx="266">
                  <c:v>0.75</c:v>
                </c:pt>
                <c:pt idx="267">
                  <c:v>0.63</c:v>
                </c:pt>
                <c:pt idx="268">
                  <c:v>0.35</c:v>
                </c:pt>
                <c:pt idx="269">
                  <c:v>#N/A</c:v>
                </c:pt>
                <c:pt idx="270">
                  <c:v>25.76</c:v>
                </c:pt>
              </c:numCache>
            </c:numRef>
          </c:yVal>
          <c:bubbleSize>
            <c:numRef>
              <c:f>Bubble_Chart_Setup!$D$3:$D$273</c:f>
              <c:numCache>
                <c:formatCode>General</c:formatCode>
                <c:ptCount val="271"/>
                <c:pt idx="0">
                  <c:v>3.5</c:v>
                </c:pt>
                <c:pt idx="1">
                  <c:v>8</c:v>
                </c:pt>
                <c:pt idx="2">
                  <c:v>2.5</c:v>
                </c:pt>
                <c:pt idx="3">
                  <c:v>650</c:v>
                </c:pt>
                <c:pt idx="4">
                  <c:v>8.41</c:v>
                </c:pt>
                <c:pt idx="5">
                  <c:v>3.09</c:v>
                </c:pt>
                <c:pt idx="6">
                  <c:v>3.12</c:v>
                </c:pt>
                <c:pt idx="7">
                  <c:v>0</c:v>
                </c:pt>
                <c:pt idx="8">
                  <c:v>0</c:v>
                </c:pt>
                <c:pt idx="9">
                  <c:v>0</c:v>
                </c:pt>
                <c:pt idx="10">
                  <c:v>0</c:v>
                </c:pt>
                <c:pt idx="11">
                  <c:v>139</c:v>
                </c:pt>
                <c:pt idx="12">
                  <c:v>95</c:v>
                </c:pt>
                <c:pt idx="13">
                  <c:v>1</c:v>
                </c:pt>
                <c:pt idx="14">
                  <c:v>3.3</c:v>
                </c:pt>
                <c:pt idx="15">
                  <c:v>17.5</c:v>
                </c:pt>
                <c:pt idx="16">
                  <c:v>0.53</c:v>
                </c:pt>
                <c:pt idx="17">
                  <c:v>30</c:v>
                </c:pt>
                <c:pt idx="18">
                  <c:v>3.5</c:v>
                </c:pt>
                <c:pt idx="19">
                  <c:v>0</c:v>
                </c:pt>
                <c:pt idx="20">
                  <c:v>0</c:v>
                </c:pt>
                <c:pt idx="21">
                  <c:v>157</c:v>
                </c:pt>
                <c:pt idx="22">
                  <c:v>10</c:v>
                </c:pt>
                <c:pt idx="23">
                  <c:v>30</c:v>
                </c:pt>
                <c:pt idx="24">
                  <c:v>16.7</c:v>
                </c:pt>
                <c:pt idx="25">
                  <c:v>25.56</c:v>
                </c:pt>
                <c:pt idx="26">
                  <c:v>250</c:v>
                </c:pt>
                <c:pt idx="27">
                  <c:v>3.5</c:v>
                </c:pt>
                <c:pt idx="28">
                  <c:v>9</c:v>
                </c:pt>
                <c:pt idx="29">
                  <c:v>12</c:v>
                </c:pt>
                <c:pt idx="30">
                  <c:v>14</c:v>
                </c:pt>
                <c:pt idx="31">
                  <c:v>12</c:v>
                </c:pt>
                <c:pt idx="32">
                  <c:v>3</c:v>
                </c:pt>
                <c:pt idx="33">
                  <c:v>500</c:v>
                </c:pt>
                <c:pt idx="34">
                  <c:v>0</c:v>
                </c:pt>
                <c:pt idx="35">
                  <c:v>6.7</c:v>
                </c:pt>
                <c:pt idx="36">
                  <c:v>3</c:v>
                </c:pt>
                <c:pt idx="37">
                  <c:v>1</c:v>
                </c:pt>
                <c:pt idx="38">
                  <c:v>0.08</c:v>
                </c:pt>
                <c:pt idx="39">
                  <c:v>3.5</c:v>
                </c:pt>
                <c:pt idx="40">
                  <c:v>22</c:v>
                </c:pt>
                <c:pt idx="41">
                  <c:v>160</c:v>
                </c:pt>
                <c:pt idx="42">
                  <c:v>30</c:v>
                </c:pt>
                <c:pt idx="43">
                  <c:v>90</c:v>
                </c:pt>
                <c:pt idx="44">
                  <c:v>25</c:v>
                </c:pt>
                <c:pt idx="45">
                  <c:v>50</c:v>
                </c:pt>
                <c:pt idx="46">
                  <c:v>0.68</c:v>
                </c:pt>
                <c:pt idx="47">
                  <c:v>16.2</c:v>
                </c:pt>
                <c:pt idx="48">
                  <c:v>6.7</c:v>
                </c:pt>
                <c:pt idx="49">
                  <c:v>0</c:v>
                </c:pt>
                <c:pt idx="50">
                  <c:v>0</c:v>
                </c:pt>
                <c:pt idx="51">
                  <c:v>84</c:v>
                </c:pt>
                <c:pt idx="52">
                  <c:v>863</c:v>
                </c:pt>
                <c:pt idx="53">
                  <c:v>4</c:v>
                </c:pt>
                <c:pt idx="54">
                  <c:v>0</c:v>
                </c:pt>
                <c:pt idx="55">
                  <c:v>12</c:v>
                </c:pt>
                <c:pt idx="56">
                  <c:v>69.7</c:v>
                </c:pt>
                <c:pt idx="57">
                  <c:v>0.44</c:v>
                </c:pt>
                <c:pt idx="58">
                  <c:v>0</c:v>
                </c:pt>
                <c:pt idx="59">
                  <c:v>30</c:v>
                </c:pt>
                <c:pt idx="60">
                  <c:v>32</c:v>
                </c:pt>
                <c:pt idx="61">
                  <c:v>1</c:v>
                </c:pt>
                <c:pt idx="62">
                  <c:v>10</c:v>
                </c:pt>
                <c:pt idx="63">
                  <c:v>63</c:v>
                </c:pt>
                <c:pt idx="64">
                  <c:v>11</c:v>
                </c:pt>
                <c:pt idx="65">
                  <c:v>1.32</c:v>
                </c:pt>
                <c:pt idx="66">
                  <c:v>35</c:v>
                </c:pt>
                <c:pt idx="67">
                  <c:v>0.18</c:v>
                </c:pt>
                <c:pt idx="68">
                  <c:v>0</c:v>
                </c:pt>
                <c:pt idx="69">
                  <c:v>1.04</c:v>
                </c:pt>
                <c:pt idx="70">
                  <c:v>0</c:v>
                </c:pt>
                <c:pt idx="71">
                  <c:v>0</c:v>
                </c:pt>
                <c:pt idx="72">
                  <c:v>0</c:v>
                </c:pt>
                <c:pt idx="73">
                  <c:v>8</c:v>
                </c:pt>
                <c:pt idx="74">
                  <c:v>0</c:v>
                </c:pt>
                <c:pt idx="75">
                  <c:v>0</c:v>
                </c:pt>
                <c:pt idx="76">
                  <c:v>120</c:v>
                </c:pt>
                <c:pt idx="77">
                  <c:v>1250</c:v>
                </c:pt>
                <c:pt idx="78">
                  <c:v>3.92</c:v>
                </c:pt>
                <c:pt idx="79">
                  <c:v>100</c:v>
                </c:pt>
                <c:pt idx="80">
                  <c:v>10.23</c:v>
                </c:pt>
                <c:pt idx="81">
                  <c:v>0</c:v>
                </c:pt>
                <c:pt idx="82">
                  <c:v>3.1</c:v>
                </c:pt>
                <c:pt idx="83">
                  <c:v>337</c:v>
                </c:pt>
                <c:pt idx="84">
                  <c:v>9.89</c:v>
                </c:pt>
                <c:pt idx="85">
                  <c:v>50</c:v>
                </c:pt>
                <c:pt idx="86">
                  <c:v>0</c:v>
                </c:pt>
                <c:pt idx="87">
                  <c:v>0</c:v>
                </c:pt>
                <c:pt idx="88">
                  <c:v>0</c:v>
                </c:pt>
                <c:pt idx="89">
                  <c:v>9</c:v>
                </c:pt>
                <c:pt idx="90">
                  <c:v>0</c:v>
                </c:pt>
                <c:pt idx="91">
                  <c:v>0</c:v>
                </c:pt>
                <c:pt idx="92">
                  <c:v>150</c:v>
                </c:pt>
                <c:pt idx="93">
                  <c:v>4.0999999999999996</c:v>
                </c:pt>
                <c:pt idx="94">
                  <c:v>3.7</c:v>
                </c:pt>
                <c:pt idx="95">
                  <c:v>0.57999999999999996</c:v>
                </c:pt>
                <c:pt idx="96">
                  <c:v>1</c:v>
                </c:pt>
                <c:pt idx="97">
                  <c:v>0.55000000000000004</c:v>
                </c:pt>
                <c:pt idx="98">
                  <c:v>300</c:v>
                </c:pt>
                <c:pt idx="99">
                  <c:v>7</c:v>
                </c:pt>
                <c:pt idx="100">
                  <c:v>14.3</c:v>
                </c:pt>
                <c:pt idx="101">
                  <c:v>18.88</c:v>
                </c:pt>
                <c:pt idx="102">
                  <c:v>54</c:v>
                </c:pt>
                <c:pt idx="103">
                  <c:v>30</c:v>
                </c:pt>
                <c:pt idx="104">
                  <c:v>90</c:v>
                </c:pt>
                <c:pt idx="105">
                  <c:v>1.97</c:v>
                </c:pt>
                <c:pt idx="106">
                  <c:v>4.3600000000000003</c:v>
                </c:pt>
                <c:pt idx="107">
                  <c:v>15</c:v>
                </c:pt>
                <c:pt idx="108">
                  <c:v>8</c:v>
                </c:pt>
                <c:pt idx="109">
                  <c:v>0.56999999999999995</c:v>
                </c:pt>
                <c:pt idx="110">
                  <c:v>3</c:v>
                </c:pt>
                <c:pt idx="111">
                  <c:v>3</c:v>
                </c:pt>
                <c:pt idx="112">
                  <c:v>0.91</c:v>
                </c:pt>
                <c:pt idx="113">
                  <c:v>0</c:v>
                </c:pt>
                <c:pt idx="114">
                  <c:v>17.809999999999999</c:v>
                </c:pt>
                <c:pt idx="115">
                  <c:v>1.24</c:v>
                </c:pt>
                <c:pt idx="116">
                  <c:v>15.48</c:v>
                </c:pt>
                <c:pt idx="117">
                  <c:v>4.16</c:v>
                </c:pt>
                <c:pt idx="118">
                  <c:v>7</c:v>
                </c:pt>
                <c:pt idx="119">
                  <c:v>0</c:v>
                </c:pt>
                <c:pt idx="120">
                  <c:v>0.8</c:v>
                </c:pt>
                <c:pt idx="121">
                  <c:v>2.5</c:v>
                </c:pt>
                <c:pt idx="122">
                  <c:v>3.25</c:v>
                </c:pt>
                <c:pt idx="123">
                  <c:v>0</c:v>
                </c:pt>
                <c:pt idx="124">
                  <c:v>2</c:v>
                </c:pt>
                <c:pt idx="125">
                  <c:v>4.18</c:v>
                </c:pt>
                <c:pt idx="126">
                  <c:v>3.59</c:v>
                </c:pt>
                <c:pt idx="127">
                  <c:v>5.56</c:v>
                </c:pt>
                <c:pt idx="128">
                  <c:v>60</c:v>
                </c:pt>
                <c:pt idx="129">
                  <c:v>15</c:v>
                </c:pt>
                <c:pt idx="130">
                  <c:v>0</c:v>
                </c:pt>
                <c:pt idx="131">
                  <c:v>9.4</c:v>
                </c:pt>
                <c:pt idx="132">
                  <c:v>2.96</c:v>
                </c:pt>
                <c:pt idx="133">
                  <c:v>22.95</c:v>
                </c:pt>
                <c:pt idx="134">
                  <c:v>0.1</c:v>
                </c:pt>
                <c:pt idx="135">
                  <c:v>15.6</c:v>
                </c:pt>
                <c:pt idx="136">
                  <c:v>100</c:v>
                </c:pt>
                <c:pt idx="137">
                  <c:v>0</c:v>
                </c:pt>
                <c:pt idx="138">
                  <c:v>30</c:v>
                </c:pt>
                <c:pt idx="139">
                  <c:v>32.799999999999997</c:v>
                </c:pt>
                <c:pt idx="140">
                  <c:v>20</c:v>
                </c:pt>
                <c:pt idx="141">
                  <c:v>250</c:v>
                </c:pt>
                <c:pt idx="142">
                  <c:v>52.35</c:v>
                </c:pt>
                <c:pt idx="143">
                  <c:v>5.2</c:v>
                </c:pt>
                <c:pt idx="144">
                  <c:v>0</c:v>
                </c:pt>
                <c:pt idx="145">
                  <c:v>0.8</c:v>
                </c:pt>
                <c:pt idx="146">
                  <c:v>15.25</c:v>
                </c:pt>
                <c:pt idx="147">
                  <c:v>34.5</c:v>
                </c:pt>
                <c:pt idx="148">
                  <c:v>0</c:v>
                </c:pt>
                <c:pt idx="149">
                  <c:v>41.59</c:v>
                </c:pt>
                <c:pt idx="150">
                  <c:v>20</c:v>
                </c:pt>
                <c:pt idx="151">
                  <c:v>5</c:v>
                </c:pt>
                <c:pt idx="152">
                  <c:v>28</c:v>
                </c:pt>
                <c:pt idx="153">
                  <c:v>2.4500000000000002</c:v>
                </c:pt>
                <c:pt idx="154">
                  <c:v>20</c:v>
                </c:pt>
                <c:pt idx="155">
                  <c:v>0</c:v>
                </c:pt>
                <c:pt idx="156">
                  <c:v>1.7</c:v>
                </c:pt>
                <c:pt idx="157">
                  <c:v>7.65</c:v>
                </c:pt>
                <c:pt idx="158">
                  <c:v>7</c:v>
                </c:pt>
                <c:pt idx="159">
                  <c:v>4.5</c:v>
                </c:pt>
                <c:pt idx="160">
                  <c:v>7</c:v>
                </c:pt>
                <c:pt idx="161">
                  <c:v>0.1</c:v>
                </c:pt>
                <c:pt idx="162">
                  <c:v>7.46</c:v>
                </c:pt>
                <c:pt idx="163">
                  <c:v>25</c:v>
                </c:pt>
                <c:pt idx="164">
                  <c:v>1</c:v>
                </c:pt>
                <c:pt idx="165">
                  <c:v>2.8</c:v>
                </c:pt>
                <c:pt idx="166">
                  <c:v>7</c:v>
                </c:pt>
                <c:pt idx="167">
                  <c:v>12</c:v>
                </c:pt>
                <c:pt idx="168">
                  <c:v>0</c:v>
                </c:pt>
                <c:pt idx="169">
                  <c:v>6</c:v>
                </c:pt>
                <c:pt idx="170">
                  <c:v>0.02</c:v>
                </c:pt>
                <c:pt idx="171">
                  <c:v>20.5</c:v>
                </c:pt>
                <c:pt idx="172">
                  <c:v>4.2</c:v>
                </c:pt>
                <c:pt idx="173">
                  <c:v>0</c:v>
                </c:pt>
                <c:pt idx="174">
                  <c:v>0</c:v>
                </c:pt>
                <c:pt idx="175">
                  <c:v>4.5</c:v>
                </c:pt>
                <c:pt idx="176">
                  <c:v>2</c:v>
                </c:pt>
                <c:pt idx="177">
                  <c:v>14.65</c:v>
                </c:pt>
                <c:pt idx="178">
                  <c:v>3.8</c:v>
                </c:pt>
                <c:pt idx="179">
                  <c:v>34.299999999999997</c:v>
                </c:pt>
                <c:pt idx="180">
                  <c:v>20</c:v>
                </c:pt>
                <c:pt idx="181">
                  <c:v>2.23</c:v>
                </c:pt>
                <c:pt idx="182">
                  <c:v>21</c:v>
                </c:pt>
                <c:pt idx="183">
                  <c:v>0</c:v>
                </c:pt>
                <c:pt idx="184">
                  <c:v>16.63</c:v>
                </c:pt>
                <c:pt idx="185">
                  <c:v>25.32</c:v>
                </c:pt>
                <c:pt idx="186">
                  <c:v>0</c:v>
                </c:pt>
                <c:pt idx="187">
                  <c:v>20</c:v>
                </c:pt>
                <c:pt idx="188">
                  <c:v>0</c:v>
                </c:pt>
                <c:pt idx="189">
                  <c:v>0</c:v>
                </c:pt>
                <c:pt idx="190">
                  <c:v>15</c:v>
                </c:pt>
                <c:pt idx="191">
                  <c:v>27</c:v>
                </c:pt>
                <c:pt idx="192">
                  <c:v>150</c:v>
                </c:pt>
                <c:pt idx="193">
                  <c:v>5.25</c:v>
                </c:pt>
                <c:pt idx="194">
                  <c:v>60</c:v>
                </c:pt>
                <c:pt idx="195">
                  <c:v>0</c:v>
                </c:pt>
                <c:pt idx="196">
                  <c:v>13</c:v>
                </c:pt>
                <c:pt idx="197">
                  <c:v>22</c:v>
                </c:pt>
                <c:pt idx="198">
                  <c:v>95.1</c:v>
                </c:pt>
                <c:pt idx="199">
                  <c:v>300</c:v>
                </c:pt>
                <c:pt idx="200">
                  <c:v>0.5</c:v>
                </c:pt>
                <c:pt idx="201">
                  <c:v>1.75</c:v>
                </c:pt>
                <c:pt idx="202">
                  <c:v>250</c:v>
                </c:pt>
                <c:pt idx="203">
                  <c:v>2</c:v>
                </c:pt>
                <c:pt idx="204">
                  <c:v>0</c:v>
                </c:pt>
                <c:pt idx="205">
                  <c:v>6.5</c:v>
                </c:pt>
                <c:pt idx="206">
                  <c:v>17.350000000000001</c:v>
                </c:pt>
                <c:pt idx="207">
                  <c:v>65</c:v>
                </c:pt>
                <c:pt idx="208">
                  <c:v>0.92</c:v>
                </c:pt>
                <c:pt idx="209">
                  <c:v>12.63</c:v>
                </c:pt>
                <c:pt idx="210">
                  <c:v>30.15</c:v>
                </c:pt>
                <c:pt idx="211">
                  <c:v>0.25</c:v>
                </c:pt>
                <c:pt idx="212">
                  <c:v>15</c:v>
                </c:pt>
                <c:pt idx="213">
                  <c:v>0.51</c:v>
                </c:pt>
                <c:pt idx="214">
                  <c:v>110</c:v>
                </c:pt>
                <c:pt idx="215">
                  <c:v>0</c:v>
                </c:pt>
                <c:pt idx="216">
                  <c:v>11</c:v>
                </c:pt>
                <c:pt idx="217">
                  <c:v>9.66</c:v>
                </c:pt>
                <c:pt idx="218">
                  <c:v>0.85</c:v>
                </c:pt>
                <c:pt idx="219">
                  <c:v>0.95</c:v>
                </c:pt>
                <c:pt idx="220">
                  <c:v>2</c:v>
                </c:pt>
                <c:pt idx="221">
                  <c:v>24.5</c:v>
                </c:pt>
                <c:pt idx="222">
                  <c:v>6</c:v>
                </c:pt>
                <c:pt idx="223">
                  <c:v>2.1800000000000002</c:v>
                </c:pt>
                <c:pt idx="224">
                  <c:v>0</c:v>
                </c:pt>
                <c:pt idx="225">
                  <c:v>0</c:v>
                </c:pt>
                <c:pt idx="226">
                  <c:v>54</c:v>
                </c:pt>
                <c:pt idx="227">
                  <c:v>48</c:v>
                </c:pt>
                <c:pt idx="228">
                  <c:v>830</c:v>
                </c:pt>
                <c:pt idx="229">
                  <c:v>2.1</c:v>
                </c:pt>
                <c:pt idx="230">
                  <c:v>4.1500000000000004</c:v>
                </c:pt>
                <c:pt idx="231">
                  <c:v>4.67</c:v>
                </c:pt>
                <c:pt idx="232">
                  <c:v>0.61</c:v>
                </c:pt>
                <c:pt idx="233">
                  <c:v>29</c:v>
                </c:pt>
                <c:pt idx="234">
                  <c:v>0</c:v>
                </c:pt>
                <c:pt idx="235">
                  <c:v>15</c:v>
                </c:pt>
                <c:pt idx="236">
                  <c:v>8</c:v>
                </c:pt>
                <c:pt idx="237">
                  <c:v>15</c:v>
                </c:pt>
                <c:pt idx="238">
                  <c:v>0</c:v>
                </c:pt>
                <c:pt idx="239">
                  <c:v>0</c:v>
                </c:pt>
                <c:pt idx="240">
                  <c:v>4.92</c:v>
                </c:pt>
                <c:pt idx="241">
                  <c:v>17</c:v>
                </c:pt>
                <c:pt idx="242">
                  <c:v>186.25</c:v>
                </c:pt>
                <c:pt idx="243">
                  <c:v>22.52</c:v>
                </c:pt>
                <c:pt idx="244">
                  <c:v>32</c:v>
                </c:pt>
                <c:pt idx="245">
                  <c:v>6</c:v>
                </c:pt>
                <c:pt idx="246">
                  <c:v>5</c:v>
                </c:pt>
                <c:pt idx="247">
                  <c:v>24.9</c:v>
                </c:pt>
                <c:pt idx="248">
                  <c:v>2</c:v>
                </c:pt>
                <c:pt idx="249">
                  <c:v>48.9</c:v>
                </c:pt>
                <c:pt idx="250">
                  <c:v>0.13</c:v>
                </c:pt>
                <c:pt idx="251">
                  <c:v>21</c:v>
                </c:pt>
                <c:pt idx="252">
                  <c:v>0</c:v>
                </c:pt>
                <c:pt idx="253">
                  <c:v>28.59</c:v>
                </c:pt>
                <c:pt idx="254">
                  <c:v>1.3</c:v>
                </c:pt>
                <c:pt idx="255">
                  <c:v>1.86</c:v>
                </c:pt>
                <c:pt idx="256">
                  <c:v>65</c:v>
                </c:pt>
                <c:pt idx="257">
                  <c:v>0</c:v>
                </c:pt>
                <c:pt idx="258">
                  <c:v>8</c:v>
                </c:pt>
                <c:pt idx="259">
                  <c:v>7.5</c:v>
                </c:pt>
                <c:pt idx="260">
                  <c:v>4.9000000000000004</c:v>
                </c:pt>
                <c:pt idx="261">
                  <c:v>100</c:v>
                </c:pt>
                <c:pt idx="262">
                  <c:v>0</c:v>
                </c:pt>
                <c:pt idx="263">
                  <c:v>11.45</c:v>
                </c:pt>
                <c:pt idx="264">
                  <c:v>13</c:v>
                </c:pt>
                <c:pt idx="265">
                  <c:v>6.5</c:v>
                </c:pt>
                <c:pt idx="266">
                  <c:v>0.75</c:v>
                </c:pt>
                <c:pt idx="267">
                  <c:v>0.63</c:v>
                </c:pt>
                <c:pt idx="268">
                  <c:v>0.35</c:v>
                </c:pt>
                <c:pt idx="269">
                  <c:v>0</c:v>
                </c:pt>
                <c:pt idx="270">
                  <c:v>25.76</c:v>
                </c:pt>
              </c:numCache>
            </c:numRef>
          </c:bubbleSize>
          <c:bubble3D val="0"/>
          <c:extLst>
            <c:ext xmlns:c16="http://schemas.microsoft.com/office/drawing/2014/chart" uri="{C3380CC4-5D6E-409C-BE32-E72D297353CC}">
              <c16:uniqueId val="{00000000-A099-42F2-8FC4-AB7F34F88767}"/>
            </c:ext>
          </c:extLst>
        </c:ser>
        <c:dLbls>
          <c:showLegendKey val="0"/>
          <c:showVal val="0"/>
          <c:showCatName val="0"/>
          <c:showSerName val="0"/>
          <c:showPercent val="0"/>
          <c:showBubbleSize val="0"/>
        </c:dLbls>
        <c:bubbleScale val="100"/>
        <c:showNegBubbles val="0"/>
        <c:axId val="1232958479"/>
        <c:axId val="1232944079"/>
      </c:bubbleChart>
      <c:valAx>
        <c:axId val="1232958479"/>
        <c:scaling>
          <c:orientation val="minMax"/>
          <c:max val="46100"/>
          <c:min val="41800"/>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44079"/>
        <c:crosses val="autoZero"/>
        <c:crossBetween val="midCat"/>
        <c:majorUnit val="700"/>
      </c:valAx>
      <c:valAx>
        <c:axId val="1232944079"/>
        <c:scaling>
          <c:orientation val="minMax"/>
          <c:min val="0"/>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USD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2958479"/>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14</xdr:col>
      <xdr:colOff>272321</xdr:colOff>
      <xdr:row>26</xdr:row>
      <xdr:rowOff>101725</xdr:rowOff>
    </xdr:to>
    <xdr:graphicFrame macro="">
      <xdr:nvGraphicFramePr>
        <xdr:cNvPr id="2" name="Chart 1">
          <a:extLst>
            <a:ext uri="{FF2B5EF4-FFF2-40B4-BE49-F238E27FC236}">
              <a16:creationId xmlns:a16="http://schemas.microsoft.com/office/drawing/2014/main" id="{6B18FDD2-477B-4047-B452-4FEEFEDC2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484641</xdr:colOff>
      <xdr:row>29</xdr:row>
      <xdr:rowOff>176155</xdr:rowOff>
    </xdr:from>
    <xdr:to>
      <xdr:col>14</xdr:col>
      <xdr:colOff>221044</xdr:colOff>
      <xdr:row>52</xdr:row>
      <xdr:rowOff>137410</xdr:rowOff>
    </xdr:to>
    <xdr:graphicFrame macro="">
      <xdr:nvGraphicFramePr>
        <xdr:cNvPr id="3" name="Chart 2">
          <a:extLst>
            <a:ext uri="{FF2B5EF4-FFF2-40B4-BE49-F238E27FC236}">
              <a16:creationId xmlns:a16="http://schemas.microsoft.com/office/drawing/2014/main" id="{0528E082-237F-486D-9CF3-26187741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321184</xdr:colOff>
      <xdr:row>4</xdr:row>
      <xdr:rowOff>1270</xdr:rowOff>
    </xdr:from>
    <xdr:to>
      <xdr:col>29</xdr:col>
      <xdr:colOff>587156</xdr:colOff>
      <xdr:row>26</xdr:row>
      <xdr:rowOff>87755</xdr:rowOff>
    </xdr:to>
    <xdr:graphicFrame macro="">
      <xdr:nvGraphicFramePr>
        <xdr:cNvPr id="4" name="Chart 3">
          <a:extLst>
            <a:ext uri="{FF2B5EF4-FFF2-40B4-BE49-F238E27FC236}">
              <a16:creationId xmlns:a16="http://schemas.microsoft.com/office/drawing/2014/main" id="{37F6E04D-B9E1-4987-8A6A-9D26351B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351040</xdr:colOff>
      <xdr:row>31</xdr:row>
      <xdr:rowOff>99935</xdr:rowOff>
    </xdr:from>
    <xdr:to>
      <xdr:col>29</xdr:col>
      <xdr:colOff>548370</xdr:colOff>
      <xdr:row>51</xdr:row>
      <xdr:rowOff>177680</xdr:rowOff>
    </xdr:to>
    <xdr:graphicFrame macro="">
      <xdr:nvGraphicFramePr>
        <xdr:cNvPr id="5" name="Chart 4">
          <a:extLst>
            <a:ext uri="{FF2B5EF4-FFF2-40B4-BE49-F238E27FC236}">
              <a16:creationId xmlns:a16="http://schemas.microsoft.com/office/drawing/2014/main" id="{5F9334D3-C80B-4E11-8B9E-216779B48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1</xdr:row>
      <xdr:rowOff>20320</xdr:rowOff>
    </xdr:from>
    <xdr:to>
      <xdr:col>15</xdr:col>
      <xdr:colOff>297180</xdr:colOff>
      <xdr:row>19</xdr:row>
      <xdr:rowOff>0</xdr:rowOff>
    </xdr:to>
    <xdr:graphicFrame macro="">
      <xdr:nvGraphicFramePr>
        <xdr:cNvPr id="3" name="Chart 2">
          <a:extLst>
            <a:ext uri="{FF2B5EF4-FFF2-40B4-BE49-F238E27FC236}">
              <a16:creationId xmlns:a16="http://schemas.microsoft.com/office/drawing/2014/main" id="{D6E91B15-8457-43F0-9452-3FE54423C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Iliana Griva" id="{57A0039C-2048-4C7B-A245-831D32ED7F0F}" userId="S::iliana_griva@BERKELEY.EDU::65efce93-828e-46e4-be56-8b126830e7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3" dT="2025-12-23T19:06:18.90" personId="{57A0039C-2048-4C7B-A245-831D32ED7F0F}" id="{3E91C15C-834A-4B5C-95C8-3F1BA7B34A63}">
    <text>Share % reflects as share of number of investors; it does not reflect % participation in deal size (USD M)</text>
  </threadedComment>
  <threadedComment ref="B34" dT="2025-12-23T19:06:22.72" personId="{57A0039C-2048-4C7B-A245-831D32ED7F0F}" id="{47D75171-7514-41B6-8029-0B92D3F3A32F}">
    <text>Share % reflects as share of number of investors; it does not reflect % participation in deal size (USD M)</text>
  </threadedComment>
  <threadedComment ref="B65" dT="2025-12-23T22:27:41.55" personId="{57A0039C-2048-4C7B-A245-831D32ED7F0F}" id="{2E8AAEB3-CF38-40F2-B509-8904CD800015}">
    <text>Reflects median debt share *only* in deals that reported debt</text>
  </threadedComment>
  <threadedComment ref="B66" dT="2025-12-23T22:27:58.27" personId="{57A0039C-2048-4C7B-A245-831D32ED7F0F}" id="{6B39D4D4-2CD4-4D2F-8674-5546A5D4769E}">
    <text>Average share of debt across all deals</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5-12-23T11:39:07.08" personId="{57A0039C-2048-4C7B-A245-831D32ED7F0F}" id="{DB861BA5-A21D-46D7-9626-EE387575986E}">
    <text xml:space="preserve">Refers to total capital (USD M) raised until the date of the focus deal (bridge) and not up to date (i.e., Dec-25, if more rounds have been raised subsequently) </text>
  </threadedComment>
  <threadedComment ref="S2" dT="2025-12-23T17:29:17.45" personId="{57A0039C-2048-4C7B-A245-831D32ED7F0F}" id="{5E57D191-07C5-41C9-BC0B-830113D32B58}">
    <text xml:space="preserve">This only filters for *new* strategic investors </text>
  </threadedComment>
  <threadedComment ref="T2" dT="2025-12-23T17:30:31.71" personId="{57A0039C-2048-4C7B-A245-831D32ED7F0F}" id="{24211D77-090C-46E1-83EC-F099235134E2}">
    <text>This scans for philanthropic capital across all participating investors</text>
  </threadedComment>
  <threadedComment ref="U2" dT="2025-12-23T17:30:54.29" personId="{57A0039C-2048-4C7B-A245-831D32ED7F0F}" id="{1AC53312-2287-4EDB-9D6F-DC616E66C3FC}">
    <text>This reflects the investor mix among all participating investors (new and follow-on)</text>
  </threadedComment>
</ThreadedComments>
</file>

<file path=xl/threadedComments/threadedComment3.xml><?xml version="1.0" encoding="utf-8"?>
<ThreadedComments xmlns="http://schemas.microsoft.com/office/spreadsheetml/2018/threadedcomments" xmlns:x="http://schemas.openxmlformats.org/spreadsheetml/2006/main">
  <threadedComment ref="I2" dT="2025-12-23T10:46:07.90" personId="{57A0039C-2048-4C7B-A245-831D32ED7F0F}" id="{41E8C41A-6A39-4599-8F9E-92613BA14C01}">
    <text xml:space="preserve">Refers to USD amount raised up to the date of the focus deal (bridge) and not up to today (if more rounds have been raised subsequently) </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12-23T09:23:37.61" personId="{57A0039C-2048-4C7B-A245-831D32ED7F0F}" id="{3C58899D-13E7-46A2-B1D4-1A20B4D5DFAB}">
    <text>These companies have been excluded on the basis of scope for either of two reasons 1) Although strictly in scope, the technologies/ solutions offered by these companies are not priority sectors for Trellis’ investment strategy 2) The company  profile and development stage does not serve the purpose of this analysis (i.e., development capital for solar/ wind project developers would not provide insights regarding the commercialization pathways of early-of-a-kind technologies)</text>
  </threadedComment>
  <threadedComment ref="E2" dT="2025-12-23T09:32:53.61" personId="{57A0039C-2048-4C7B-A245-831D32ED7F0F}" id="{7903F85C-A91E-473D-B95B-0AA78802A256}">
    <text xml:space="preserve">These companies were included even though it is unclear if the deals that cape up in the search would strictly fall under our definition of “bridge”. The reason for their inclusion was to boost the statistical significance of the analysis through a larger dataset, which, based on all factors we prioritize (solution, stage of development, capital access), fall in the scope of this analysis. Further bottom -up search of each of these rounds would be required to exclude them without compromising the dataset.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https://nacero.co/" TargetMode="External"/><Relationship Id="rId7" Type="http://schemas.microsoft.com/office/2017/10/relationships/threadedComment" Target="../threadedComments/threadedComment3.xml"/><Relationship Id="rId2" Type="http://schemas.openxmlformats.org/officeDocument/2006/relationships/hyperlink" Target="http://www.stonemountaintechnologies.com/" TargetMode="External"/><Relationship Id="rId1" Type="http://schemas.openxmlformats.org/officeDocument/2006/relationships/hyperlink" Target="http://www.stonemountaintechnologies.com/"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hyperlink" Target="https://www.tarform.com/"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56FD-8DA5-4B29-99ED-5E1024E43F2A}">
  <sheetPr>
    <tabColor rgb="FF126A6C"/>
  </sheetPr>
  <dimension ref="B2:N22"/>
  <sheetViews>
    <sheetView showGridLines="0" zoomScale="88" workbookViewId="0"/>
  </sheetViews>
  <sheetFormatPr defaultRowHeight="14.5" x14ac:dyDescent="0.35"/>
  <cols>
    <col min="1" max="16384" width="8.7265625" style="4"/>
  </cols>
  <sheetData>
    <row r="2" spans="2:14" ht="21" x14ac:dyDescent="0.5">
      <c r="B2" s="22" t="s">
        <v>971</v>
      </c>
    </row>
    <row r="4" spans="2:14" ht="18.5" x14ac:dyDescent="0.45">
      <c r="B4" s="23" t="s">
        <v>972</v>
      </c>
    </row>
    <row r="5" spans="2:14" x14ac:dyDescent="0.35">
      <c r="B5" s="24" t="s">
        <v>973</v>
      </c>
    </row>
    <row r="8" spans="2:14" ht="14.5" customHeight="1" x14ac:dyDescent="0.35">
      <c r="B8" s="113" t="s">
        <v>2315</v>
      </c>
      <c r="C8" s="113"/>
      <c r="D8" s="113"/>
      <c r="E8" s="113"/>
      <c r="F8" s="113"/>
      <c r="G8" s="113"/>
      <c r="H8" s="113"/>
      <c r="I8" s="113"/>
      <c r="J8" s="113"/>
      <c r="K8" s="113"/>
      <c r="L8" s="113"/>
      <c r="M8" s="113"/>
      <c r="N8" s="113"/>
    </row>
    <row r="9" spans="2:14" x14ac:dyDescent="0.35">
      <c r="B9" s="113"/>
      <c r="C9" s="113"/>
      <c r="D9" s="113"/>
      <c r="E9" s="113"/>
      <c r="F9" s="113"/>
      <c r="G9" s="113"/>
      <c r="H9" s="113"/>
      <c r="I9" s="113"/>
      <c r="J9" s="113"/>
      <c r="K9" s="113"/>
      <c r="L9" s="113"/>
      <c r="M9" s="113"/>
      <c r="N9" s="113"/>
    </row>
    <row r="10" spans="2:14" x14ac:dyDescent="0.35">
      <c r="B10" s="113"/>
      <c r="C10" s="113"/>
      <c r="D10" s="113"/>
      <c r="E10" s="113"/>
      <c r="F10" s="113"/>
      <c r="G10" s="113"/>
      <c r="H10" s="113"/>
      <c r="I10" s="113"/>
      <c r="J10" s="113"/>
      <c r="K10" s="113"/>
      <c r="L10" s="113"/>
      <c r="M10" s="113"/>
      <c r="N10" s="113"/>
    </row>
    <row r="11" spans="2:14" x14ac:dyDescent="0.35">
      <c r="B11" s="113"/>
      <c r="C11" s="113"/>
      <c r="D11" s="113"/>
      <c r="E11" s="113"/>
      <c r="F11" s="113"/>
      <c r="G11" s="113"/>
      <c r="H11" s="113"/>
      <c r="I11" s="113"/>
      <c r="J11" s="113"/>
      <c r="K11" s="113"/>
      <c r="L11" s="113"/>
      <c r="M11" s="113"/>
      <c r="N11" s="113"/>
    </row>
    <row r="12" spans="2:14" x14ac:dyDescent="0.35">
      <c r="B12" s="113"/>
      <c r="C12" s="113"/>
      <c r="D12" s="113"/>
      <c r="E12" s="113"/>
      <c r="F12" s="113"/>
      <c r="G12" s="113"/>
      <c r="H12" s="113"/>
      <c r="I12" s="113"/>
      <c r="J12" s="113"/>
      <c r="K12" s="113"/>
      <c r="L12" s="113"/>
      <c r="M12" s="113"/>
      <c r="N12" s="113"/>
    </row>
    <row r="13" spans="2:14" x14ac:dyDescent="0.35">
      <c r="B13" s="113"/>
      <c r="C13" s="113"/>
      <c r="D13" s="113"/>
      <c r="E13" s="113"/>
      <c r="F13" s="113"/>
      <c r="G13" s="113"/>
      <c r="H13" s="113"/>
      <c r="I13" s="113"/>
      <c r="J13" s="113"/>
      <c r="K13" s="113"/>
      <c r="L13" s="113"/>
      <c r="M13" s="113"/>
      <c r="N13" s="113"/>
    </row>
    <row r="14" spans="2:14" x14ac:dyDescent="0.35">
      <c r="B14" s="113"/>
      <c r="C14" s="113"/>
      <c r="D14" s="113"/>
      <c r="E14" s="113"/>
      <c r="F14" s="113"/>
      <c r="G14" s="113"/>
      <c r="H14" s="113"/>
      <c r="I14" s="113"/>
      <c r="J14" s="113"/>
      <c r="K14" s="113"/>
      <c r="L14" s="113"/>
      <c r="M14" s="113"/>
      <c r="N14" s="113"/>
    </row>
    <row r="15" spans="2:14" x14ac:dyDescent="0.35">
      <c r="B15" s="113"/>
      <c r="C15" s="113"/>
      <c r="D15" s="113"/>
      <c r="E15" s="113"/>
      <c r="F15" s="113"/>
      <c r="G15" s="113"/>
      <c r="H15" s="113"/>
      <c r="I15" s="113"/>
      <c r="J15" s="113"/>
      <c r="K15" s="113"/>
      <c r="L15" s="113"/>
      <c r="M15" s="113"/>
      <c r="N15" s="113"/>
    </row>
    <row r="16" spans="2:14" x14ac:dyDescent="0.35">
      <c r="B16" s="113"/>
      <c r="C16" s="113"/>
      <c r="D16" s="113"/>
      <c r="E16" s="113"/>
      <c r="F16" s="113"/>
      <c r="G16" s="113"/>
      <c r="H16" s="113"/>
      <c r="I16" s="113"/>
      <c r="J16" s="113"/>
      <c r="K16" s="113"/>
      <c r="L16" s="113"/>
      <c r="M16" s="113"/>
      <c r="N16" s="113"/>
    </row>
    <row r="17" spans="2:14" x14ac:dyDescent="0.35">
      <c r="B17" s="113"/>
      <c r="C17" s="113"/>
      <c r="D17" s="113"/>
      <c r="E17" s="113"/>
      <c r="F17" s="113"/>
      <c r="G17" s="113"/>
      <c r="H17" s="113"/>
      <c r="I17" s="113"/>
      <c r="J17" s="113"/>
      <c r="K17" s="113"/>
      <c r="L17" s="113"/>
      <c r="M17" s="113"/>
      <c r="N17" s="113"/>
    </row>
    <row r="18" spans="2:14" x14ac:dyDescent="0.35">
      <c r="B18" s="113"/>
      <c r="C18" s="113"/>
      <c r="D18" s="113"/>
      <c r="E18" s="113"/>
      <c r="F18" s="113"/>
      <c r="G18" s="113"/>
      <c r="H18" s="113"/>
      <c r="I18" s="113"/>
      <c r="J18" s="113"/>
      <c r="K18" s="113"/>
      <c r="L18" s="113"/>
      <c r="M18" s="113"/>
      <c r="N18" s="113"/>
    </row>
    <row r="19" spans="2:14" x14ac:dyDescent="0.35">
      <c r="B19" s="113"/>
      <c r="C19" s="113"/>
      <c r="D19" s="113"/>
      <c r="E19" s="113"/>
      <c r="F19" s="113"/>
      <c r="G19" s="113"/>
      <c r="H19" s="113"/>
      <c r="I19" s="113"/>
      <c r="J19" s="113"/>
      <c r="K19" s="113"/>
      <c r="L19" s="113"/>
      <c r="M19" s="113"/>
      <c r="N19" s="113"/>
    </row>
    <row r="20" spans="2:14" x14ac:dyDescent="0.35">
      <c r="B20" s="113"/>
      <c r="C20" s="113"/>
      <c r="D20" s="113"/>
      <c r="E20" s="113"/>
      <c r="F20" s="113"/>
      <c r="G20" s="113"/>
      <c r="H20" s="113"/>
      <c r="I20" s="113"/>
      <c r="J20" s="113"/>
      <c r="K20" s="113"/>
      <c r="L20" s="113"/>
      <c r="M20" s="113"/>
      <c r="N20" s="113"/>
    </row>
    <row r="21" spans="2:14" x14ac:dyDescent="0.35">
      <c r="B21" s="113"/>
      <c r="C21" s="113"/>
      <c r="D21" s="113"/>
      <c r="E21" s="113"/>
      <c r="F21" s="113"/>
      <c r="G21" s="113"/>
      <c r="H21" s="113"/>
      <c r="I21" s="113"/>
      <c r="J21" s="113"/>
      <c r="K21" s="113"/>
      <c r="L21" s="113"/>
      <c r="M21" s="113"/>
      <c r="N21" s="113"/>
    </row>
    <row r="22" spans="2:14" x14ac:dyDescent="0.35">
      <c r="B22" s="113"/>
      <c r="C22" s="113"/>
      <c r="D22" s="113"/>
      <c r="E22" s="113"/>
      <c r="F22" s="113"/>
      <c r="G22" s="113"/>
      <c r="H22" s="113"/>
      <c r="I22" s="113"/>
      <c r="J22" s="113"/>
      <c r="K22" s="113"/>
      <c r="L22" s="113"/>
      <c r="M22" s="113"/>
      <c r="N22" s="113"/>
    </row>
  </sheetData>
  <mergeCells count="1">
    <mergeCell ref="B8: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F6A8-BCB1-4165-8594-AA799C4D8120}">
  <sheetPr>
    <tabColor rgb="FF2C8881"/>
  </sheetPr>
  <dimension ref="B2:M66"/>
  <sheetViews>
    <sheetView showGridLines="0" zoomScale="56" zoomScaleNormal="70" workbookViewId="0">
      <selection activeCell="C45" sqref="C45"/>
    </sheetView>
  </sheetViews>
  <sheetFormatPr defaultRowHeight="14.5" x14ac:dyDescent="0.35"/>
  <cols>
    <col min="1" max="1" width="5.08984375" style="4" customWidth="1"/>
    <col min="2" max="2" width="40" style="4" bestFit="1" customWidth="1"/>
    <col min="3" max="3" width="19.54296875" style="4" customWidth="1"/>
    <col min="4" max="4" width="18.7265625" style="4" bestFit="1" customWidth="1"/>
    <col min="5" max="5" width="19" style="4" bestFit="1" customWidth="1"/>
    <col min="6" max="6" width="17.7265625" style="4" bestFit="1" customWidth="1"/>
    <col min="7" max="7" width="19.08984375" style="4" bestFit="1" customWidth="1"/>
    <col min="8" max="8" width="19.54296875" style="4" bestFit="1" customWidth="1"/>
    <col min="9" max="9" width="21.90625" style="4" customWidth="1"/>
    <col min="10" max="10" width="17.7265625" style="4" bestFit="1" customWidth="1"/>
    <col min="11" max="11" width="20.36328125" style="4" customWidth="1"/>
    <col min="12" max="12" width="19.1796875" style="4" customWidth="1"/>
    <col min="13" max="13" width="19.90625" style="4" customWidth="1"/>
    <col min="14" max="16384" width="8.7265625" style="4"/>
  </cols>
  <sheetData>
    <row r="2" spans="2:13" ht="29" thickBot="1" x14ac:dyDescent="0.7">
      <c r="B2" s="112" t="s">
        <v>2318</v>
      </c>
      <c r="C2" s="112"/>
      <c r="D2" s="112"/>
      <c r="E2" s="112"/>
      <c r="F2" s="112"/>
      <c r="G2" s="112"/>
      <c r="H2" s="112"/>
      <c r="I2" s="112"/>
      <c r="J2" s="112"/>
      <c r="K2" s="112"/>
      <c r="L2" s="112"/>
      <c r="M2" s="112"/>
    </row>
    <row r="3" spans="2:13" ht="15" thickTop="1" x14ac:dyDescent="0.35"/>
    <row r="5" spans="2:13" x14ac:dyDescent="0.35">
      <c r="B5" s="48" t="s">
        <v>1487</v>
      </c>
      <c r="C5" s="20"/>
      <c r="D5" s="20"/>
      <c r="E5" s="20"/>
      <c r="F5" s="20"/>
      <c r="G5" s="20"/>
      <c r="H5" s="20"/>
      <c r="I5" s="20"/>
      <c r="J5" s="20"/>
      <c r="K5" s="49"/>
    </row>
    <row r="6" spans="2:13" ht="29" x14ac:dyDescent="0.35">
      <c r="B6" s="50"/>
      <c r="C6" s="51" t="s">
        <v>1475</v>
      </c>
      <c r="D6" s="51" t="s">
        <v>557</v>
      </c>
      <c r="E6" s="51" t="s">
        <v>959</v>
      </c>
      <c r="F6" s="51" t="s">
        <v>978</v>
      </c>
      <c r="G6" s="51" t="s">
        <v>963</v>
      </c>
      <c r="H6" s="51" t="s">
        <v>960</v>
      </c>
      <c r="I6" s="51" t="s">
        <v>962</v>
      </c>
      <c r="J6" s="51" t="s">
        <v>961</v>
      </c>
      <c r="K6" s="52" t="s">
        <v>1476</v>
      </c>
    </row>
    <row r="7" spans="2:13" x14ac:dyDescent="0.35">
      <c r="B7" s="53" t="s">
        <v>1471</v>
      </c>
      <c r="C7" s="54">
        <f>_xlfn.MINIFS(Cleaned_Data!$J$3:$J$273,Cleaned_Data!$J$3:$J$273, "&gt;0")</f>
        <v>0.02</v>
      </c>
      <c r="D7" s="54">
        <f>_xlfn.MINIFS(Cleaned_Data!$J$3:$J$273,Cleaned_Data!$F$3:$F$273, "Renewables", Cleaned_Data!$J$3:$J$273, "&gt;0")</f>
        <v>0.25</v>
      </c>
      <c r="E7" s="54">
        <f>_xlfn.MINIFS(Cleaned_Data!$J$3:$J$273,Cleaned_Data!$F$3:$F$273, "LDES", Cleaned_Data!$J$3:$J$273, "&gt;0")</f>
        <v>0.08</v>
      </c>
      <c r="F7" s="54">
        <f>_xlfn.MINIFS(Cleaned_Data!$J$3:$J$273,Cleaned_Data!$F$3:$F$273, "Hydrogen", Cleaned_Data!$J$3:$J$273, "&gt;0")</f>
        <v>0.18</v>
      </c>
      <c r="G7" s="54">
        <f>_xlfn.MINIFS(Cleaned_Data!$J$3:$J$273,Cleaned_Data!$F$3:$F$273, "CDR", Cleaned_Data!$J$3:$J$273, "&gt;0")</f>
        <v>0.13</v>
      </c>
      <c r="H7" s="54">
        <f>_xlfn.MINIFS(Cleaned_Data!$J$3:$J$273,Cleaned_Data!$F$3:$F$273, "Industrial Decarbonization", Cleaned_Data!$J$3:$J$273, "&gt;0")</f>
        <v>0.1</v>
      </c>
      <c r="I7" s="54">
        <f>_xlfn.MINIFS(Cleaned_Data!$J$3:$J$273,Cleaned_Data!$F$3:$F$273, "Buildings", Cleaned_Data!$J$3:$J$273, "&gt;0")</f>
        <v>0.56999999999999995</v>
      </c>
      <c r="J7" s="54">
        <f>_xlfn.MINIFS(Cleaned_Data!$J$3:$J$273,Cleaned_Data!$F$3:$F$273, "Mobility", Cleaned_Data!$J$3:$J$273, "&gt;0")</f>
        <v>0.1</v>
      </c>
      <c r="K7" s="55">
        <f>_xlfn.MINIFS(Cleaned_Data!$J$3:$J$273,Cleaned_Data!$F$3:$F$273, "Food &amp; Ag", Cleaned_Data!$J$3:$J$273, "&gt;0")</f>
        <v>0.02</v>
      </c>
    </row>
    <row r="8" spans="2:13" x14ac:dyDescent="0.35">
      <c r="B8" s="53" t="s">
        <v>1472</v>
      </c>
      <c r="C8" s="54">
        <f>MEDIAN(_xlfn._xlws.FILTER(Cleaned_Data!$J$3:$J$273,Cleaned_Data!$J$3:$J$273, "&gt;0"))</f>
        <v>9.89</v>
      </c>
      <c r="D8" s="54" cm="1">
        <f t="array" ref="D8">MEDIAN(_xlfn._xlws.FILTER(Cleaned_Data!$J$3:$J$273,(Cleaned_Data!$F$3:$F$273="Renewables")*(Cleaned_Data!$J$3:$J$273&gt;0)))</f>
        <v>13</v>
      </c>
      <c r="E8" s="54" cm="1">
        <f t="array" ref="E8">MEDIAN(_xlfn._xlws.FILTER(Cleaned_Data!$J$3:$J$273,(Cleaned_Data!$F$3:$F$273="LDES")*(Cleaned_Data!$J$3:$J$273&gt;0)))</f>
        <v>6.5</v>
      </c>
      <c r="F8" s="54" cm="1">
        <f t="array" ref="F8">MEDIAN(_xlfn._xlws.FILTER(Cleaned_Data!$J$3:$J$273,(Cleaned_Data!$F$3:$F$273="Hydrogen")*(Cleaned_Data!$J$3:$J$273&gt;0)))</f>
        <v>12.5</v>
      </c>
      <c r="G8" s="54" cm="1">
        <f t="array" ref="G8">MEDIAN(_xlfn._xlws.FILTER(Cleaned_Data!$J$3:$J$273,(Cleaned_Data!$F$3:$F$273="CDR")*(Cleaned_Data!$J$3:$J$273&gt;0)))</f>
        <v>39</v>
      </c>
      <c r="H8" s="54" cm="1">
        <f t="array" ref="H8">MEDIAN(_xlfn._xlws.FILTER(Cleaned_Data!$J$3:$J$273,(Cleaned_Data!$F$3:$F$273="Industrial Decarbonization")*(Cleaned_Data!$J$3:$J$273&gt;0)))</f>
        <v>6.7</v>
      </c>
      <c r="I8" s="54" cm="1">
        <f t="array" ref="I8">MEDIAN(_xlfn._xlws.FILTER(Cleaned_Data!$J$3:$J$273,(Cleaned_Data!$F$3:$F$273="Buildings")*(Cleaned_Data!$J$3:$J$273&gt;0)))</f>
        <v>7.75</v>
      </c>
      <c r="J8" s="54" cm="1">
        <f t="array" ref="J8">MEDIAN(_xlfn._xlws.FILTER(Cleaned_Data!$J$3:$J$273,(Cleaned_Data!$F$3:$F$273="Mobility")*(Cleaned_Data!$J$3:$J$273&gt;0)))</f>
        <v>8.9749999999999996</v>
      </c>
      <c r="K8" s="55" cm="1">
        <f t="array" ref="K8">MEDIAN(_xlfn._xlws.FILTER(Cleaned_Data!$J$3:$J$273,(Cleaned_Data!$F$3:$F$273="Food &amp; Ag")*(Cleaned_Data!$J$3:$J$273&gt;0)))</f>
        <v>8</v>
      </c>
    </row>
    <row r="9" spans="2:13" x14ac:dyDescent="0.35">
      <c r="B9" s="56" t="s">
        <v>1473</v>
      </c>
      <c r="C9" s="57">
        <f>AVERAGEIFS(Cleaned_Data!$J$3:$J$273,Cleaned_Data!$J$3:$J$273, "&gt;0")</f>
        <v>46.603981900452496</v>
      </c>
      <c r="D9" s="57">
        <f>AVERAGEIFS(Cleaned_Data!$J$3:$J$273,Cleaned_Data!$F$3:$F$273, "Renewables", Cleaned_Data!$J$3:$J$273, "&gt;0")</f>
        <v>88.74733333333333</v>
      </c>
      <c r="E9" s="57">
        <f>AVERAGEIFS(Cleaned_Data!$J$3:$J$273,Cleaned_Data!$F$3:$F$273, "LDES", Cleaned_Data!$J$3:$J$273, "&gt;0")</f>
        <v>19.469000000000001</v>
      </c>
      <c r="F9" s="57">
        <f>AVERAGEIFS(Cleaned_Data!$J$3:$J$273,Cleaned_Data!$F$3:$F$273, "Hydrogen", Cleaned_Data!$J$3:$J$273, "&gt;0")</f>
        <v>51.111923076923077</v>
      </c>
      <c r="G9" s="57">
        <f>AVERAGEIFS(Cleaned_Data!$J$3:$J$273,Cleaned_Data!$F$3:$F$273, "CDR", Cleaned_Data!$J$3:$J$273, "&gt;0")</f>
        <v>51.502499999999998</v>
      </c>
      <c r="H9" s="57">
        <f>AVERAGEIFS(Cleaned_Data!$J$3:$J$273,Cleaned_Data!$F$3:$F$273, "Industrial Decarbonization", Cleaned_Data!$J$3:$J$273, "&gt;0")</f>
        <v>26.962093023255818</v>
      </c>
      <c r="I9" s="57">
        <f>AVERAGEIFS(Cleaned_Data!$J$3:$J$273,Cleaned_Data!$F$3:$F$273, "Buildings", Cleaned_Data!$J$3:$J$273, "&gt;0")</f>
        <v>12.103333333333333</v>
      </c>
      <c r="J9" s="57">
        <f>AVERAGEIFS(Cleaned_Data!$J$3:$J$273,Cleaned_Data!$F$3:$F$273, "Mobility", Cleaned_Data!$J$3:$J$273, "&gt;0")</f>
        <v>81.478999999999999</v>
      </c>
      <c r="K9" s="58">
        <f>AVERAGEIFS(Cleaned_Data!$J$3:$J$273,Cleaned_Data!$F$3:$F$273, "Food &amp; Ag", Cleaned_Data!$J$3:$J$273, "&gt;0")</f>
        <v>26.019459459459458</v>
      </c>
    </row>
    <row r="10" spans="2:13" x14ac:dyDescent="0.35">
      <c r="B10" s="59" t="s">
        <v>1474</v>
      </c>
      <c r="C10" s="60">
        <f>_xlfn.MAXIFS(Cleaned_Data!$J$3:$J$273,Cleaned_Data!$J$3:$J$273, "&gt;0")</f>
        <v>1250</v>
      </c>
      <c r="D10" s="60">
        <f>_xlfn.MAXIFS(Cleaned_Data!$J$3:$J$273,Cleaned_Data!$F$3:$F$273, "Renewables", Cleaned_Data!$J$3:$J$273, "&gt;0")</f>
        <v>863</v>
      </c>
      <c r="E10" s="60">
        <f>_xlfn.MAXIFS(Cleaned_Data!$J$3:$J$273,Cleaned_Data!$F$3:$F$273, "LDES", Cleaned_Data!$J$3:$J$273, "&gt;0")</f>
        <v>120</v>
      </c>
      <c r="F10" s="60">
        <f>_xlfn.MAXIFS(Cleaned_Data!$J$3:$J$273,Cleaned_Data!$F$3:$F$273, "Hydrogen", Cleaned_Data!$J$3:$J$273, "&gt;0")</f>
        <v>650</v>
      </c>
      <c r="G10" s="60">
        <f>_xlfn.MAXIFS(Cleaned_Data!$J$3:$J$273,Cleaned_Data!$F$3:$F$273, "CDR", Cleaned_Data!$J$3:$J$273, "&gt;0")</f>
        <v>160</v>
      </c>
      <c r="H10" s="60">
        <f>_xlfn.MAXIFS(Cleaned_Data!$J$3:$J$273,Cleaned_Data!$F$3:$F$273, "Industrial Decarbonization", Cleaned_Data!$J$3:$J$273, "&gt;0")</f>
        <v>250</v>
      </c>
      <c r="I10" s="60">
        <f>_xlfn.MAXIFS(Cleaned_Data!$J$3:$J$273,Cleaned_Data!$F$3:$F$273, "Buildings", Cleaned_Data!$J$3:$J$273, "&gt;0")</f>
        <v>69.7</v>
      </c>
      <c r="J10" s="60">
        <f>_xlfn.MAXIFS(Cleaned_Data!$J$3:$J$273,Cleaned_Data!$F$3:$F$273, "Mobility", Cleaned_Data!$J$3:$J$273, "&gt;0")</f>
        <v>1250</v>
      </c>
      <c r="K10" s="61">
        <f>_xlfn.MAXIFS(Cleaned_Data!$J$3:$J$273,Cleaned_Data!$F$3:$F$273, "Food &amp; Ag", Cleaned_Data!$J$3:$J$273, "&gt;0")</f>
        <v>300</v>
      </c>
    </row>
    <row r="13" spans="2:13" x14ac:dyDescent="0.35">
      <c r="B13" s="20" t="s">
        <v>1482</v>
      </c>
      <c r="C13" s="20"/>
      <c r="D13" s="20"/>
      <c r="E13" s="20"/>
      <c r="F13" s="20"/>
      <c r="G13" s="20"/>
      <c r="H13" s="20"/>
      <c r="I13" s="20"/>
      <c r="J13" s="20"/>
      <c r="K13" s="20"/>
    </row>
    <row r="14" spans="2:13" ht="29" x14ac:dyDescent="0.35">
      <c r="B14" s="50"/>
      <c r="C14" s="51" t="s">
        <v>1475</v>
      </c>
      <c r="D14" s="51" t="s">
        <v>557</v>
      </c>
      <c r="E14" s="51" t="s">
        <v>959</v>
      </c>
      <c r="F14" s="51" t="s">
        <v>978</v>
      </c>
      <c r="G14" s="51" t="s">
        <v>963</v>
      </c>
      <c r="H14" s="51" t="s">
        <v>960</v>
      </c>
      <c r="I14" s="51" t="s">
        <v>962</v>
      </c>
      <c r="J14" s="51" t="s">
        <v>961</v>
      </c>
      <c r="K14" s="52" t="s">
        <v>1476</v>
      </c>
    </row>
    <row r="15" spans="2:13" x14ac:dyDescent="0.35">
      <c r="B15" s="59" t="s">
        <v>1480</v>
      </c>
      <c r="C15" s="62" t="str" cm="1">
        <f t="array" ref="C15">_xlfn.LET(_xlpm.stages, _xlfn._xlws.FILTER(Cleaned_Data!$H$3:$H$273, Cleaned_Data!$H$3:$H$273&lt;&gt;""),INDEX(_xlpm.stages,MODE(MATCH(_xlpm.stages, _xlpm.stages, 0))))</f>
        <v>Series A</v>
      </c>
      <c r="D15" s="62" t="str" cm="1">
        <f t="array" ref="D15">_xlfn.LET(_xlpm.stages,_xlfn._xlws.FILTER(Cleaned_Data!$H$3:$H$273,(Cleaned_Data!$F$3:$F$273="Renewables")*(Cleaned_Data!$H$3:$H$273&lt;&gt;"")),INDEX(_xlpm.stages,MODE(MATCH(_xlpm.stages, _xlpm.stages, 0))))</f>
        <v>Development capital</v>
      </c>
      <c r="E15" s="62" t="str" cm="1">
        <f t="array" ref="E15">_xlfn.LET(_xlpm.stages,_xlfn._xlws.FILTER(Cleaned_Data!$H$3:$H$273,(Cleaned_Data!$F$3:$F$273="LDES")*(Cleaned_Data!$H$3:$H$273&lt;&gt;"")),INDEX(_xlpm.stages,MODE(MATCH(_xlpm.stages, _xlpm.stages, 0))))</f>
        <v>Series A</v>
      </c>
      <c r="F15" s="62" t="str" cm="1">
        <f t="array" ref="F15">_xlfn.LET(_xlpm.stages,_xlfn._xlws.FILTER(Cleaned_Data!$H$3:$H$273,(Cleaned_Data!$F$3:$F$273="Hydrogen")*(Cleaned_Data!$H$3:$H$273&lt;&gt;"")),INDEX(_xlpm.stages,MODE(MATCH(_xlpm.stages, _xlpm.stages, 0))))</f>
        <v>Development capital</v>
      </c>
      <c r="G15" s="62" t="str" cm="1">
        <f t="array" ref="G15">_xlfn.LET(_xlpm.stages,_xlfn._xlws.FILTER(Cleaned_Data!$H$3:$H$273,(Cleaned_Data!$F$3:$F$273="CDR")*(Cleaned_Data!$H$3:$H$273&lt;&gt;"")),INDEX(_xlpm.stages,MODE(MATCH(_xlpm.stages, _xlpm.stages, 0))))</f>
        <v>Development capital</v>
      </c>
      <c r="H15" s="62" t="str" cm="1">
        <f t="array" ref="H15">_xlfn.LET(_xlpm.stages,_xlfn._xlws.FILTER(Cleaned_Data!$H$3:$H$273,(Cleaned_Data!$F$3:$F$273="Industrial Decarbonization")*(Cleaned_Data!$H$3:$H$273&lt;&gt;"")),INDEX(_xlpm.stages,MODE(MATCH(_xlpm.stages, _xlpm.stages, 0))))</f>
        <v>Series A</v>
      </c>
      <c r="I15" s="62" t="str" cm="1">
        <f t="array" ref="I15">_xlfn.LET(_xlpm.stages,_xlfn._xlws.FILTER(Cleaned_Data!$H$3:$H$273,(Cleaned_Data!$F$3:$F$273="Buildings")*(Cleaned_Data!$H$3:$H$273&lt;&gt;"")),INDEX(_xlpm.stages,MODE(MATCH(_xlpm.stages, _xlpm.stages, 0))))</f>
        <v>Series A</v>
      </c>
      <c r="J15" s="62" t="str" cm="1">
        <f t="array" ref="J15">_xlfn.LET(_xlpm.stages,_xlfn._xlws.FILTER(Cleaned_Data!$H$3:$H$273,(Cleaned_Data!$F$3:$F$273="Mobility")*(Cleaned_Data!$H$3:$H$273&lt;&gt;"")),INDEX(_xlpm.stages,MODE(MATCH(_xlpm.stages, _xlpm.stages, 0))))</f>
        <v>Development capital</v>
      </c>
      <c r="K15" s="63" t="str" cm="1">
        <f t="array" ref="K15">_xlfn.LET(_xlpm.stages,_xlfn._xlws.FILTER(Cleaned_Data!$H$3:$H$273,(Cleaned_Data!$F$3:$F$273="Food &amp; Ag")*(Cleaned_Data!$H$3:$H$273&lt;&gt;"")),INDEX(_xlpm.stages,MODE(MATCH(_xlpm.stages, _xlpm.stages, 0))))</f>
        <v>Series A</v>
      </c>
    </row>
    <row r="17" spans="2:13" x14ac:dyDescent="0.35">
      <c r="B17" s="50"/>
      <c r="C17" s="64" t="s">
        <v>1475</v>
      </c>
      <c r="D17" s="64" t="s">
        <v>1466</v>
      </c>
      <c r="E17" s="64" t="s">
        <v>1465</v>
      </c>
      <c r="F17" s="64" t="s">
        <v>1467</v>
      </c>
      <c r="G17" s="65" t="s">
        <v>1488</v>
      </c>
    </row>
    <row r="18" spans="2:13" x14ac:dyDescent="0.35">
      <c r="B18" s="53" t="s">
        <v>1486</v>
      </c>
      <c r="C18" s="4">
        <f>COUNTIF(Cleaned_Data!$H$3:$H$273, "&lt;&gt;")</f>
        <v>254</v>
      </c>
      <c r="D18" s="4">
        <f>COUNTIF(Cleaned_Data!$H$3:$H$273, "Seed")</f>
        <v>43</v>
      </c>
      <c r="E18" s="4">
        <f>COUNTIF(Cleaned_Data!$H$3:$H$273, "Series A")</f>
        <v>81</v>
      </c>
      <c r="F18" s="4">
        <f>COUNTIF(Cleaned_Data!$H$3:$H$273, "Series B")</f>
        <v>42</v>
      </c>
      <c r="G18" s="66">
        <f>COUNTIF(Cleaned_Data!$H$3:$H$273, "Development Capital")</f>
        <v>80</v>
      </c>
    </row>
    <row r="19" spans="2:13" x14ac:dyDescent="0.35">
      <c r="B19" s="59" t="s">
        <v>1479</v>
      </c>
      <c r="C19" s="60" cm="1">
        <f t="array" ref="C19">MEDIAN(_xlfn._xlws.FILTER(Cleaned_Data!$J$3:$J$273,Cleaned_Data!$J$3:$J$273&gt;0))</f>
        <v>9.89</v>
      </c>
      <c r="D19" s="60" cm="1">
        <f t="array" ref="D19">MEDIAN(_xlfn._xlws.FILTER(Cleaned_Data!$J$3:$J$273,(Cleaned_Data!$H$3:$H$273="Seed")*(Cleaned_Data!$J$3:$J$273&gt;0)))</f>
        <v>1.8050000000000002</v>
      </c>
      <c r="E19" s="60" cm="1">
        <f t="array" ref="E19">MEDIAN(_xlfn._xlws.FILTER(Cleaned_Data!$J$3:$J$273,(Cleaned_Data!$H$3:$H$273="Series A")*(Cleaned_Data!$J$3:$J$273&gt;0)))</f>
        <v>9.89</v>
      </c>
      <c r="F19" s="60" cm="1">
        <f t="array" ref="F19">MEDIAN(_xlfn._xlws.FILTER(Cleaned_Data!$J$3:$J$273,(Cleaned_Data!$H$3:$H$273="Series B")*(Cleaned_Data!$J$3:$J$273&gt;0)))</f>
        <v>18.344999999999999</v>
      </c>
      <c r="G19" s="61" cm="1">
        <f t="array" ref="G19">MEDIAN(_xlfn._xlws.FILTER(Cleaned_Data!$J$3:$J$273,(Cleaned_Data!$H$3:$H$273="Development Capital")*(Cleaned_Data!$J$3:$J$273&gt;0)))</f>
        <v>30</v>
      </c>
    </row>
    <row r="22" spans="2:13" x14ac:dyDescent="0.35">
      <c r="B22" s="20" t="s">
        <v>1477</v>
      </c>
      <c r="C22" s="20"/>
      <c r="D22" s="20"/>
      <c r="E22" s="20"/>
      <c r="F22" s="20"/>
      <c r="G22" s="20"/>
      <c r="H22" s="20"/>
      <c r="I22" s="20"/>
      <c r="J22" s="20"/>
      <c r="K22" s="20"/>
      <c r="L22" s="20"/>
      <c r="M22" s="20"/>
    </row>
    <row r="23" spans="2:13" x14ac:dyDescent="0.35">
      <c r="B23" s="59"/>
      <c r="C23" s="67">
        <v>2015</v>
      </c>
      <c r="D23" s="67">
        <f>C23+1</f>
        <v>2016</v>
      </c>
      <c r="E23" s="67">
        <f t="shared" ref="E23:M23" si="0">D23+1</f>
        <v>2017</v>
      </c>
      <c r="F23" s="67">
        <f t="shared" si="0"/>
        <v>2018</v>
      </c>
      <c r="G23" s="67">
        <f t="shared" si="0"/>
        <v>2019</v>
      </c>
      <c r="H23" s="67">
        <f t="shared" si="0"/>
        <v>2020</v>
      </c>
      <c r="I23" s="67">
        <f t="shared" si="0"/>
        <v>2021</v>
      </c>
      <c r="J23" s="67">
        <f t="shared" si="0"/>
        <v>2022</v>
      </c>
      <c r="K23" s="67">
        <f t="shared" si="0"/>
        <v>2023</v>
      </c>
      <c r="L23" s="67">
        <f t="shared" si="0"/>
        <v>2024</v>
      </c>
      <c r="M23" s="68">
        <f t="shared" si="0"/>
        <v>2025</v>
      </c>
    </row>
    <row r="24" spans="2:13" x14ac:dyDescent="0.35">
      <c r="B24" s="53" t="s">
        <v>2309</v>
      </c>
      <c r="C24" s="69">
        <f>SUMIFS( Cleaned_Data!$J$3:$J$273,Cleaned_Data!$G$3:$G$273, "&gt;="&amp;DATE(C$23,1,1), Cleaned_Data!$G$3:$G$273, "&lt;"&amp;DATE(C$23+1,1,1),  Cleaned_Data!$J$3:$J$273, "&gt;0")</f>
        <v>370.54</v>
      </c>
      <c r="D24" s="69">
        <f>SUMIFS( Cleaned_Data!$J$3:$J$273,Cleaned_Data!$G$3:$G$273, "&gt;="&amp;DATE(D$23,1,1), Cleaned_Data!$G$3:$G$273, "&lt;"&amp;DATE(D$23+1,1,1),  Cleaned_Data!$J$3:$J$273, "&gt;0")</f>
        <v>295.5</v>
      </c>
      <c r="E24" s="69">
        <f>SUMIFS( Cleaned_Data!$J$3:$J$273,Cleaned_Data!$G$3:$G$273, "&gt;="&amp;DATE(E$23,1,1), Cleaned_Data!$G$3:$G$273, "&lt;"&amp;DATE(E$23+1,1,1),  Cleaned_Data!$J$3:$J$273, "&gt;0")</f>
        <v>44.32</v>
      </c>
      <c r="F24" s="69">
        <f>SUMIFS( Cleaned_Data!$J$3:$J$273,Cleaned_Data!$G$3:$G$273, "&gt;="&amp;DATE(F$23,1,1), Cleaned_Data!$G$3:$G$273, "&lt;"&amp;DATE(F$23+1,1,1),  Cleaned_Data!$J$3:$J$273, "&gt;0")</f>
        <v>103.31</v>
      </c>
      <c r="G24" s="69">
        <f>SUMIFS( Cleaned_Data!$J$3:$J$273,Cleaned_Data!$G$3:$G$273, "&gt;="&amp;DATE(G$23,1,1), Cleaned_Data!$G$3:$G$273, "&lt;"&amp;DATE(G$23+1,1,1),  Cleaned_Data!$J$3:$J$273, "&gt;0")</f>
        <v>1631.59</v>
      </c>
      <c r="H24" s="69">
        <f>SUMIFS( Cleaned_Data!$J$3:$J$273,Cleaned_Data!$G$3:$G$273, "&gt;="&amp;DATE(H$23,1,1), Cleaned_Data!$G$3:$G$273, "&lt;"&amp;DATE(H$23+1,1,1),  Cleaned_Data!$J$3:$J$273, "&gt;0")</f>
        <v>1007.94</v>
      </c>
      <c r="I24" s="69">
        <f>SUMIFS( Cleaned_Data!$J$3:$J$273,Cleaned_Data!$G$3:$G$273, "&gt;="&amp;DATE(I$23,1,1), Cleaned_Data!$G$3:$G$273, "&lt;"&amp;DATE(I$23+1,1,1),  Cleaned_Data!$J$3:$J$273, "&gt;0")</f>
        <v>475.25000000000006</v>
      </c>
      <c r="J24" s="69">
        <f>SUMIFS( Cleaned_Data!$J$3:$J$273,Cleaned_Data!$G$3:$G$273, "&gt;="&amp;DATE(J$23,1,1), Cleaned_Data!$G$3:$G$273, "&lt;"&amp;DATE(J$23+1,1,1),  Cleaned_Data!$J$3:$J$273, "&gt;0")</f>
        <v>2796.84</v>
      </c>
      <c r="K24" s="69">
        <f>SUMIFS( Cleaned_Data!$J$3:$J$273,Cleaned_Data!$G$3:$G$273, "&gt;="&amp;DATE(K$23,1,1), Cleaned_Data!$G$3:$G$273, "&lt;"&amp;DATE(K$23+1,1,1),  Cleaned_Data!$J$3:$J$273, "&gt;0")</f>
        <v>1013.3899999999999</v>
      </c>
      <c r="L24" s="69">
        <f>SUMIFS( Cleaned_Data!$J$3:$J$273,Cleaned_Data!$G$3:$G$273, "&gt;="&amp;DATE(L$23,1,1), Cleaned_Data!$G$3:$G$273, "&lt;"&amp;DATE(L$23+1,1,1),  Cleaned_Data!$J$3:$J$273, "&gt;0")</f>
        <v>629.56000000000006</v>
      </c>
      <c r="M24" s="70">
        <f>SUMIFS( Cleaned_Data!$J$3:$J$273,Cleaned_Data!$G$3:$G$273, "&gt;="&amp;DATE(M$23,1,1), Cleaned_Data!$G$3:$G$273, "&lt;"&amp;DATE(M$23+1,1,1),  Cleaned_Data!$J$3:$J$273, "&gt;0")</f>
        <v>1905.9199999999998</v>
      </c>
    </row>
    <row r="25" spans="2:13" x14ac:dyDescent="0.35">
      <c r="B25" s="53" t="s">
        <v>1481</v>
      </c>
      <c r="C25" s="16">
        <f>COUNTIFS(Cleaned_Data!$G$3:$G$273, "&gt;=1/1/2015", Cleaned_Data!$G$3:$G$273, "&lt;1/1/2016")</f>
        <v>5</v>
      </c>
      <c r="D25" s="16">
        <f>COUNTIFS(Cleaned_Data!$G$3:$G$273, "&gt;=1/1/2016", Cleaned_Data!$G$3:$G$273, "&lt;1/1/2017")</f>
        <v>10</v>
      </c>
      <c r="E25" s="16">
        <f>COUNTIFS(Cleaned_Data!$G$3:$G$273, "&gt;=1/1/2017", Cleaned_Data!$G$3:$G$273, "&lt;1/1/2018")</f>
        <v>9</v>
      </c>
      <c r="F25" s="16">
        <f>COUNTIFS(Cleaned_Data!$G$3:$G$273, "&gt;=1/1/2018", Cleaned_Data!$G$3:$G$273, "&lt;1/1/2019")</f>
        <v>13</v>
      </c>
      <c r="G25" s="16">
        <f>COUNTIFS(Cleaned_Data!$G$3:$G$273, "&gt;=1/1/2019", Cleaned_Data!$G$3:$G$273, "&lt;1/1/2020")</f>
        <v>16</v>
      </c>
      <c r="H25" s="16">
        <f>COUNTIFS(Cleaned_Data!$G$3:$G$273, "&gt;=1/1/2020", Cleaned_Data!$G$3:$G$273, "&lt;1/1/2021")</f>
        <v>22</v>
      </c>
      <c r="I25" s="16">
        <f>COUNTIFS(Cleaned_Data!$G$3:$G$273, "&gt;=1/1/2021", Cleaned_Data!$G$3:$G$273, "&lt;1/1/2022")</f>
        <v>47</v>
      </c>
      <c r="J25" s="16">
        <f>COUNTIFS(Cleaned_Data!$G$3:$G$273, "&gt;=1/1/2022", Cleaned_Data!$G$3:$G$273, "&lt;1/1/2023")</f>
        <v>45</v>
      </c>
      <c r="K25" s="16">
        <f>COUNTIFS(Cleaned_Data!$G$3:$G$273, "&gt;=1/1/2023", Cleaned_Data!$G$3:$G$273, "&lt;1/1/2024")</f>
        <v>39</v>
      </c>
      <c r="L25" s="16">
        <f>COUNTIFS(Cleaned_Data!$G$3:$G$273, "&gt;=1/1/2024", Cleaned_Data!$G$3:$G$273, "&lt;1/1/2025")</f>
        <v>35</v>
      </c>
      <c r="M25" s="71">
        <f>COUNTIFS(Cleaned_Data!$G$3:$G$273, "&gt;=1/1/2025", Cleaned_Data!$G$3:$G$273, "&lt;1/1/2026")</f>
        <v>29</v>
      </c>
    </row>
    <row r="26" spans="2:13" ht="15" thickBot="1" x14ac:dyDescent="0.4">
      <c r="B26" s="53" t="s">
        <v>1490</v>
      </c>
      <c r="C26" s="69" cm="1">
        <f t="array" ref="C26">MEDIAN( _xlfn._xlws.FILTER( Cleaned_Data!$J$3:$J$273, (Cleaned_Data!$G$3:$G$273&gt;=DATE(2015,1,1))* (Cleaned_Data!$G$3:$G$273&lt;DATE(2016,1,1))* (Cleaned_Data!$J$3:$J$273&gt;0)))</f>
        <v>11</v>
      </c>
      <c r="D26" s="69" cm="1">
        <f t="array" ref="D26">MEDIAN( _xlfn._xlws.FILTER( Cleaned_Data!$J$3:$J$273, (Cleaned_Data!$G$3:$G$273&gt;=DATE(2016,1,1))* (Cleaned_Data!$G$3:$G$273&lt;DATE(2017,1,1))* (Cleaned_Data!$J$3:$J$273&gt;0)))</f>
        <v>4.92</v>
      </c>
      <c r="E26" s="69" cm="1">
        <f t="array" ref="E26">MEDIAN( _xlfn._xlws.FILTER( Cleaned_Data!$J$3:$J$273, (Cleaned_Data!$G$3:$G$273&gt;=DATE(2017,1,1))* (Cleaned_Data!$G$3:$G$273&lt;DATE(2018,1,1))* (Cleaned_Data!$J$3:$J$273&gt;0)))</f>
        <v>3.92</v>
      </c>
      <c r="F26" s="69" cm="1">
        <f t="array" ref="F26">MEDIAN( _xlfn._xlws.FILTER( Cleaned_Data!$J$3:$J$273, (Cleaned_Data!$G$3:$G$273&gt;=DATE(2018,1,1))* (Cleaned_Data!$G$3:$G$273&lt;DATE(2019,1,1))* (Cleaned_Data!$J$3:$J$273&gt;0)))</f>
        <v>5.25</v>
      </c>
      <c r="G26" s="69" cm="1">
        <f t="array" ref="G26">MEDIAN( _xlfn._xlws.FILTER( Cleaned_Data!$J$3:$J$273, (Cleaned_Data!$G$3:$G$273&gt;=DATE(2019,1,1))* (Cleaned_Data!$G$3:$G$273&lt;DATE(2020,1,1))* (Cleaned_Data!$J$3:$J$273&gt;0)))</f>
        <v>6.51</v>
      </c>
      <c r="H26" s="69" cm="1">
        <f t="array" ref="H26">MEDIAN( _xlfn._xlws.FILTER( Cleaned_Data!$J$3:$J$273, (Cleaned_Data!$G$3:$G$273&gt;=DATE(2020,1,1))* (Cleaned_Data!$G$3:$G$273&lt;DATE(2021,1,1))* (Cleaned_Data!$J$3:$J$273&gt;0)))</f>
        <v>12</v>
      </c>
      <c r="I26" s="69" cm="1">
        <f t="array" ref="I26">MEDIAN( _xlfn._xlws.FILTER( Cleaned_Data!$J$3:$J$273, (Cleaned_Data!$G$3:$G$273&gt;=DATE(2021,1,1))* (Cleaned_Data!$G$3:$G$273&lt;DATE(2022,1,1))* (Cleaned_Data!$J$3:$J$273&gt;0)))</f>
        <v>7</v>
      </c>
      <c r="J26" s="69" cm="1">
        <f t="array" ref="J26">MEDIAN( _xlfn._xlws.FILTER( Cleaned_Data!$J$3:$J$273, (Cleaned_Data!$G$3:$G$273&gt;=DATE(2022,1,1))* (Cleaned_Data!$G$3:$G$273&lt;DATE(2023,1,1))* (Cleaned_Data!$J$3:$J$273&gt;0)))</f>
        <v>5.125</v>
      </c>
      <c r="K26" s="69" cm="1">
        <f t="array" ref="K26">MEDIAN( _xlfn._xlws.FILTER( Cleaned_Data!$J$3:$J$273, (Cleaned_Data!$G$3:$G$273&gt;=DATE(2023,1,1))* (Cleaned_Data!$G$3:$G$273&lt;DATE(2024,1,1))* (Cleaned_Data!$J$3:$J$273&gt;0)))</f>
        <v>12</v>
      </c>
      <c r="L26" s="69" cm="1">
        <f t="array" ref="L26">MEDIAN( _xlfn._xlws.FILTER( Cleaned_Data!$J$3:$J$273, (Cleaned_Data!$G$3:$G$273&gt;=DATE(2024,1,1))* (Cleaned_Data!$G$3:$G$273&lt;DATE(2025,1,1))* (Cleaned_Data!$J$3:$J$273&gt;0)))</f>
        <v>15</v>
      </c>
      <c r="M26" s="72" cm="1">
        <f t="array" ref="M26">MEDIAN( _xlfn._xlws.FILTER( Cleaned_Data!$J$3:$J$273, (Cleaned_Data!$G$3:$G$273&gt;=DATE(2025,1,1))* (Cleaned_Data!$G$3:$G$273&lt;DATE(2026,1,1))* (Cleaned_Data!$J$3:$J$273&gt;0)))</f>
        <v>25.130000000000003</v>
      </c>
    </row>
    <row r="27" spans="2:13" ht="15" thickBot="1" x14ac:dyDescent="0.4">
      <c r="B27" s="73" t="s">
        <v>1478</v>
      </c>
      <c r="C27" s="74" cm="1">
        <f t="array" ref="C27">MEDIAN(_xlfn._xlws.FILTER(Cleaned_Data!$K$3:$K$273, (Cleaned_Data!$G$3:$G$273&gt;=DATE(2015,1,1))* (Cleaned_Data!$G$3:$G$273&lt;DATE(2016,1,1))* (Cleaned_Data!$K$3:$K$273&gt;0)))</f>
        <v>35.604999999999997</v>
      </c>
      <c r="D27" s="74" cm="1">
        <f t="array" ref="D27">MEDIAN( _xlfn._xlws.FILTER( Cleaned_Data!$K$3:$K$273, (Cleaned_Data!$G$3:$G$273&gt;=DATE(2016,1,1))* (Cleaned_Data!$G$3:$G$273&lt;DATE(2017,1,1))* (Cleaned_Data!$K$3:$K$273&gt;0)))</f>
        <v>19.45</v>
      </c>
      <c r="E27" s="74" cm="1">
        <f t="array" ref="E27">MEDIAN( _xlfn._xlws.FILTER( Cleaned_Data!$K$3:$K$273, (Cleaned_Data!$G$3:$G$273&gt;=DATE(2017,1,1))* (Cleaned_Data!$G$3:$G$273&lt;DATE(2018,1,1))* (Cleaned_Data!$K$3:$K$273&gt;0)))</f>
        <v>19</v>
      </c>
      <c r="F27" s="74" cm="1">
        <f t="array" ref="F27">MEDIAN( _xlfn._xlws.FILTER( Cleaned_Data!$K$3:$K$273, (Cleaned_Data!$G$3:$G$273&gt;=DATE(2018,1,1))* (Cleaned_Data!$G$3:$G$273&lt;DATE(2019,1,1))* (Cleaned_Data!$K$3:$K$273&gt;0)))</f>
        <v>30</v>
      </c>
      <c r="G27" s="74" cm="1">
        <f t="array" ref="G27">MEDIAN( _xlfn._xlws.FILTER( Cleaned_Data!$K$3:$K$273, (Cleaned_Data!$G$3:$G$273&gt;=DATE(2019,1,1))* (Cleaned_Data!$G$3:$G$273&lt;DATE(2020,1,1))* (Cleaned_Data!$K$3:$K$273&gt;0)))</f>
        <v>21.5</v>
      </c>
      <c r="H27" s="74" cm="1">
        <f t="array" ref="H27">MEDIAN( _xlfn._xlws.FILTER( Cleaned_Data!$K$3:$K$273, (Cleaned_Data!$G$3:$G$273&gt;=DATE(2020,1,1))* (Cleaned_Data!$G$3:$G$273&lt;DATE(2021,1,1))* (Cleaned_Data!$K$3:$K$273&gt;0)))</f>
        <v>35.064999999999998</v>
      </c>
      <c r="I27" s="74" cm="1">
        <f t="array" ref="I27">MEDIAN( _xlfn._xlws.FILTER( Cleaned_Data!$K$3:$K$273, (Cleaned_Data!$G$3:$G$273&gt;=DATE(2021,1,1))* (Cleaned_Data!$G$3:$G$273&lt;DATE(2022,1,1))* (Cleaned_Data!$K$3:$K$273&gt;0)))</f>
        <v>20.95</v>
      </c>
      <c r="J27" s="74" cm="1">
        <f t="array" ref="J27">MEDIAN( _xlfn._xlws.FILTER( Cleaned_Data!$K$3:$K$273, (Cleaned_Data!$G$3:$G$273&gt;=DATE(2022,1,1))* (Cleaned_Data!$G$3:$G$273&lt;DATE(2023,1,1))* (Cleaned_Data!$K$3:$K$273&gt;0)))</f>
        <v>38.325000000000003</v>
      </c>
      <c r="K27" s="74" cm="1">
        <f t="array" ref="K27">MEDIAN( _xlfn._xlws.FILTER( Cleaned_Data!$K$3:$K$273, (Cleaned_Data!$G$3:$G$273&gt;=DATE(2023,1,1))* (Cleaned_Data!$G$3:$G$273&lt;DATE(2024,1,1))* (Cleaned_Data!$K$3:$K$273&gt;0)))</f>
        <v>83</v>
      </c>
      <c r="L27" s="74" cm="1">
        <f t="array" ref="L27">MEDIAN( _xlfn._xlws.FILTER( Cleaned_Data!$K$3:$K$273, (Cleaned_Data!$G$3:$G$273&gt;=DATE(2024,1,1))* (Cleaned_Data!$G$3:$G$273&lt;DATE(2025,1,1))* (Cleaned_Data!$K$3:$K$273&gt;0)))</f>
        <v>70.599999999999994</v>
      </c>
      <c r="M27" s="75" cm="1">
        <f t="array" ref="M27">MEDIAN( _xlfn._xlws.FILTER( Cleaned_Data!$K$3:$K$273, (Cleaned_Data!$G$3:$G$273&gt;=DATE(2025,1,1))* (Cleaned_Data!$G$3:$G$273&lt;DATE(2026,1,1))* (Cleaned_Data!$K$3:$K$273&gt;0)))</f>
        <v>200</v>
      </c>
    </row>
    <row r="28" spans="2:13" x14ac:dyDescent="0.35">
      <c r="B28" s="59" t="s">
        <v>1395</v>
      </c>
      <c r="C28" s="76" t="str" cm="1">
        <f t="array" ref="C28">_xlfn.LET( _xlpm.stages,  _xlfn._xlws.FILTER( Cleaned_Data!$H$3:$H$273, (Cleaned_Data!$G$3:$G$273&gt;=DATE(2015,1,1))* (Cleaned_Data!$G$3:$G$273&lt;DATE(2016,1,1))* (Cleaned_Data!$H$3:$H$273&lt;&gt;"")), INDEX( _xlpm.stages, MODE( MATCH(_xlpm.stages, _xlpm.stages, 0))))</f>
        <v>Development capital</v>
      </c>
      <c r="D28" s="76" t="str" cm="1">
        <f t="array" ref="D28">_xlfn.LET( _xlpm.stages,  _xlfn._xlws.FILTER( Cleaned_Data!$H$3:$H$273, (Cleaned_Data!$G$3:$G$273&gt;=DATE(2016,1,1))* (Cleaned_Data!$G$3:$G$273&lt;DATE(2017,1,1))* (Cleaned_Data!$H$3:$H$273&lt;&gt;"")), INDEX( _xlpm.stages, MODE( MATCH(_xlpm.stages, _xlpm.stages, 0))))</f>
        <v>Series A</v>
      </c>
      <c r="E28" s="76" t="str" cm="1">
        <f t="array" ref="E28">_xlfn.LET( _xlpm.stages,  _xlfn._xlws.FILTER( Cleaned_Data!$H$3:$H$273, (Cleaned_Data!$G$3:$G$273&gt;=DATE(2017,1,1))* (Cleaned_Data!$G$3:$G$273&lt;DATE(2018,1,1))* (Cleaned_Data!$H$3:$H$273&lt;&gt;"")), INDEX( _xlpm.stages, MODE( MATCH(_xlpm.stages, _xlpm.stages, 0))))</f>
        <v>Series A</v>
      </c>
      <c r="F28" s="76" t="str" cm="1">
        <f t="array" ref="F28">_xlfn.LET( _xlpm.stages,  _xlfn._xlws.FILTER( Cleaned_Data!$H$3:$H$273, (Cleaned_Data!$G$3:$G$273&gt;=DATE(2018,1,1))* (Cleaned_Data!$G$3:$G$273&lt;DATE(2019,1,1))* (Cleaned_Data!$H$3:$H$273&lt;&gt;"")), INDEX( _xlpm.stages, MODE( MATCH(_xlpm.stages, _xlpm.stages, 0))))</f>
        <v>Series A</v>
      </c>
      <c r="G28" s="76" t="str" cm="1">
        <f t="array" ref="G28">_xlfn.LET( _xlpm.stages,  _xlfn._xlws.FILTER( Cleaned_Data!$H$3:$H$273, (Cleaned_Data!$G$3:$G$273&gt;=DATE(2019,1,1))* (Cleaned_Data!$G$3:$G$273&lt;DATE(2020,1,1))* (Cleaned_Data!$H$3:$H$273&lt;&gt;"")), INDEX( _xlpm.stages, MODE( MATCH(_xlpm.stages, _xlpm.stages, 0))))</f>
        <v>Series A</v>
      </c>
      <c r="H28" s="76" t="str" cm="1">
        <f t="array" ref="H28">_xlfn.LET( _xlpm.stages,  _xlfn._xlws.FILTER( Cleaned_Data!$H$3:$H$273, (Cleaned_Data!$G$3:$G$273&gt;=DATE(2020,1,1))* (Cleaned_Data!$G$3:$G$273&lt;DATE(2021,1,1))* (Cleaned_Data!$H$3:$H$273&lt;&gt;"")), INDEX( _xlpm.stages, MODE( MATCH(_xlpm.stages, _xlpm.stages, 0))))</f>
        <v>Series A</v>
      </c>
      <c r="I28" s="76" t="str" cm="1">
        <f t="array" ref="I28">_xlfn.LET( _xlpm.stages,  _xlfn._xlws.FILTER( Cleaned_Data!$H$3:$H$273, (Cleaned_Data!$G$3:$G$273&gt;=DATE(2021,1,1))* (Cleaned_Data!$G$3:$G$273&lt;DATE(2022,1,1))* (Cleaned_Data!$H$3:$H$273&lt;&gt;"")), INDEX( _xlpm.stages, MODE( MATCH(_xlpm.stages, _xlpm.stages, 0))))</f>
        <v>Development capital</v>
      </c>
      <c r="J28" s="76" t="str" cm="1">
        <f t="array" ref="J28">_xlfn.LET( _xlpm.stages,  _xlfn._xlws.FILTER( Cleaned_Data!$H$3:$H$273, (Cleaned_Data!$G$3:$G$273&gt;=DATE(2022,1,1))* (Cleaned_Data!$G$3:$G$273&lt;DATE(2023,1,1))* (Cleaned_Data!$H$3:$H$273&lt;&gt;"")), INDEX( _xlpm.stages, MODE( MATCH(_xlpm.stages, _xlpm.stages, 0))))</f>
        <v>Seed</v>
      </c>
      <c r="K28" s="76" t="str" cm="1">
        <f t="array" ref="K28">_xlfn.LET( _xlpm.stages,  _xlfn._xlws.FILTER( Cleaned_Data!$H$3:$H$273, (Cleaned_Data!$G$3:$G$273&gt;=DATE(2023,1,1))* (Cleaned_Data!$G$3:$G$273&lt;DATE(2024,1,1))* (Cleaned_Data!$H$3:$H$273&lt;&gt;"")), INDEX( _xlpm.stages, MODE( MATCH(_xlpm.stages, _xlpm.stages, 0))))</f>
        <v>Development capital</v>
      </c>
      <c r="L28" s="76" t="str" cm="1">
        <f t="array" ref="L28">_xlfn.LET( _xlpm.stages,  _xlfn._xlws.FILTER( Cleaned_Data!$H$3:$H$273, (Cleaned_Data!$G$3:$G$273&gt;=DATE(2024,1,1))* (Cleaned_Data!$G$3:$G$273&lt;DATE(2025,1,1))* (Cleaned_Data!$H$3:$H$273&lt;&gt;"")), INDEX( _xlpm.stages, MODE( MATCH(_xlpm.stages, _xlpm.stages, 0))))</f>
        <v>Development capital</v>
      </c>
      <c r="M28" s="77" t="str" cm="1">
        <f t="array" ref="M28">_xlfn.LET( _xlpm.stages,  _xlfn._xlws.FILTER( Cleaned_Data!$H$3:$H$273, (Cleaned_Data!$G$3:$G$273&gt;=DATE(2025,1,1))* (Cleaned_Data!$G$3:$G$273&lt;DATE(2026,1,1))* (Cleaned_Data!$H$3:$H$273&lt;&gt;"")), INDEX( _xlpm.stages, MODE( MATCH(_xlpm.stages, _xlpm.stages, 0))))</f>
        <v>Development capital</v>
      </c>
    </row>
    <row r="31" spans="2:13" x14ac:dyDescent="0.35">
      <c r="B31" s="20" t="s">
        <v>1492</v>
      </c>
      <c r="C31" s="20"/>
      <c r="D31" s="20"/>
      <c r="E31" s="20"/>
      <c r="F31" s="20"/>
      <c r="G31" s="20"/>
      <c r="H31" s="20"/>
      <c r="I31" s="20"/>
      <c r="J31" s="20"/>
      <c r="K31" s="20"/>
    </row>
    <row r="32" spans="2:13" ht="29" x14ac:dyDescent="0.35">
      <c r="B32" s="59"/>
      <c r="C32" s="78" t="s">
        <v>1475</v>
      </c>
      <c r="D32" s="78" t="s">
        <v>557</v>
      </c>
      <c r="E32" s="78" t="s">
        <v>959</v>
      </c>
      <c r="F32" s="78" t="s">
        <v>978</v>
      </c>
      <c r="G32" s="78" t="s">
        <v>963</v>
      </c>
      <c r="H32" s="78" t="s">
        <v>960</v>
      </c>
      <c r="I32" s="78" t="s">
        <v>962</v>
      </c>
      <c r="J32" s="78" t="s">
        <v>961</v>
      </c>
      <c r="K32" s="79" t="s">
        <v>1476</v>
      </c>
    </row>
    <row r="33" spans="2:11" x14ac:dyDescent="0.35">
      <c r="B33" s="53" t="s">
        <v>1484</v>
      </c>
      <c r="C33" s="80">
        <f>AVERAGEIFS(Cleaned_Data!$P$3:$P$273,Cleaned_Data!$P$3:$P$273,"&lt;&gt;N/A")</f>
        <v>0.18731044418791645</v>
      </c>
      <c r="D33" s="80">
        <f>AVERAGEIFS( Cleaned_Data!$P$3:$P$273,Cleaned_Data!$F$3:$F$273, "Renewables", Cleaned_Data!$P$3:$P$273, "&lt;&gt;N/A")</f>
        <v>0.11521850570293478</v>
      </c>
      <c r="E33" s="80">
        <f>AVERAGEIFS( Cleaned_Data!$P$3:$P$273,Cleaned_Data!$F$3:$F$273, "LDES", Cleaned_Data!$P$3:$P$273, "&lt;&gt;N/A")</f>
        <v>0.22132653768809379</v>
      </c>
      <c r="F33" s="80">
        <f>AVERAGEIFS( Cleaned_Data!$P$3:$P$273,Cleaned_Data!$F$3:$F$273, "Hydrogen", Cleaned_Data!$P$3:$P$273, "&lt;&gt;N/A")</f>
        <v>0.16882931882931881</v>
      </c>
      <c r="G33" s="80">
        <f>AVERAGEIFS( Cleaned_Data!$P$3:$P$273,Cleaned_Data!$F$3:$F$273, "CDR", Cleaned_Data!$P$3:$P$273, "&lt;&gt;N/A")</f>
        <v>0.20804195804195805</v>
      </c>
      <c r="H33" s="80">
        <f>AVERAGEIFS( Cleaned_Data!$P$3:$P$273,Cleaned_Data!$F$3:$F$273, "Industrial Decarbonization", Cleaned_Data!$P$3:$P$273, "&lt;&gt;N/A")</f>
        <v>0.20154325579857499</v>
      </c>
      <c r="I33" s="80">
        <f>AVERAGEIFS( Cleaned_Data!$P$3:$P$273,Cleaned_Data!$F$3:$F$273, "Buildings", Cleaned_Data!$P$3:$P$273, "&lt;&gt;N/A")</f>
        <v>0.31555555555555564</v>
      </c>
      <c r="J33" s="80">
        <f>AVERAGEIFS( Cleaned_Data!$P$3:$P$273,Cleaned_Data!$F$3:$F$273, "Mobility", Cleaned_Data!$P$3:$P$273, "&lt;&gt;N/A")</f>
        <v>0.10839002267573696</v>
      </c>
      <c r="K33" s="81">
        <f>AVERAGEIFS( Cleaned_Data!$P$3:$P$273,Cleaned_Data!$F$3:$F$273, "Food &amp; Ag", Cleaned_Data!$P$3:$P$273, "&lt;&gt;N/A")</f>
        <v>0.24931125353052258</v>
      </c>
    </row>
    <row r="34" spans="2:11" x14ac:dyDescent="0.35">
      <c r="B34" s="59" t="s">
        <v>1485</v>
      </c>
      <c r="C34" s="82">
        <f>AVERAGEIFS(Cleaned_Data!$R$3:$R$273,Cleaned_Data!$R$3:$R$273,"&lt;&gt;N/A")</f>
        <v>0.87860527825681944</v>
      </c>
      <c r="D34" s="82">
        <f>AVERAGEIFS( Cleaned_Data!$R$3:$R$273,Cleaned_Data!$F$3:$F$273, "Renewables", Cleaned_Data!$R$3:$R$273, "&lt;&gt;N/A")</f>
        <v>0.9249499799919968</v>
      </c>
      <c r="E34" s="82">
        <f>AVERAGEIFS( Cleaned_Data!$R$3:$R$273,Cleaned_Data!$F$3:$F$273, "LDES", Cleaned_Data!$R$3:$R$273, "&lt;&gt;N/A")</f>
        <v>0.90662878787878787</v>
      </c>
      <c r="F34" s="82">
        <f>AVERAGEIFS( Cleaned_Data!$R$3:$R$273,Cleaned_Data!$F$3:$F$273, "Hydrogen", Cleaned_Data!$R$3:$R$273, "&lt;&gt;N/A")</f>
        <v>0.87441750841750832</v>
      </c>
      <c r="G34" s="82">
        <f>AVERAGEIFS( Cleaned_Data!$R$3:$R$273,Cleaned_Data!$F$3:$F$273, "CDR", Cleaned_Data!$R$3:$R$273, "&lt;&gt;N/A")</f>
        <v>0.87941919191919193</v>
      </c>
      <c r="H34" s="82">
        <f>AVERAGEIFS( Cleaned_Data!$R$3:$R$273,Cleaned_Data!$F$3:$F$273, "Industrial Decarbonization", Cleaned_Data!$R$3:$R$273, "&lt;&gt;N/A")</f>
        <v>0.87292078292078279</v>
      </c>
      <c r="I34" s="82">
        <f>AVERAGEIFS( Cleaned_Data!$R$3:$R$273,Cleaned_Data!$F$3:$F$273, "Buildings", Cleaned_Data!$R$3:$R$273, "&lt;&gt;N/A")</f>
        <v>0.78974358974358971</v>
      </c>
      <c r="J34" s="82">
        <f>AVERAGEIFS( Cleaned_Data!$R$3:$R$273,Cleaned_Data!$F$3:$F$273, "Mobility", Cleaned_Data!$R$3:$R$273, "&lt;&gt;N/A")</f>
        <v>0.89160997732426306</v>
      </c>
      <c r="K34" s="83">
        <f>AVERAGEIFS( Cleaned_Data!$R$3:$R$273,Cleaned_Data!$F$3:$F$273, "Food &amp; Ag", Cleaned_Data!$R$3:$R$273, "&lt;&gt;N/A")</f>
        <v>0.82865128653646103</v>
      </c>
    </row>
    <row r="35" spans="2:11" x14ac:dyDescent="0.35">
      <c r="C35" s="84"/>
      <c r="D35" s="84"/>
      <c r="E35" s="84"/>
      <c r="F35" s="84"/>
      <c r="G35" s="84"/>
      <c r="H35" s="84"/>
      <c r="I35" s="84"/>
      <c r="J35" s="84"/>
      <c r="K35" s="84"/>
    </row>
    <row r="36" spans="2:11" x14ac:dyDescent="0.35">
      <c r="C36" s="84"/>
      <c r="D36" s="84"/>
      <c r="E36" s="84"/>
      <c r="F36" s="84"/>
      <c r="G36" s="84"/>
      <c r="H36" s="84"/>
      <c r="I36" s="84"/>
      <c r="J36" s="84"/>
      <c r="K36" s="84"/>
    </row>
    <row r="37" spans="2:11" x14ac:dyDescent="0.35">
      <c r="B37" s="85" t="s">
        <v>1483</v>
      </c>
      <c r="C37" s="86">
        <f>COUNTA(_xlfn.UNIQUE(Investor_Analysis_Setup!E4:E1128))</f>
        <v>884</v>
      </c>
    </row>
    <row r="38" spans="2:11" x14ac:dyDescent="0.35">
      <c r="B38" s="87" t="s">
        <v>2310</v>
      </c>
      <c r="C38" s="88">
        <f>COUNTIF(Cleaned_Data!$O$3:$O$273, "Y")/COUNTIF(Cleaned_Data!$O$3:$O$273, "&lt;&gt;")</f>
        <v>0.4907749077490775</v>
      </c>
    </row>
    <row r="39" spans="2:11" x14ac:dyDescent="0.35">
      <c r="B39" s="87" t="s">
        <v>2311</v>
      </c>
      <c r="C39" s="88">
        <f>COUNTIF(Cleaned_Data!S3:S273,"Y")/COUNTIF(Cleaned_Data!S3:S273,"&lt;&gt;")</f>
        <v>0.11439114391143912</v>
      </c>
    </row>
    <row r="40" spans="2:11" x14ac:dyDescent="0.35">
      <c r="B40" s="89" t="s">
        <v>2312</v>
      </c>
      <c r="C40" s="90">
        <f>COUNTIFS(Cleaned_Data!$R$3:$R$273,"100.0%")/COUNTIF(Cleaned_Data!$R$3:$R$273,"&lt;&gt;")</f>
        <v>0.52398523985239853</v>
      </c>
    </row>
    <row r="41" spans="2:11" x14ac:dyDescent="0.35">
      <c r="C41" s="91"/>
    </row>
    <row r="43" spans="2:11" x14ac:dyDescent="0.35">
      <c r="B43" s="92" t="s">
        <v>2296</v>
      </c>
      <c r="C43" s="93"/>
      <c r="D43" s="93"/>
      <c r="E43" s="93"/>
      <c r="F43" s="93"/>
      <c r="G43" s="93"/>
      <c r="H43" s="93"/>
      <c r="I43" s="93"/>
      <c r="J43" s="94"/>
    </row>
    <row r="44" spans="2:11" x14ac:dyDescent="0.35">
      <c r="B44" s="53"/>
      <c r="C44" s="95" t="s">
        <v>774</v>
      </c>
      <c r="D44" s="95" t="s">
        <v>1522</v>
      </c>
      <c r="E44" s="95" t="s">
        <v>2301</v>
      </c>
      <c r="F44" s="95" t="s">
        <v>1673</v>
      </c>
      <c r="G44" s="95" t="s">
        <v>469</v>
      </c>
      <c r="H44" s="95" t="s">
        <v>2302</v>
      </c>
      <c r="I44" s="95" t="s">
        <v>2023</v>
      </c>
      <c r="J44" s="96" t="s">
        <v>475</v>
      </c>
    </row>
    <row r="45" spans="2:11" x14ac:dyDescent="0.35">
      <c r="B45" s="59" t="s">
        <v>2300</v>
      </c>
      <c r="C45" s="97">
        <v>10</v>
      </c>
      <c r="D45" s="97">
        <v>9</v>
      </c>
      <c r="E45" s="97">
        <v>8</v>
      </c>
      <c r="F45" s="97">
        <v>8</v>
      </c>
      <c r="G45" s="97">
        <v>7</v>
      </c>
      <c r="H45" s="97">
        <v>7</v>
      </c>
      <c r="I45" s="97">
        <v>7</v>
      </c>
      <c r="J45" s="98">
        <v>6</v>
      </c>
    </row>
    <row r="47" spans="2:11" x14ac:dyDescent="0.35">
      <c r="B47" s="92" t="s">
        <v>2316</v>
      </c>
      <c r="C47" s="93"/>
      <c r="D47" s="93"/>
      <c r="E47" s="93"/>
      <c r="F47" s="93"/>
      <c r="G47" s="94"/>
    </row>
    <row r="48" spans="2:11" x14ac:dyDescent="0.35">
      <c r="B48" s="53"/>
      <c r="C48" s="95" t="s">
        <v>1522</v>
      </c>
      <c r="D48" s="95" t="s">
        <v>2023</v>
      </c>
      <c r="E48" s="95" t="s">
        <v>1589</v>
      </c>
      <c r="F48" s="95" t="s">
        <v>1673</v>
      </c>
      <c r="G48" s="96" t="s">
        <v>2303</v>
      </c>
    </row>
    <row r="49" spans="2:7" x14ac:dyDescent="0.35">
      <c r="B49" s="59" t="s">
        <v>2300</v>
      </c>
      <c r="C49" s="97">
        <v>8</v>
      </c>
      <c r="D49" s="97">
        <v>7</v>
      </c>
      <c r="E49" s="97">
        <v>6</v>
      </c>
      <c r="F49" s="97">
        <v>6</v>
      </c>
      <c r="G49" s="98">
        <v>5</v>
      </c>
    </row>
    <row r="52" spans="2:7" ht="15.5" x14ac:dyDescent="0.35">
      <c r="B52" s="99" t="s">
        <v>1491</v>
      </c>
      <c r="C52" s="99"/>
      <c r="D52" s="99"/>
    </row>
    <row r="54" spans="2:7" x14ac:dyDescent="0.35">
      <c r="B54" s="92" t="s">
        <v>1493</v>
      </c>
      <c r="C54" s="92"/>
      <c r="D54" s="92"/>
    </row>
    <row r="55" spans="2:7" s="103" customFormat="1" x14ac:dyDescent="0.35">
      <c r="B55" s="100" t="s">
        <v>152</v>
      </c>
      <c r="C55" s="101" t="s">
        <v>459</v>
      </c>
      <c r="D55" s="102" t="s">
        <v>209</v>
      </c>
    </row>
    <row r="56" spans="2:7" x14ac:dyDescent="0.35">
      <c r="B56" s="53" t="str" cm="1">
        <f t="array" ref="B56:D60">_xlfn.TAKE(_xlfn._xlws.SORT(_xlfn._xlws.FILTER(CHOOSE({1,2,3},Cleaned_Data!$C$3:$C$273,Cleaned_Data!$J$3:$J$273,Cleaned_Data!$G$3:$G$273),Cleaned_Data!$J$3:$J$273&gt;0),2,-1),5)</f>
        <v>Faraday Future Intelligent Electric (NAS: FFAI)</v>
      </c>
      <c r="C56" s="104">
        <v>1250</v>
      </c>
      <c r="D56" s="105">
        <v>43584</v>
      </c>
    </row>
    <row r="57" spans="2:7" x14ac:dyDescent="0.35">
      <c r="B57" s="53" t="str">
        <v>Commonwealth Fusion Systems</v>
      </c>
      <c r="C57" s="104">
        <v>863</v>
      </c>
      <c r="D57" s="105">
        <v>45834</v>
      </c>
    </row>
    <row r="58" spans="2:7" x14ac:dyDescent="0.35">
      <c r="B58" s="53" t="str">
        <v>Terrapower</v>
      </c>
      <c r="C58" s="104">
        <v>830</v>
      </c>
      <c r="D58" s="105">
        <v>44868</v>
      </c>
    </row>
    <row r="59" spans="2:7" x14ac:dyDescent="0.35">
      <c r="B59" s="53" t="str">
        <v>Aces Delta</v>
      </c>
      <c r="C59" s="104">
        <v>650</v>
      </c>
      <c r="D59" s="105">
        <v>44721</v>
      </c>
    </row>
    <row r="60" spans="2:7" x14ac:dyDescent="0.35">
      <c r="B60" s="59" t="str">
        <v>California Bioenergy</v>
      </c>
      <c r="C60" s="106">
        <v>500</v>
      </c>
      <c r="D60" s="107">
        <v>44917</v>
      </c>
    </row>
    <row r="62" spans="2:7" x14ac:dyDescent="0.35">
      <c r="B62" s="92" t="s">
        <v>2306</v>
      </c>
      <c r="C62" s="92"/>
    </row>
    <row r="63" spans="2:7" x14ac:dyDescent="0.35">
      <c r="B63" s="53" t="s">
        <v>2305</v>
      </c>
      <c r="C63" s="66">
        <f>COUNTIFS(Cleaned_Data!L3:L273, "&gt;0")</f>
        <v>21</v>
      </c>
    </row>
    <row r="64" spans="2:7" x14ac:dyDescent="0.35">
      <c r="B64" s="53" t="s">
        <v>2304</v>
      </c>
      <c r="C64" s="108">
        <f>COUNTIFS(Cleaned_Data!$L$3:$L$273, "&gt;0")/COUNTIF(Cleaned_Data!$L$3:$L$273, "&lt;&gt;")</f>
        <v>7.7490774907749083E-2</v>
      </c>
    </row>
    <row r="65" spans="2:3" x14ac:dyDescent="0.35">
      <c r="B65" s="53" t="s">
        <v>2307</v>
      </c>
      <c r="C65" s="88" cm="1">
        <f t="array" ref="C65">MEDIAN( _xlfn._xlws.FILTER( Cleaned_Data!$L$3:$L$273, Cleaned_Data!$L$3:$L$273&gt;0))</f>
        <v>0.48499999999999999</v>
      </c>
    </row>
    <row r="66" spans="2:3" x14ac:dyDescent="0.35">
      <c r="B66" s="59" t="s">
        <v>2308</v>
      </c>
      <c r="C66" s="109">
        <f>AVERAGE(Cleaned_Data!$L$3:$L$273)</f>
        <v>5.2140642337594863E-2</v>
      </c>
    </row>
  </sheetData>
  <conditionalFormatting sqref="B27:M27">
    <cfRule type="colorScale" priority="1">
      <colorScale>
        <cfvo type="min"/>
        <cfvo type="max"/>
        <color rgb="FFFFEF9C"/>
        <color rgb="FF63BE7B"/>
      </colorScale>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2F26-4381-4661-82DE-D4D7AD8AAC2A}">
  <sheetPr>
    <tabColor rgb="FF65F1D0"/>
  </sheetPr>
  <dimension ref="B2:AD3"/>
  <sheetViews>
    <sheetView showGridLines="0" topLeftCell="A13" zoomScale="44" workbookViewId="0">
      <selection activeCell="B2" sqref="B2:AD2"/>
    </sheetView>
  </sheetViews>
  <sheetFormatPr defaultRowHeight="14.5" x14ac:dyDescent="0.35"/>
  <cols>
    <col min="1" max="16384" width="8.7265625" style="4"/>
  </cols>
  <sheetData>
    <row r="2" spans="2:30" ht="34" thickBot="1" x14ac:dyDescent="0.8">
      <c r="B2" s="110" t="s">
        <v>2317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row>
    <row r="3" spans="2:30" ht="15" thickTop="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B9C0-A4E9-41AD-8806-A84612DE9403}">
  <sheetPr>
    <tabColor rgb="FFC0EAE7"/>
  </sheetPr>
  <dimension ref="B2:U277"/>
  <sheetViews>
    <sheetView tabSelected="1" workbookViewId="0">
      <pane xSplit="3" ySplit="2" topLeftCell="D3" activePane="bottomRight" state="frozen"/>
      <selection pane="topRight" activeCell="D1" sqref="D1"/>
      <selection pane="bottomLeft" activeCell="A3" sqref="A3"/>
      <selection pane="bottomRight" activeCell="K2" sqref="K2"/>
    </sheetView>
  </sheetViews>
  <sheetFormatPr defaultRowHeight="14.5" x14ac:dyDescent="0.35"/>
  <cols>
    <col min="1" max="1" width="3.1796875" style="4" customWidth="1"/>
    <col min="2" max="2" width="8.08984375" style="4" customWidth="1"/>
    <col min="3" max="3" width="22.26953125" style="4" customWidth="1"/>
    <col min="4" max="5" width="12.08984375" style="4" customWidth="1"/>
    <col min="6" max="6" width="12.6328125" style="4" customWidth="1"/>
    <col min="7" max="7" width="10.453125" style="16" bestFit="1" customWidth="1"/>
    <col min="8" max="8" width="12.36328125" style="16" customWidth="1"/>
    <col min="9" max="9" width="24.54296875" style="16" bestFit="1" customWidth="1"/>
    <col min="10" max="12" width="10.7265625" style="16" customWidth="1"/>
    <col min="13" max="13" width="70.1796875" style="12" customWidth="1"/>
    <col min="14" max="14" width="18.08984375" style="4" bestFit="1" customWidth="1"/>
    <col min="15" max="15" width="26.08984375" style="4" bestFit="1" customWidth="1"/>
    <col min="16" max="16" width="19.54296875" style="4" customWidth="1"/>
    <col min="17" max="17" width="23.36328125" style="4" bestFit="1" customWidth="1"/>
    <col min="18" max="18" width="14.36328125" style="4" customWidth="1"/>
    <col min="19" max="19" width="24.7265625" style="4" bestFit="1" customWidth="1"/>
    <col min="20" max="21" width="24.7265625" style="4" customWidth="1"/>
    <col min="22" max="22" width="14.81640625" style="4" customWidth="1"/>
    <col min="23" max="16384" width="8.7265625" style="4"/>
  </cols>
  <sheetData>
    <row r="2" spans="2:21" x14ac:dyDescent="0.35">
      <c r="B2" s="37" t="s">
        <v>2319</v>
      </c>
      <c r="C2" s="37" t="s">
        <v>2320</v>
      </c>
      <c r="D2" s="37" t="s">
        <v>2321</v>
      </c>
      <c r="E2" s="37" t="s">
        <v>161</v>
      </c>
      <c r="F2" s="37" t="s">
        <v>1206</v>
      </c>
      <c r="G2" s="37" t="s">
        <v>2322</v>
      </c>
      <c r="H2" s="37" t="s">
        <v>1395</v>
      </c>
      <c r="I2" s="37" t="s">
        <v>1398</v>
      </c>
      <c r="J2" s="37" t="s">
        <v>2323</v>
      </c>
      <c r="K2" s="37" t="s">
        <v>1489</v>
      </c>
      <c r="L2" s="37" t="s">
        <v>516</v>
      </c>
      <c r="M2" s="33" t="s">
        <v>1396</v>
      </c>
      <c r="N2" s="26" t="s">
        <v>1404</v>
      </c>
      <c r="O2" s="26" t="s">
        <v>1400</v>
      </c>
      <c r="P2" s="26" t="s">
        <v>1399</v>
      </c>
      <c r="Q2" s="26" t="s">
        <v>1401</v>
      </c>
      <c r="R2" s="26" t="s">
        <v>1397</v>
      </c>
      <c r="S2" s="26" t="s">
        <v>1403</v>
      </c>
      <c r="T2" s="26" t="s">
        <v>1405</v>
      </c>
      <c r="U2" s="26" t="s">
        <v>1406</v>
      </c>
    </row>
    <row r="3" spans="2:21" x14ac:dyDescent="0.35">
      <c r="B3" s="4">
        <v>1</v>
      </c>
      <c r="C3" s="4" t="str">
        <f>IFERROR(_xlfn.XLOOKUP($B3,Raw_Data!$A$3:$A$273,Raw_Data!$B$3:$B$273),"")</f>
        <v>247Solar</v>
      </c>
      <c r="D3" s="4" t="str">
        <f>IFERROR(_xlfn.XLOOKUP($B3,Raw_Data!$A$3:$A$273,Raw_Data!$C$3:$C$273),"")</f>
        <v>Great Falls, VA</v>
      </c>
      <c r="E3" s="4">
        <f>IFERROR(_xlfn.XLOOKUP($B3,Raw_Data!$A$3:$A$273,Raw_Data!$D$3:$D$273),"")</f>
        <v>2015</v>
      </c>
      <c r="F3" s="4" t="str">
        <f>IFERROR(_xlfn.XLOOKUP($B3,Raw_Data!$A$3:$A$273,Raw_Data!$F$3:$F$273),"")</f>
        <v>Renewables</v>
      </c>
      <c r="G3" s="35">
        <f>IFERROR(_xlfn.XLOOKUP($B3,Raw_Data!$A$3:$A$273,Raw_Data!$J$3:$J$273),"")</f>
        <v>44895</v>
      </c>
      <c r="H3" s="16" t="s">
        <v>1465</v>
      </c>
      <c r="I3" s="36">
        <f>IFERROR(_xlfn.XLOOKUP($B3,Raw_Data!$A$3:$A$273,Raw_Data!$I$3:$I$273),"")</f>
        <v>12.5</v>
      </c>
      <c r="J3" s="36">
        <f>IFERROR(_xlfn.XLOOKUP($B3,Raw_Data!$A$3:$A$273,Raw_Data!$L$3:$L$273),"")</f>
        <v>3.5</v>
      </c>
      <c r="K3" s="36">
        <f>IFERROR(_xlfn.XLOOKUP($B3,Raw_Data!$A$3:$A$273,Raw_Data!$M$3:$M$273),"")</f>
        <v>40</v>
      </c>
      <c r="L3" s="15">
        <f>IFERROR(_xlfn.XLOOKUP($B3,Raw_Data!$A$3:$A$273,Raw_Data!$Q$3:$Q$273),"")</f>
        <v>0</v>
      </c>
      <c r="M3" s="34" t="str">
        <f>IFERROR(_xlfn.XLOOKUP($B3,Raw_Data!$A$3:$A$273,Raw_Data!$R$3:$R$273),"")</f>
        <v>Safar Partners</v>
      </c>
      <c r="N3" s="16" cm="1">
        <f t="array" ref="N3">IF(M3="",0,COUNTA(_xlfn._xlws.FILTER(_xlfn.TEXTSPLIT(M3,";"), _xlfn.TEXTSPLIT(M3,";")&lt;&gt;"")))</f>
        <v>1</v>
      </c>
      <c r="O3" s="16" t="str">
        <f>IF(P3&gt;0,"Y","N")</f>
        <v>N</v>
      </c>
      <c r="P3" s="19">
        <f>IFERROR(_xlfn.XLOOKUP($B3,Raw_Data!$A$3:$A$273,Raw_Data!$V$3:$V$273),"")</f>
        <v>0</v>
      </c>
      <c r="Q3" s="16" t="str">
        <f>IF(R3&gt;0,"Y","N")</f>
        <v>Y</v>
      </c>
      <c r="R3" s="32">
        <f>IFERROR(_xlfn.XLOOKUP($B3,Raw_Data!$A$3:$A$273,Raw_Data!$Y$3:$Y$273),"")</f>
        <v>1</v>
      </c>
      <c r="S3" s="4" t="str" cm="1">
        <f t="array" ref="S3">_xlfn.LET(_xlpm.s, Raw_Data!W3,_xlpm.strat, _xlfn._xlws.FILTER(REF_Setup!$B$3:$B$40, REF_Setup!$B$3:$B$40&lt;&gt;""),IF(OR(_xlpm.s="",_xlpm.s=0),"Unclassified",IF(SUM(--ISNUMBER(SEARCH(_xlpm.strat, _xlpm.s)))&gt;0, "Y", "N"))
)</f>
        <v>N</v>
      </c>
      <c r="T3" s="4" t="str" cm="1">
        <f t="array" ref="T3">_xlfn.LET(_xlpm.s,M3,_xlpm.phil, _xlfn._xlws.FILTER(REF_Setup!$D$3:$D$5, REF_Setup!$D$3:$D$5&lt;&gt;""),IF(OR(_xlpm.s="", _xlpm.s=0),"Unclassified",IF(SUM(--ISNUMBER(SEARCH(_xlpm.phil, _xlpm.s)))&gt;0, "Y", "N")))</f>
        <v>N</v>
      </c>
      <c r="U3" s="4" t="str" cm="1">
        <f t="array" ref="U3">IF(M3="", "Unclassified", IF(AND(SUMPRODUCT(--ISNUMBER(SEARCH(REF_Setup!$B$3:$B$40,M3)))&gt;0,SUMPRODUCT(--ISNUMBER(SEARCH(REF_Setup!$F$3:$F$15,M3)))&gt;0),"Mixed",IF(SUMPRODUCT(--ISNUMBER(SEARCH(REF_Setup!$B$3:$B$40,M3)))&gt;0,"Strategic Only",IF(SUMPRODUCT(--ISNUMBER(SEARCH(REF_Setup!$F$3:$F$15,M3)))&gt;0,"VC Only","Unclassified"))))</f>
        <v>VC Only</v>
      </c>
    </row>
    <row r="4" spans="2:21" x14ac:dyDescent="0.35">
      <c r="B4" s="4">
        <f>B3+1</f>
        <v>2</v>
      </c>
      <c r="C4" s="4" t="str">
        <f>IFERROR(_xlfn.XLOOKUP($B4,Raw_Data!$A$3:$A$273,Raw_Data!$B$3:$B$273),"")</f>
        <v>247Solar</v>
      </c>
      <c r="D4" s="4" t="str">
        <f>IFERROR(_xlfn.XLOOKUP($B4,Raw_Data!$A$3:$A$273,Raw_Data!$C$3:$C$273),"")</f>
        <v>Great Falls, VA</v>
      </c>
      <c r="E4" s="4">
        <f>IFERROR(_xlfn.XLOOKUP($B4,Raw_Data!$A$3:$A$273,Raw_Data!$D$3:$D$273),"")</f>
        <v>2015</v>
      </c>
      <c r="F4" s="4" t="str">
        <f>IFERROR(_xlfn.XLOOKUP($B4,Raw_Data!$A$3:$A$273,Raw_Data!$F$3:$F$273),"")</f>
        <v>Renewables</v>
      </c>
      <c r="G4" s="35">
        <f>IFERROR(_xlfn.XLOOKUP($B4,Raw_Data!$A$3:$A$273,Raw_Data!$J$3:$J$273),"")</f>
        <v>45657</v>
      </c>
      <c r="H4" s="16" t="s">
        <v>1465</v>
      </c>
      <c r="I4" s="36">
        <f>IFERROR(_xlfn.XLOOKUP($B4,Raw_Data!$A$3:$A$273,Raw_Data!$I$3:$I$273),"")</f>
        <v>20.5</v>
      </c>
      <c r="J4" s="36">
        <f>IFERROR(_xlfn.XLOOKUP($B4,Raw_Data!$A$3:$A$273,Raw_Data!$L$3:$L$273),"")</f>
        <v>8</v>
      </c>
      <c r="K4" s="36">
        <f>IFERROR(_xlfn.XLOOKUP($B4,Raw_Data!$A$3:$A$273,Raw_Data!$M$3:$M$273),"")</f>
        <v>0</v>
      </c>
      <c r="L4" s="15">
        <f>IFERROR(_xlfn.XLOOKUP($B4,Raw_Data!$A$3:$A$273,Raw_Data!$Q$3:$Q$273),"")</f>
        <v>0</v>
      </c>
      <c r="M4" s="34" t="str">
        <f>IFERROR(_xlfn.XLOOKUP($B4,Raw_Data!$A$3:$A$273,Raw_Data!$R$3:$R$273),"")</f>
        <v>COCONUT GROVE; First Financial Bankshares; M10Lean capital; Mintz</v>
      </c>
      <c r="N4" s="16" cm="1">
        <f t="array" ref="N4">IF(M4="",0,COUNTA(_xlfn._xlws.FILTER(_xlfn.TEXTSPLIT(M4,";"), _xlfn.TEXTSPLIT(M4,";")&lt;&gt;"")))</f>
        <v>4</v>
      </c>
      <c r="O4" s="16" t="str">
        <f t="shared" ref="O4:O67" si="0">IF(P4&gt;0,"Y","N")</f>
        <v>N</v>
      </c>
      <c r="P4" s="19">
        <f>IFERROR(_xlfn.XLOOKUP($B4,Raw_Data!$A$3:$A$273,Raw_Data!$V$3:$V$273),"")</f>
        <v>0</v>
      </c>
      <c r="Q4" s="16" t="str">
        <f t="shared" ref="Q4:Q67" si="1">IF(R4&gt;0,"Y","N")</f>
        <v>Y</v>
      </c>
      <c r="R4" s="32">
        <f>IFERROR(_xlfn.XLOOKUP($B4,Raw_Data!$A$3:$A$273,Raw_Data!$Y$3:$Y$273),"")</f>
        <v>1</v>
      </c>
      <c r="S4" s="4" t="str" cm="1">
        <f t="array" ref="S4">_xlfn.LET(_xlpm.s, Raw_Data!W4,_xlpm.strat, _xlfn._xlws.FILTER(REF_Setup!$B$3:$B$40, REF_Setup!$B$3:$B$40&lt;&gt;""),IF(OR(_xlpm.s="",_xlpm.s=0),"Unclassified",IF(SUM(--ISNUMBER(SEARCH(_xlpm.strat, _xlpm.s)))&gt;0, "Y", "N"))
)</f>
        <v>N</v>
      </c>
      <c r="T4" s="4" t="str" cm="1">
        <f t="array" ref="T4">_xlfn.LET(_xlpm.s,M4,_xlpm.phil, _xlfn._xlws.FILTER(REF_Setup!$D$3:$D$5, REF_Setup!$D$3:$D$5&lt;&gt;""),IF(OR(_xlpm.s="", _xlpm.s=0),"Unclassified",IF(SUM(--ISNUMBER(SEARCH(_xlpm.phil, _xlpm.s)))&gt;0, "Y", "N")))</f>
        <v>N</v>
      </c>
      <c r="U4" s="4" t="str" cm="1">
        <f t="array" ref="U4">IF(M4="", "Unclassified", IF(AND(SUMPRODUCT(--ISNUMBER(SEARCH(REF_Setup!$B$3:$B$40,M4)))&gt;0,SUMPRODUCT(--ISNUMBER(SEARCH(REF_Setup!$F$3:$F$15,M4)))&gt;0),"Mixed",IF(SUMPRODUCT(--ISNUMBER(SEARCH(REF_Setup!$B$3:$B$40,M4)))&gt;0,"Strategic Only",IF(SUMPRODUCT(--ISNUMBER(SEARCH(REF_Setup!$F$3:$F$15,M4)))&gt;0,"VC Only","Unclassified"))))</f>
        <v>VC Only</v>
      </c>
    </row>
    <row r="5" spans="2:21" x14ac:dyDescent="0.35">
      <c r="B5" s="4">
        <f t="shared" ref="B5:B68" si="2">B4+1</f>
        <v>3</v>
      </c>
      <c r="C5" s="4" t="str">
        <f>IFERROR(_xlfn.XLOOKUP($B5,Raw_Data!$A$3:$A$273,Raw_Data!$B$3:$B$273),"")</f>
        <v>Aanika</v>
      </c>
      <c r="D5" s="4" t="str">
        <f>IFERROR(_xlfn.XLOOKUP($B5,Raw_Data!$A$3:$A$273,Raw_Data!$C$3:$C$273),"")</f>
        <v>New York, NY</v>
      </c>
      <c r="E5" s="4">
        <f>IFERROR(_xlfn.XLOOKUP($B5,Raw_Data!$A$3:$A$273,Raw_Data!$D$3:$D$273),"")</f>
        <v>2018</v>
      </c>
      <c r="F5" s="4" t="str">
        <f>IFERROR(_xlfn.XLOOKUP($B5,Raw_Data!$A$3:$A$273,Raw_Data!$F$3:$F$273),"")</f>
        <v>Food &amp; Ag</v>
      </c>
      <c r="G5" s="35">
        <f>IFERROR(_xlfn.XLOOKUP($B5,Raw_Data!$A$3:$A$273,Raw_Data!$J$3:$J$273),"")</f>
        <v>43879</v>
      </c>
      <c r="H5" s="16" t="s">
        <v>1466</v>
      </c>
      <c r="I5" s="36">
        <f>IFERROR(_xlfn.XLOOKUP($B5,Raw_Data!$A$3:$A$273,Raw_Data!$I$3:$I$273),"")</f>
        <v>2.63</v>
      </c>
      <c r="J5" s="36">
        <f>IFERROR(_xlfn.XLOOKUP($B5,Raw_Data!$A$3:$A$273,Raw_Data!$L$3:$L$273),"")</f>
        <v>2.5</v>
      </c>
      <c r="K5" s="36">
        <f>IFERROR(_xlfn.XLOOKUP($B5,Raw_Data!$A$3:$A$273,Raw_Data!$M$3:$M$273),"")</f>
        <v>7.93</v>
      </c>
      <c r="L5" s="15">
        <f>IFERROR(_xlfn.XLOOKUP($B5,Raw_Data!$A$3:$A$273,Raw_Data!$Q$3:$Q$273),"")</f>
        <v>2.8000000000000004E-2</v>
      </c>
      <c r="M5" s="34" t="str">
        <f>IFERROR(_xlfn.XLOOKUP($B5,Raw_Data!$A$3:$A$273,Raw_Data!$R$3:$R$273),"")</f>
        <v>Alex Chung; Draper Associates; Kabir Misra; RPS Ventures; SOSV</v>
      </c>
      <c r="N5" s="16" cm="1">
        <f t="array" ref="N5">IF(M5="",0,COUNTA(_xlfn._xlws.FILTER(_xlfn.TEXTSPLIT(M5,";"), _xlfn.TEXTSPLIT(M5,";")&lt;&gt;"")))</f>
        <v>5</v>
      </c>
      <c r="O5" s="16" t="str">
        <f t="shared" si="0"/>
        <v>N</v>
      </c>
      <c r="P5" s="19">
        <f>IFERROR(_xlfn.XLOOKUP($B5,Raw_Data!$A$3:$A$273,Raw_Data!$V$3:$V$273),"")</f>
        <v>0</v>
      </c>
      <c r="Q5" s="16" t="str">
        <f t="shared" si="1"/>
        <v>Y</v>
      </c>
      <c r="R5" s="32">
        <f>IFERROR(_xlfn.XLOOKUP($B5,Raw_Data!$A$3:$A$273,Raw_Data!$Y$3:$Y$273),"")</f>
        <v>1</v>
      </c>
      <c r="S5" s="4" t="str" cm="1">
        <f t="array" ref="S5">_xlfn.LET(_xlpm.s, Raw_Data!W5,_xlpm.strat, _xlfn._xlws.FILTER(REF_Setup!$B$3:$B$40, REF_Setup!$B$3:$B$40&lt;&gt;""),IF(OR(_xlpm.s="",_xlpm.s=0),"Unclassified",IF(SUM(--ISNUMBER(SEARCH(_xlpm.strat, _xlpm.s)))&gt;0, "Y", "N"))
)</f>
        <v>N</v>
      </c>
      <c r="T5" s="4" t="str" cm="1">
        <f t="array" ref="T5">_xlfn.LET(_xlpm.s,M5,_xlpm.phil, _xlfn._xlws.FILTER(REF_Setup!$D$3:$D$5, REF_Setup!$D$3:$D$5&lt;&gt;""),IF(OR(_xlpm.s="", _xlpm.s=0),"Unclassified",IF(SUM(--ISNUMBER(SEARCH(_xlpm.phil, _xlpm.s)))&gt;0, "Y", "N")))</f>
        <v>N</v>
      </c>
      <c r="U5" s="4" t="str" cm="1">
        <f t="array" ref="U5">IF(M5="", "Unclassified", IF(AND(SUMPRODUCT(--ISNUMBER(SEARCH(REF_Setup!$B$3:$B$40,M5)))&gt;0,SUMPRODUCT(--ISNUMBER(SEARCH(REF_Setup!$F$3:$F$15,M5)))&gt;0),"Mixed",IF(SUMPRODUCT(--ISNUMBER(SEARCH(REF_Setup!$B$3:$B$40,M5)))&gt;0,"Strategic Only",IF(SUMPRODUCT(--ISNUMBER(SEARCH(REF_Setup!$F$3:$F$15,M5)))&gt;0,"VC Only","Unclassified"))))</f>
        <v>VC Only</v>
      </c>
    </row>
    <row r="6" spans="2:21" ht="29" x14ac:dyDescent="0.35">
      <c r="B6" s="4">
        <f t="shared" si="2"/>
        <v>4</v>
      </c>
      <c r="C6" s="4" t="str">
        <f>IFERROR(_xlfn.XLOOKUP($B6,Raw_Data!$A$3:$A$273,Raw_Data!$B$3:$B$273),"")</f>
        <v>Aces Delta</v>
      </c>
      <c r="D6" s="4" t="str">
        <f>IFERROR(_xlfn.XLOOKUP($B6,Raw_Data!$A$3:$A$273,Raw_Data!$C$3:$C$273),"")</f>
        <v>Holladay, UT</v>
      </c>
      <c r="E6" s="4">
        <f>IFERROR(_xlfn.XLOOKUP($B6,Raw_Data!$A$3:$A$273,Raw_Data!$D$3:$D$273),"")</f>
        <v>2019</v>
      </c>
      <c r="F6" s="4" t="str">
        <f>IFERROR(_xlfn.XLOOKUP($B6,Raw_Data!$A$3:$A$273,Raw_Data!$F$3:$F$273),"")</f>
        <v>Hydrogen</v>
      </c>
      <c r="G6" s="35">
        <f>IFERROR(_xlfn.XLOOKUP($B6,Raw_Data!$A$3:$A$273,Raw_Data!$J$3:$J$273),"")</f>
        <v>44721</v>
      </c>
      <c r="H6" s="4" t="s">
        <v>75</v>
      </c>
      <c r="I6" s="36">
        <f>IFERROR(_xlfn.XLOOKUP($B6,Raw_Data!$A$3:$A$273,Raw_Data!$I$3:$I$273),"")</f>
        <v>650</v>
      </c>
      <c r="J6" s="36">
        <f>IFERROR(_xlfn.XLOOKUP($B6,Raw_Data!$A$3:$A$273,Raw_Data!$L$3:$L$273),"")</f>
        <v>650</v>
      </c>
      <c r="K6" s="36">
        <f>IFERROR(_xlfn.XLOOKUP($B6,Raw_Data!$A$3:$A$273,Raw_Data!$M$3:$M$273),"")</f>
        <v>0</v>
      </c>
      <c r="L6" s="15">
        <f>IFERROR(_xlfn.XLOOKUP($B6,Raw_Data!$A$3:$A$273,Raw_Data!$Q$3:$Q$273),"")</f>
        <v>0</v>
      </c>
      <c r="M6" s="34" t="str">
        <f>IFERROR(_xlfn.XLOOKUP($B6,Raw_Data!$A$3:$A$273,Raw_Data!$R$3:$R$273),"")</f>
        <v xml:space="preserve">Alberta Investment Management; GIC Private; Haddington Ventures, Manulife Financial; Onterio Teachers Pension Plan </v>
      </c>
      <c r="N6" s="16" cm="1">
        <f t="array" ref="N6">IF(M6="",0,COUNTA(_xlfn._xlws.FILTER(_xlfn.TEXTSPLIT(M6,";"), _xlfn.TEXTSPLIT(M6,";")&lt;&gt;"")))</f>
        <v>4</v>
      </c>
      <c r="O6" s="16" t="str">
        <f t="shared" si="0"/>
        <v>N</v>
      </c>
      <c r="P6" s="19">
        <f>IFERROR(_xlfn.XLOOKUP($B6,Raw_Data!$A$3:$A$273,Raw_Data!$V$3:$V$273),"")</f>
        <v>0</v>
      </c>
      <c r="Q6" s="16" t="str">
        <f t="shared" si="1"/>
        <v>Y</v>
      </c>
      <c r="R6" s="32">
        <f>IFERROR(_xlfn.XLOOKUP($B6,Raw_Data!$A$3:$A$273,Raw_Data!$Y$3:$Y$273),"")</f>
        <v>1</v>
      </c>
      <c r="S6" s="4" t="str" cm="1">
        <f t="array" ref="S6">_xlfn.LET(_xlpm.s, Raw_Data!W6,_xlpm.strat, _xlfn._xlws.FILTER(REF_Setup!$B$3:$B$40, REF_Setup!$B$3:$B$40&lt;&gt;""),IF(OR(_xlpm.s="",_xlpm.s=0),"Unclassified",IF(SUM(--ISNUMBER(SEARCH(_xlpm.strat, _xlpm.s)))&gt;0, "Y", "N"))
)</f>
        <v>N</v>
      </c>
      <c r="T6" s="4" t="str" cm="1">
        <f t="array" ref="T6">_xlfn.LET(_xlpm.s,M6,_xlpm.phil, _xlfn._xlws.FILTER(REF_Setup!$D$3:$D$5, REF_Setup!$D$3:$D$5&lt;&gt;""),IF(OR(_xlpm.s="", _xlpm.s=0),"Unclassified",IF(SUM(--ISNUMBER(SEARCH(_xlpm.phil, _xlpm.s)))&gt;0, "Y", "N")))</f>
        <v>N</v>
      </c>
      <c r="U6" s="4" t="str" cm="1">
        <f t="array" ref="U6">IF(M6="", "Unclassified", IF(AND(SUMPRODUCT(--ISNUMBER(SEARCH(REF_Setup!$B$3:$B$40,M6)))&gt;0,SUMPRODUCT(--ISNUMBER(SEARCH(REF_Setup!$F$3:$F$15,M6)))&gt;0),"Mixed",IF(SUMPRODUCT(--ISNUMBER(SEARCH(REF_Setup!$B$3:$B$40,M6)))&gt;0,"Strategic Only",IF(SUMPRODUCT(--ISNUMBER(SEARCH(REF_Setup!$F$3:$F$15,M6)))&gt;0,"VC Only","Unclassified"))))</f>
        <v>VC Only</v>
      </c>
    </row>
    <row r="7" spans="2:21" x14ac:dyDescent="0.35">
      <c r="B7" s="4">
        <f t="shared" si="2"/>
        <v>5</v>
      </c>
      <c r="C7" s="4" t="str">
        <f>IFERROR(_xlfn.XLOOKUP($B7,Raw_Data!$A$3:$A$273,Raw_Data!$B$3:$B$273),"")</f>
        <v>Addis Energy</v>
      </c>
      <c r="D7" s="4" t="str">
        <f>IFERROR(_xlfn.XLOOKUP($B7,Raw_Data!$A$3:$A$273,Raw_Data!$C$3:$C$273),"")</f>
        <v>Somewille, MA</v>
      </c>
      <c r="E7" s="4">
        <f>IFERROR(_xlfn.XLOOKUP($B7,Raw_Data!$A$3:$A$273,Raw_Data!$D$3:$D$273),"")</f>
        <v>2024</v>
      </c>
      <c r="F7" s="4" t="str">
        <f>IFERROR(_xlfn.XLOOKUP($B7,Raw_Data!$A$3:$A$273,Raw_Data!$F$3:$F$273),"")</f>
        <v>Hydrogen</v>
      </c>
      <c r="G7" s="35">
        <f>IFERROR(_xlfn.XLOOKUP($B7,Raw_Data!$A$3:$A$273,Raw_Data!$J$3:$J$273),"")</f>
        <v>45978</v>
      </c>
      <c r="H7" s="4"/>
      <c r="I7" s="36">
        <f>IFERROR(_xlfn.XLOOKUP($B7,Raw_Data!$A$3:$A$273,Raw_Data!$I$3:$I$273),"")</f>
        <v>17.309999999999999</v>
      </c>
      <c r="J7" s="36">
        <f>IFERROR(_xlfn.XLOOKUP($B7,Raw_Data!$A$3:$A$273,Raw_Data!$L$3:$L$273),"")</f>
        <v>8.41</v>
      </c>
      <c r="K7" s="36">
        <f>IFERROR(_xlfn.XLOOKUP($B7,Raw_Data!$A$3:$A$273,Raw_Data!$M$3:$M$273),"")</f>
        <v>22</v>
      </c>
      <c r="L7" s="15">
        <f>IFERROR(_xlfn.XLOOKUP($B7,Raw_Data!$A$3:$A$273,Raw_Data!$Q$3:$Q$273),"")</f>
        <v>0</v>
      </c>
      <c r="M7" s="34" t="str">
        <f>IFERROR(_xlfn.XLOOKUP($B7,Raw_Data!$A$3:$A$273,Raw_Data!$R$3:$R$273),"")</f>
        <v>At One Ventures; Engine Ventures; Pillar VC</v>
      </c>
      <c r="N7" s="16" cm="1">
        <f t="array" ref="N7">IF(M7="",0,COUNTA(_xlfn._xlws.FILTER(_xlfn.TEXTSPLIT(M7,";"), _xlfn.TEXTSPLIT(M7,";")&lt;&gt;"")))</f>
        <v>3</v>
      </c>
      <c r="O7" s="16" t="str">
        <f t="shared" si="0"/>
        <v>Y</v>
      </c>
      <c r="P7" s="19">
        <f>IFERROR(_xlfn.XLOOKUP($B7,Raw_Data!$A$3:$A$273,Raw_Data!$V$3:$V$273),"")</f>
        <v>0.66666666666666663</v>
      </c>
      <c r="Q7" s="16" t="str">
        <f t="shared" si="1"/>
        <v>Y</v>
      </c>
      <c r="R7" s="32">
        <f>IFERROR(_xlfn.XLOOKUP($B7,Raw_Data!$A$3:$A$273,Raw_Data!$Y$3:$Y$273),"")</f>
        <v>0.33333333333333331</v>
      </c>
      <c r="S7" s="4" t="str" cm="1">
        <f t="array" ref="S7">_xlfn.LET(_xlpm.s, Raw_Data!W7,_xlpm.strat, _xlfn._xlws.FILTER(REF_Setup!$B$3:$B$40, REF_Setup!$B$3:$B$40&lt;&gt;""),IF(OR(_xlpm.s="",_xlpm.s=0),"Unclassified",IF(SUM(--ISNUMBER(SEARCH(_xlpm.strat, _xlpm.s)))&gt;0, "Y", "N"))
)</f>
        <v>N</v>
      </c>
      <c r="T7" s="4" t="str" cm="1">
        <f t="array" ref="T7">_xlfn.LET(_xlpm.s,M7,_xlpm.phil, _xlfn._xlws.FILTER(REF_Setup!$D$3:$D$5, REF_Setup!$D$3:$D$5&lt;&gt;""),IF(OR(_xlpm.s="", _xlpm.s=0),"Unclassified",IF(SUM(--ISNUMBER(SEARCH(_xlpm.phil, _xlpm.s)))&gt;0, "Y", "N")))</f>
        <v>N</v>
      </c>
      <c r="U7" s="4" t="str" cm="1">
        <f t="array" ref="U7">IF(M7="", "Unclassified", IF(AND(SUMPRODUCT(--ISNUMBER(SEARCH(REF_Setup!$B$3:$B$40,M7)))&gt;0,SUMPRODUCT(--ISNUMBER(SEARCH(REF_Setup!$F$3:$F$15,M7)))&gt;0),"Mixed",IF(SUMPRODUCT(--ISNUMBER(SEARCH(REF_Setup!$B$3:$B$40,M7)))&gt;0,"Strategic Only",IF(SUMPRODUCT(--ISNUMBER(SEARCH(REF_Setup!$F$3:$F$15,M7)))&gt;0,"VC Only","Unclassified"))))</f>
        <v>VC Only</v>
      </c>
    </row>
    <row r="8" spans="2:21" x14ac:dyDescent="0.35">
      <c r="B8" s="4">
        <f t="shared" si="2"/>
        <v>6</v>
      </c>
      <c r="C8" s="4" t="str">
        <f>IFERROR(_xlfn.XLOOKUP($B8,Raw_Data!$A$3:$A$273,Raw_Data!$B$3:$B$273),"")</f>
        <v>Advanced Battery Concepts</v>
      </c>
      <c r="D8" s="4" t="str">
        <f>IFERROR(_xlfn.XLOOKUP($B8,Raw_Data!$A$3:$A$273,Raw_Data!$C$3:$C$273),"")</f>
        <v>Clare, MI</v>
      </c>
      <c r="E8" s="4">
        <f>IFERROR(_xlfn.XLOOKUP($B8,Raw_Data!$A$3:$A$273,Raw_Data!$D$3:$D$273),"")</f>
        <v>2008</v>
      </c>
      <c r="F8" s="4" t="str">
        <f>IFERROR(_xlfn.XLOOKUP($B8,Raw_Data!$A$3:$A$273,Raw_Data!$F$3:$F$273),"")</f>
        <v>LDES</v>
      </c>
      <c r="G8" s="35">
        <f>IFERROR(_xlfn.XLOOKUP($B8,Raw_Data!$A$3:$A$273,Raw_Data!$J$3:$J$273),"")</f>
        <v>42207</v>
      </c>
      <c r="H8" s="16" t="s">
        <v>1465</v>
      </c>
      <c r="I8" s="36">
        <f>IFERROR(_xlfn.XLOOKUP($B8,Raw_Data!$A$3:$A$273,Raw_Data!$I$3:$I$273),"")</f>
        <v>8.76</v>
      </c>
      <c r="J8" s="36">
        <f>IFERROR(_xlfn.XLOOKUP($B8,Raw_Data!$A$3:$A$273,Raw_Data!$L$3:$L$273),"")</f>
        <v>3.09</v>
      </c>
      <c r="K8" s="36">
        <f>IFERROR(_xlfn.XLOOKUP($B8,Raw_Data!$A$3:$A$273,Raw_Data!$M$3:$M$273),"")</f>
        <v>0</v>
      </c>
      <c r="L8" s="15">
        <f>IFERROR(_xlfn.XLOOKUP($B8,Raw_Data!$A$3:$A$273,Raw_Data!$Q$3:$Q$273),"")</f>
        <v>0</v>
      </c>
      <c r="M8" s="34" t="str">
        <f>IFERROR(_xlfn.XLOOKUP($B8,Raw_Data!$A$3:$A$273,Raw_Data!$R$3:$R$273),"")</f>
        <v>BlueWater Angels</v>
      </c>
      <c r="N8" s="16" cm="1">
        <f t="array" ref="N8">IF(M8="",0,COUNTA(_xlfn._xlws.FILTER(_xlfn.TEXTSPLIT(M8,";"), _xlfn.TEXTSPLIT(M8,";")&lt;&gt;"")))</f>
        <v>1</v>
      </c>
      <c r="O8" s="16" t="str">
        <f t="shared" si="0"/>
        <v>Y</v>
      </c>
      <c r="P8" s="19">
        <f>IFERROR(_xlfn.XLOOKUP($B8,Raw_Data!$A$3:$A$273,Raw_Data!$V$3:$V$273),"")</f>
        <v>1</v>
      </c>
      <c r="Q8" s="16" t="str">
        <f t="shared" si="1"/>
        <v>Y</v>
      </c>
      <c r="R8" s="32" t="str">
        <f>IFERROR(_xlfn.XLOOKUP($B8,Raw_Data!$A$3:$A$273,Raw_Data!$Y$3:$Y$273),"")</f>
        <v>N/A</v>
      </c>
      <c r="S8" s="4" t="str" cm="1">
        <f t="array" ref="S8">_xlfn.LET(_xlpm.s, Raw_Data!W8,_xlpm.strat, _xlfn._xlws.FILTER(REF_Setup!$B$3:$B$40, REF_Setup!$B$3:$B$40&lt;&gt;""),IF(OR(_xlpm.s="",_xlpm.s=0),"Unclassified",IF(SUM(--ISNUMBER(SEARCH(_xlpm.strat, _xlpm.s)))&gt;0, "Y", "N"))
)</f>
        <v>Unclassified</v>
      </c>
      <c r="T8" s="4" t="str" cm="1">
        <f t="array" ref="T8">_xlfn.LET(_xlpm.s,M8,_xlpm.phil, _xlfn._xlws.FILTER(REF_Setup!$D$3:$D$5, REF_Setup!$D$3:$D$5&lt;&gt;""),IF(OR(_xlpm.s="", _xlpm.s=0),"Unclassified",IF(SUM(--ISNUMBER(SEARCH(_xlpm.phil, _xlpm.s)))&gt;0, "Y", "N")))</f>
        <v>N</v>
      </c>
      <c r="U8" s="4" t="str" cm="1">
        <f t="array" ref="U8">IF(M8="", "Unclassified", IF(AND(SUMPRODUCT(--ISNUMBER(SEARCH(REF_Setup!$B$3:$B$40,M8)))&gt;0,SUMPRODUCT(--ISNUMBER(SEARCH(REF_Setup!$F$3:$F$15,M8)))&gt;0),"Mixed",IF(SUMPRODUCT(--ISNUMBER(SEARCH(REF_Setup!$B$3:$B$40,M8)))&gt;0,"Strategic Only",IF(SUMPRODUCT(--ISNUMBER(SEARCH(REF_Setup!$F$3:$F$15,M8)))&gt;0,"VC Only","Unclassified"))))</f>
        <v>Unclassified</v>
      </c>
    </row>
    <row r="9" spans="2:21" x14ac:dyDescent="0.35">
      <c r="B9" s="4">
        <f t="shared" si="2"/>
        <v>7</v>
      </c>
      <c r="C9" s="4" t="str">
        <f>IFERROR(_xlfn.XLOOKUP($B9,Raw_Data!$A$3:$A$273,Raw_Data!$B$3:$B$273),"")</f>
        <v>Advanced Battery Concepts</v>
      </c>
      <c r="D9" s="4" t="str">
        <f>IFERROR(_xlfn.XLOOKUP($B9,Raw_Data!$A$3:$A$273,Raw_Data!$C$3:$C$273),"")</f>
        <v>Clare, MI</v>
      </c>
      <c r="E9" s="4">
        <f>IFERROR(_xlfn.XLOOKUP($B9,Raw_Data!$A$3:$A$273,Raw_Data!$D$3:$D$273),"")</f>
        <v>2008</v>
      </c>
      <c r="F9" s="4" t="str">
        <f>IFERROR(_xlfn.XLOOKUP($B9,Raw_Data!$A$3:$A$273,Raw_Data!$F$3:$F$273),"")</f>
        <v>LDES</v>
      </c>
      <c r="G9" s="35">
        <f>IFERROR(_xlfn.XLOOKUP($B9,Raw_Data!$A$3:$A$273,Raw_Data!$J$3:$J$273),"")</f>
        <v>42699</v>
      </c>
      <c r="H9" s="16" t="s">
        <v>1465</v>
      </c>
      <c r="I9" s="36">
        <f>IFERROR(_xlfn.XLOOKUP($B9,Raw_Data!$A$3:$A$273,Raw_Data!$I$3:$I$273),"")</f>
        <v>11.88</v>
      </c>
      <c r="J9" s="36">
        <f>IFERROR(_xlfn.XLOOKUP($B9,Raw_Data!$A$3:$A$273,Raw_Data!$L$3:$L$273),"")</f>
        <v>3.12</v>
      </c>
      <c r="K9" s="36">
        <f>IFERROR(_xlfn.XLOOKUP($B9,Raw_Data!$A$3:$A$273,Raw_Data!$M$3:$M$273),"")</f>
        <v>0</v>
      </c>
      <c r="L9" s="15">
        <f>IFERROR(_xlfn.XLOOKUP($B9,Raw_Data!$A$3:$A$273,Raw_Data!$Q$3:$Q$273),"")</f>
        <v>0</v>
      </c>
      <c r="M9" s="34" t="str">
        <f>IFERROR(_xlfn.XLOOKUP($B9,Raw_Data!$A$3:$A$273,Raw_Data!$R$3:$R$273),"")</f>
        <v xml:space="preserve">BlueWater Angels; RSVP Ventures </v>
      </c>
      <c r="N9" s="16" cm="1">
        <f t="array" ref="N9">IF(M9="",0,COUNTA(_xlfn._xlws.FILTER(_xlfn.TEXTSPLIT(M9,";"), _xlfn.TEXTSPLIT(M9,";")&lt;&gt;"")))</f>
        <v>2</v>
      </c>
      <c r="O9" s="16" t="str">
        <f t="shared" si="0"/>
        <v>Y</v>
      </c>
      <c r="P9" s="19">
        <f>IFERROR(_xlfn.XLOOKUP($B9,Raw_Data!$A$3:$A$273,Raw_Data!$V$3:$V$273),"")</f>
        <v>0.5</v>
      </c>
      <c r="Q9" s="16" t="str">
        <f t="shared" si="1"/>
        <v>Y</v>
      </c>
      <c r="R9" s="32">
        <f>IFERROR(_xlfn.XLOOKUP($B9,Raw_Data!$A$3:$A$273,Raw_Data!$Y$3:$Y$273),"")</f>
        <v>0.5</v>
      </c>
      <c r="S9" s="4" t="str" cm="1">
        <f t="array" ref="S9">_xlfn.LET(_xlpm.s, Raw_Data!W9,_xlpm.strat, _xlfn._xlws.FILTER(REF_Setup!$B$3:$B$40, REF_Setup!$B$3:$B$40&lt;&gt;""),IF(OR(_xlpm.s="",_xlpm.s=0),"Unclassified",IF(SUM(--ISNUMBER(SEARCH(_xlpm.strat, _xlpm.s)))&gt;0, "Y", "N"))
)</f>
        <v>N</v>
      </c>
      <c r="T9" s="4" t="str" cm="1">
        <f t="array" ref="T9">_xlfn.LET(_xlpm.s,M9,_xlpm.phil, _xlfn._xlws.FILTER(REF_Setup!$D$3:$D$5, REF_Setup!$D$3:$D$5&lt;&gt;""),IF(OR(_xlpm.s="", _xlpm.s=0),"Unclassified",IF(SUM(--ISNUMBER(SEARCH(_xlpm.phil, _xlpm.s)))&gt;0, "Y", "N")))</f>
        <v>N</v>
      </c>
      <c r="U9" s="4" t="str" cm="1">
        <f t="array" ref="U9">IF(M9="", "Unclassified", IF(AND(SUMPRODUCT(--ISNUMBER(SEARCH(REF_Setup!$B$3:$B$40,M9)))&gt;0,SUMPRODUCT(--ISNUMBER(SEARCH(REF_Setup!$F$3:$F$15,M9)))&gt;0),"Mixed",IF(SUMPRODUCT(--ISNUMBER(SEARCH(REF_Setup!$B$3:$B$40,M9)))&gt;0,"Strategic Only",IF(SUMPRODUCT(--ISNUMBER(SEARCH(REF_Setup!$F$3:$F$15,M9)))&gt;0,"VC Only","Unclassified"))))</f>
        <v>VC Only</v>
      </c>
    </row>
    <row r="10" spans="2:21" x14ac:dyDescent="0.35">
      <c r="B10" s="4">
        <f t="shared" si="2"/>
        <v>8</v>
      </c>
      <c r="C10" s="4" t="str">
        <f>IFERROR(_xlfn.XLOOKUP($B10,Raw_Data!$A$3:$A$273,Raw_Data!$B$3:$B$273),"")</f>
        <v>Aither Systems</v>
      </c>
      <c r="D10" s="4" t="str">
        <f>IFERROR(_xlfn.XLOOKUP($B10,Raw_Data!$A$3:$A$273,Raw_Data!$C$3:$C$273),"")</f>
        <v>Alien, TX</v>
      </c>
      <c r="E10" s="4">
        <f>IFERROR(_xlfn.XLOOKUP($B10,Raw_Data!$A$3:$A$273,Raw_Data!$D$3:$D$273),"")</f>
        <v>0</v>
      </c>
      <c r="F10" s="4" t="str">
        <f>IFERROR(_xlfn.XLOOKUP($B10,Raw_Data!$A$3:$A$273,Raw_Data!$F$3:$F$273),"")</f>
        <v>LDES</v>
      </c>
      <c r="G10" s="35">
        <f>IFERROR(_xlfn.XLOOKUP($B10,Raw_Data!$A$3:$A$273,Raw_Data!$J$3:$J$273),"")</f>
        <v>45292</v>
      </c>
      <c r="H10" s="4" t="s">
        <v>75</v>
      </c>
      <c r="I10" s="36">
        <f>IFERROR(_xlfn.XLOOKUP($B10,Raw_Data!$A$3:$A$273,Raw_Data!$I$3:$I$273),"")</f>
        <v>0</v>
      </c>
      <c r="J10" s="36">
        <f>IFERROR(_xlfn.XLOOKUP($B10,Raw_Data!$A$3:$A$273,Raw_Data!$L$3:$L$273),"")</f>
        <v>0</v>
      </c>
      <c r="K10" s="36">
        <f>IFERROR(_xlfn.XLOOKUP($B10,Raw_Data!$A$3:$A$273,Raw_Data!$M$3:$M$273),"")</f>
        <v>0</v>
      </c>
      <c r="L10" s="15" t="str">
        <f>IFERROR(_xlfn.XLOOKUP($B10,Raw_Data!$A$3:$A$273,Raw_Data!$Q$3:$Q$273),"")</f>
        <v>N/A</v>
      </c>
      <c r="M10" s="34" t="str">
        <f>IFERROR(_xlfn.XLOOKUP($B10,Raw_Data!$A$3:$A$273,Raw_Data!$R$3:$R$273),"")</f>
        <v xml:space="preserve">Encap Investments </v>
      </c>
      <c r="N10" s="16" cm="1">
        <f t="array" ref="N10">IF(M10="",0,COUNTA(_xlfn._xlws.FILTER(_xlfn.TEXTSPLIT(M10,";"), _xlfn.TEXTSPLIT(M10,";")&lt;&gt;"")))</f>
        <v>1</v>
      </c>
      <c r="O10" s="16" t="str">
        <f t="shared" si="0"/>
        <v>N</v>
      </c>
      <c r="P10" s="19">
        <f>IFERROR(_xlfn.XLOOKUP($B10,Raw_Data!$A$3:$A$273,Raw_Data!$V$3:$V$273),"")</f>
        <v>0</v>
      </c>
      <c r="Q10" s="16" t="str">
        <f t="shared" si="1"/>
        <v>Y</v>
      </c>
      <c r="R10" s="32">
        <f>IFERROR(_xlfn.XLOOKUP($B10,Raw_Data!$A$3:$A$273,Raw_Data!$Y$3:$Y$273),"")</f>
        <v>1</v>
      </c>
      <c r="S10" s="4" t="str" cm="1">
        <f t="array" ref="S10">_xlfn.LET(_xlpm.s, Raw_Data!W10,_xlpm.strat, _xlfn._xlws.FILTER(REF_Setup!$B$3:$B$40, REF_Setup!$B$3:$B$40&lt;&gt;""),IF(OR(_xlpm.s="",_xlpm.s=0),"Unclassified",IF(SUM(--ISNUMBER(SEARCH(_xlpm.strat, _xlpm.s)))&gt;0, "Y", "N"))
)</f>
        <v>N</v>
      </c>
      <c r="T10" s="4" t="str" cm="1">
        <f t="array" ref="T10">_xlfn.LET(_xlpm.s,M10,_xlpm.phil, _xlfn._xlws.FILTER(REF_Setup!$D$3:$D$5, REF_Setup!$D$3:$D$5&lt;&gt;""),IF(OR(_xlpm.s="", _xlpm.s=0),"Unclassified",IF(SUM(--ISNUMBER(SEARCH(_xlpm.phil, _xlpm.s)))&gt;0, "Y", "N")))</f>
        <v>N</v>
      </c>
      <c r="U10" s="4" t="str" cm="1">
        <f t="array" ref="U10">IF(M10="", "Unclassified", IF(AND(SUMPRODUCT(--ISNUMBER(SEARCH(REF_Setup!$B$3:$B$40,M10)))&gt;0,SUMPRODUCT(--ISNUMBER(SEARCH(REF_Setup!$F$3:$F$15,M10)))&gt;0),"Mixed",IF(SUMPRODUCT(--ISNUMBER(SEARCH(REF_Setup!$B$3:$B$40,M10)))&gt;0,"Strategic Only",IF(SUMPRODUCT(--ISNUMBER(SEARCH(REF_Setup!$F$3:$F$15,M10)))&gt;0,"VC Only","Unclassified"))))</f>
        <v>VC Only</v>
      </c>
    </row>
    <row r="11" spans="2:21" x14ac:dyDescent="0.35">
      <c r="B11" s="4">
        <f t="shared" si="2"/>
        <v>9</v>
      </c>
      <c r="C11" s="4" t="str">
        <f>IFERROR(_xlfn.XLOOKUP($B11,Raw_Data!$A$3:$A$273,Raw_Data!$B$3:$B$273),"")</f>
        <v>Alva Energy (Commercial Services)</v>
      </c>
      <c r="D11" s="4" t="str">
        <f>IFERROR(_xlfn.XLOOKUP($B11,Raw_Data!$A$3:$A$273,Raw_Data!$C$3:$C$273),"")</f>
        <v>Cambridge, MA</v>
      </c>
      <c r="E11" s="4">
        <f>IFERROR(_xlfn.XLOOKUP($B11,Raw_Data!$A$3:$A$273,Raw_Data!$D$3:$D$273),"")</f>
        <v>2023</v>
      </c>
      <c r="F11" s="4" t="str">
        <f>IFERROR(_xlfn.XLOOKUP($B11,Raw_Data!$A$3:$A$273,Raw_Data!$F$3:$F$273),"")</f>
        <v>Renewables</v>
      </c>
      <c r="G11" s="35">
        <f>IFERROR(_xlfn.XLOOKUP($B11,Raw_Data!$A$3:$A$273,Raw_Data!$J$3:$J$273),"")</f>
        <v>45658</v>
      </c>
      <c r="H11" s="4" t="s">
        <v>75</v>
      </c>
      <c r="I11" s="36">
        <f>IFERROR(_xlfn.XLOOKUP($B11,Raw_Data!$A$3:$A$273,Raw_Data!$I$3:$I$273),"")</f>
        <v>0</v>
      </c>
      <c r="J11" s="36">
        <f>IFERROR(_xlfn.XLOOKUP($B11,Raw_Data!$A$3:$A$273,Raw_Data!$L$3:$L$273),"")</f>
        <v>0</v>
      </c>
      <c r="K11" s="36">
        <f>IFERROR(_xlfn.XLOOKUP($B11,Raw_Data!$A$3:$A$273,Raw_Data!$M$3:$M$273),"")</f>
        <v>0</v>
      </c>
      <c r="L11" s="15" t="str">
        <f>IFERROR(_xlfn.XLOOKUP($B11,Raw_Data!$A$3:$A$273,Raw_Data!$Q$3:$Q$273),"")</f>
        <v>N/A</v>
      </c>
      <c r="M11" s="34" t="str">
        <f>IFERROR(_xlfn.XLOOKUP($B11,Raw_Data!$A$3:$A$273,Raw_Data!$R$3:$R$273),"")</f>
        <v xml:space="preserve">NGP Energy Capital Management </v>
      </c>
      <c r="N11" s="16" cm="1">
        <f t="array" ref="N11">IF(M11="",0,COUNTA(_xlfn._xlws.FILTER(_xlfn.TEXTSPLIT(M11,";"), _xlfn.TEXTSPLIT(M11,";")&lt;&gt;"")))</f>
        <v>1</v>
      </c>
      <c r="O11" s="16" t="str">
        <f t="shared" si="0"/>
        <v>N</v>
      </c>
      <c r="P11" s="19">
        <f>IFERROR(_xlfn.XLOOKUP($B11,Raw_Data!$A$3:$A$273,Raw_Data!$V$3:$V$273),"")</f>
        <v>0</v>
      </c>
      <c r="Q11" s="16" t="str">
        <f t="shared" si="1"/>
        <v>Y</v>
      </c>
      <c r="R11" s="32">
        <f>IFERROR(_xlfn.XLOOKUP($B11,Raw_Data!$A$3:$A$273,Raw_Data!$Y$3:$Y$273),"")</f>
        <v>1</v>
      </c>
      <c r="S11" s="4" t="str" cm="1">
        <f t="array" ref="S11">_xlfn.LET(_xlpm.s, Raw_Data!W11,_xlpm.strat, _xlfn._xlws.FILTER(REF_Setup!$B$3:$B$40, REF_Setup!$B$3:$B$40&lt;&gt;""),IF(OR(_xlpm.s="",_xlpm.s=0),"Unclassified",IF(SUM(--ISNUMBER(SEARCH(_xlpm.strat, _xlpm.s)))&gt;0, "Y", "N"))
)</f>
        <v>N</v>
      </c>
      <c r="T11" s="4" t="str" cm="1">
        <f t="array" ref="T11">_xlfn.LET(_xlpm.s,M11,_xlpm.phil, _xlfn._xlws.FILTER(REF_Setup!$D$3:$D$5, REF_Setup!$D$3:$D$5&lt;&gt;""),IF(OR(_xlpm.s="", _xlpm.s=0),"Unclassified",IF(SUM(--ISNUMBER(SEARCH(_xlpm.phil, _xlpm.s)))&gt;0, "Y", "N")))</f>
        <v>N</v>
      </c>
      <c r="U11" s="4" t="str" cm="1">
        <f t="array" ref="U11">IF(M11="", "Unclassified", IF(AND(SUMPRODUCT(--ISNUMBER(SEARCH(REF_Setup!$B$3:$B$40,M11)))&gt;0,SUMPRODUCT(--ISNUMBER(SEARCH(REF_Setup!$F$3:$F$15,M11)))&gt;0),"Mixed",IF(SUMPRODUCT(--ISNUMBER(SEARCH(REF_Setup!$B$3:$B$40,M11)))&gt;0,"Strategic Only",IF(SUMPRODUCT(--ISNUMBER(SEARCH(REF_Setup!$F$3:$F$15,M11)))&gt;0,"VC Only","Unclassified"))))</f>
        <v>VC Only</v>
      </c>
    </row>
    <row r="12" spans="2:21" x14ac:dyDescent="0.35">
      <c r="B12" s="4">
        <f t="shared" si="2"/>
        <v>10</v>
      </c>
      <c r="C12" s="4" t="str">
        <f>IFERROR(_xlfn.XLOOKUP($B12,Raw_Data!$A$3:$A$273,Raw_Data!$B$3:$B$273),"")</f>
        <v>Amai (Food Products)</v>
      </c>
      <c r="D12" s="4" t="str">
        <f>IFERROR(_xlfn.XLOOKUP($B12,Raw_Data!$A$3:$A$273,Raw_Data!$C$3:$C$273),"")</f>
        <v>Vista, CA</v>
      </c>
      <c r="E12" s="4">
        <f>IFERROR(_xlfn.XLOOKUP($B12,Raw_Data!$A$3:$A$273,Raw_Data!$D$3:$D$273),"")</f>
        <v>2020</v>
      </c>
      <c r="F12" s="4" t="str">
        <f>IFERROR(_xlfn.XLOOKUP($B12,Raw_Data!$A$3:$A$273,Raw_Data!$F$3:$F$273),"")</f>
        <v>Food &amp; Ag</v>
      </c>
      <c r="G12" s="35">
        <f>IFERROR(_xlfn.XLOOKUP($B12,Raw_Data!$A$3:$A$273,Raw_Data!$J$3:$J$273),"")</f>
        <v>44270</v>
      </c>
      <c r="I12" s="36">
        <f>IFERROR(_xlfn.XLOOKUP($B12,Raw_Data!$A$3:$A$273,Raw_Data!$I$3:$I$273),"")</f>
        <v>0.2</v>
      </c>
      <c r="J12" s="36">
        <f>IFERROR(_xlfn.XLOOKUP($B12,Raw_Data!$A$3:$A$273,Raw_Data!$L$3:$L$273),"")</f>
        <v>0</v>
      </c>
      <c r="K12" s="36">
        <f>IFERROR(_xlfn.XLOOKUP($B12,Raw_Data!$A$3:$A$273,Raw_Data!$M$3:$M$273),"")</f>
        <v>0</v>
      </c>
      <c r="L12" s="15" t="str">
        <f>IFERROR(_xlfn.XLOOKUP($B12,Raw_Data!$A$3:$A$273,Raw_Data!$Q$3:$Q$273),"")</f>
        <v>N/A</v>
      </c>
      <c r="M12" s="34" t="str">
        <f>IFERROR(_xlfn.XLOOKUP($B12,Raw_Data!$A$3:$A$273,Raw_Data!$R$3:$R$273),"")</f>
        <v xml:space="preserve">Chartered Investment Managers </v>
      </c>
      <c r="N12" s="16" cm="1">
        <f t="array" ref="N12">IF(M12="",0,COUNTA(_xlfn._xlws.FILTER(_xlfn.TEXTSPLIT(M12,";"), _xlfn.TEXTSPLIT(M12,";")&lt;&gt;"")))</f>
        <v>1</v>
      </c>
      <c r="O12" s="16" t="str">
        <f t="shared" si="0"/>
        <v>N</v>
      </c>
      <c r="P12" s="19">
        <f>IFERROR(_xlfn.XLOOKUP($B12,Raw_Data!$A$3:$A$273,Raw_Data!$V$3:$V$273),"")</f>
        <v>0</v>
      </c>
      <c r="Q12" s="16" t="str">
        <f t="shared" si="1"/>
        <v>Y</v>
      </c>
      <c r="R12" s="32">
        <f>IFERROR(_xlfn.XLOOKUP($B12,Raw_Data!$A$3:$A$273,Raw_Data!$Y$3:$Y$273),"")</f>
        <v>1</v>
      </c>
      <c r="S12" s="4" t="str" cm="1">
        <f t="array" ref="S12">_xlfn.LET(_xlpm.s, Raw_Data!W12,_xlpm.strat, _xlfn._xlws.FILTER(REF_Setup!$B$3:$B$40, REF_Setup!$B$3:$B$40&lt;&gt;""),IF(OR(_xlpm.s="",_xlpm.s=0),"Unclassified",IF(SUM(--ISNUMBER(SEARCH(_xlpm.strat, _xlpm.s)))&gt;0, "Y", "N"))
)</f>
        <v>N</v>
      </c>
      <c r="T12" s="4" t="str" cm="1">
        <f t="array" ref="T12">_xlfn.LET(_xlpm.s,M12,_xlpm.phil, _xlfn._xlws.FILTER(REF_Setup!$D$3:$D$5, REF_Setup!$D$3:$D$5&lt;&gt;""),IF(OR(_xlpm.s="", _xlpm.s=0),"Unclassified",IF(SUM(--ISNUMBER(SEARCH(_xlpm.phil, _xlpm.s)))&gt;0, "Y", "N")))</f>
        <v>N</v>
      </c>
      <c r="U12" s="4" t="str" cm="1">
        <f t="array" ref="U12">IF(M12="", "Unclassified", IF(AND(SUMPRODUCT(--ISNUMBER(SEARCH(REF_Setup!$B$3:$B$40,M12)))&gt;0,SUMPRODUCT(--ISNUMBER(SEARCH(REF_Setup!$F$3:$F$15,M12)))&gt;0),"Mixed",IF(SUMPRODUCT(--ISNUMBER(SEARCH(REF_Setup!$B$3:$B$40,M12)))&gt;0,"Strategic Only",IF(SUMPRODUCT(--ISNUMBER(SEARCH(REF_Setup!$F$3:$F$15,M12)))&gt;0,"VC Only","Unclassified"))))</f>
        <v>VC Only</v>
      </c>
    </row>
    <row r="13" spans="2:21" x14ac:dyDescent="0.35">
      <c r="B13" s="4">
        <f t="shared" si="2"/>
        <v>11</v>
      </c>
      <c r="C13" s="4" t="str">
        <f>IFERROR(_xlfn.XLOOKUP($B13,Raw_Data!$A$3:$A$273,Raw_Data!$B$3:$B$273),"")</f>
        <v>Amber Kinetics</v>
      </c>
      <c r="D13" s="4" t="str">
        <f>IFERROR(_xlfn.XLOOKUP($B13,Raw_Data!$A$3:$A$273,Raw_Data!$C$3:$C$273),"")</f>
        <v>Union City, CA</v>
      </c>
      <c r="E13" s="4">
        <f>IFERROR(_xlfn.XLOOKUP($B13,Raw_Data!$A$3:$A$273,Raw_Data!$D$3:$D$273),"")</f>
        <v>2009</v>
      </c>
      <c r="F13" s="4" t="str">
        <f>IFERROR(_xlfn.XLOOKUP($B13,Raw_Data!$A$3:$A$273,Raw_Data!$F$3:$F$273),"")</f>
        <v>LDES</v>
      </c>
      <c r="G13" s="35">
        <f>IFERROR(_xlfn.XLOOKUP($B13,Raw_Data!$A$3:$A$273,Raw_Data!$J$3:$J$273),"")</f>
        <v>45474</v>
      </c>
      <c r="H13" s="4" t="s">
        <v>75</v>
      </c>
      <c r="I13" s="36">
        <f>IFERROR(_xlfn.XLOOKUP($B13,Raw_Data!$A$3:$A$273,Raw_Data!$I$3:$I$273),"")</f>
        <v>46.98</v>
      </c>
      <c r="J13" s="36">
        <f>IFERROR(_xlfn.XLOOKUP($B13,Raw_Data!$A$3:$A$273,Raw_Data!$L$3:$L$273),"")</f>
        <v>0</v>
      </c>
      <c r="K13" s="36">
        <f>IFERROR(_xlfn.XLOOKUP($B13,Raw_Data!$A$3:$A$273,Raw_Data!$M$3:$M$273),"")</f>
        <v>0</v>
      </c>
      <c r="L13" s="15" t="str">
        <f>IFERROR(_xlfn.XLOOKUP($B13,Raw_Data!$A$3:$A$273,Raw_Data!$Q$3:$Q$273),"")</f>
        <v>N/A</v>
      </c>
      <c r="M13" s="34" t="str">
        <f>IFERROR(_xlfn.XLOOKUP($B13,Raw_Data!$A$3:$A$273,Raw_Data!$R$3:$R$273),"")</f>
        <v xml:space="preserve">Innova Capital Partners </v>
      </c>
      <c r="N13" s="16" cm="1">
        <f t="array" ref="N13">IF(M13="",0,COUNTA(_xlfn._xlws.FILTER(_xlfn.TEXTSPLIT(M13,";"), _xlfn.TEXTSPLIT(M13,";")&lt;&gt;"")))</f>
        <v>1</v>
      </c>
      <c r="O13" s="16" t="str">
        <f t="shared" si="0"/>
        <v>N</v>
      </c>
      <c r="P13" s="19">
        <f>IFERROR(_xlfn.XLOOKUP($B13,Raw_Data!$A$3:$A$273,Raw_Data!$V$3:$V$273),"")</f>
        <v>0</v>
      </c>
      <c r="Q13" s="16" t="str">
        <f t="shared" si="1"/>
        <v>Y</v>
      </c>
      <c r="R13" s="32">
        <f>IFERROR(_xlfn.XLOOKUP($B13,Raw_Data!$A$3:$A$273,Raw_Data!$Y$3:$Y$273),"")</f>
        <v>1</v>
      </c>
      <c r="S13" s="4" t="str" cm="1">
        <f t="array" ref="S13">_xlfn.LET(_xlpm.s, Raw_Data!W13,_xlpm.strat, _xlfn._xlws.FILTER(REF_Setup!$B$3:$B$40, REF_Setup!$B$3:$B$40&lt;&gt;""),IF(OR(_xlpm.s="",_xlpm.s=0),"Unclassified",IF(SUM(--ISNUMBER(SEARCH(_xlpm.strat, _xlpm.s)))&gt;0, "Y", "N"))
)</f>
        <v>N</v>
      </c>
      <c r="T13" s="4" t="str" cm="1">
        <f t="array" ref="T13">_xlfn.LET(_xlpm.s,M13,_xlpm.phil, _xlfn._xlws.FILTER(REF_Setup!$D$3:$D$5, REF_Setup!$D$3:$D$5&lt;&gt;""),IF(OR(_xlpm.s="", _xlpm.s=0),"Unclassified",IF(SUM(--ISNUMBER(SEARCH(_xlpm.phil, _xlpm.s)))&gt;0, "Y", "N")))</f>
        <v>N</v>
      </c>
      <c r="U13" s="4" t="str" cm="1">
        <f t="array" ref="U13">IF(M13="", "Unclassified", IF(AND(SUMPRODUCT(--ISNUMBER(SEARCH(REF_Setup!$B$3:$B$40,M13)))&gt;0,SUMPRODUCT(--ISNUMBER(SEARCH(REF_Setup!$F$3:$F$15,M13)))&gt;0),"Mixed",IF(SUMPRODUCT(--ISNUMBER(SEARCH(REF_Setup!$B$3:$B$40,M13)))&gt;0,"Strategic Only",IF(SUMPRODUCT(--ISNUMBER(SEARCH(REF_Setup!$F$3:$F$15,M13)))&gt;0,"VC Only","Unclassified"))))</f>
        <v>VC Only</v>
      </c>
    </row>
    <row r="14" spans="2:21" ht="43.5" x14ac:dyDescent="0.35">
      <c r="B14" s="4">
        <f t="shared" si="2"/>
        <v>12</v>
      </c>
      <c r="C14" s="4" t="str">
        <f>IFERROR(_xlfn.XLOOKUP($B14,Raw_Data!$A$3:$A$273,Raw_Data!$B$3:$B$273),"")</f>
        <v>Amogy</v>
      </c>
      <c r="D14" s="4" t="str">
        <f>IFERROR(_xlfn.XLOOKUP($B14,Raw_Data!$A$3:$A$273,Raw_Data!$C$3:$C$273),"")</f>
        <v>New York, NY</v>
      </c>
      <c r="E14" s="4">
        <f>IFERROR(_xlfn.XLOOKUP($B14,Raw_Data!$A$3:$A$273,Raw_Data!$D$3:$D$273),"")</f>
        <v>2020</v>
      </c>
      <c r="F14" s="4" t="str">
        <f>IFERROR(_xlfn.XLOOKUP($B14,Raw_Data!$A$3:$A$273,Raw_Data!$F$3:$F$273),"")</f>
        <v>Hydrogen</v>
      </c>
      <c r="G14" s="35">
        <f>IFERROR(_xlfn.XLOOKUP($B14,Raw_Data!$A$3:$A$273,Raw_Data!$J$3:$J$273),"")</f>
        <v>45002</v>
      </c>
      <c r="H14" s="16" t="s">
        <v>1467</v>
      </c>
      <c r="I14" s="36">
        <f>IFERROR(_xlfn.XLOOKUP($B14,Raw_Data!$A$3:$A$273,Raw_Data!$I$3:$I$273),"")</f>
        <v>207.94</v>
      </c>
      <c r="J14" s="36">
        <f>IFERROR(_xlfn.XLOOKUP($B14,Raw_Data!$A$3:$A$273,Raw_Data!$L$3:$L$273),"")</f>
        <v>139</v>
      </c>
      <c r="K14" s="36">
        <f>IFERROR(_xlfn.XLOOKUP($B14,Raw_Data!$A$3:$A$273,Raw_Data!$M$3:$M$273),"")</f>
        <v>589</v>
      </c>
      <c r="L14" s="15">
        <f>IFERROR(_xlfn.XLOOKUP($B14,Raw_Data!$A$3:$A$273,Raw_Data!$Q$3:$Q$273),"")</f>
        <v>0</v>
      </c>
      <c r="M14" s="34" t="str">
        <f>IFERROR(_xlfn.XLOOKUP($B14,Raw_Data!$A$3:$A$273,Raw_Data!$R$3:$R$273),"")</f>
        <v>AP Ventures; Aramco Ventures; DCVC; Guernsey Holdings; Korea Zinc; Mitsui &amp; Company; MOL PLUS; SK Innovation; Temasek Holdings; Yanmar Holdings; Zeon Ventures</v>
      </c>
      <c r="N14" s="16" cm="1">
        <f t="array" ref="N14">IF(M14="",0,COUNTA(_xlfn._xlws.FILTER(_xlfn.TEXTSPLIT(M14,";"), _xlfn.TEXTSPLIT(M14,";")&lt;&gt;"")))</f>
        <v>11</v>
      </c>
      <c r="O14" s="16" t="str">
        <f t="shared" si="0"/>
        <v>Y</v>
      </c>
      <c r="P14" s="19">
        <f>IFERROR(_xlfn.XLOOKUP($B14,Raw_Data!$A$3:$A$273,Raw_Data!$V$3:$V$273),"")</f>
        <v>0.36363636363636365</v>
      </c>
      <c r="Q14" s="16" t="str">
        <f t="shared" si="1"/>
        <v>Y</v>
      </c>
      <c r="R14" s="32">
        <f>IFERROR(_xlfn.XLOOKUP($B14,Raw_Data!$A$3:$A$273,Raw_Data!$Y$3:$Y$273),"")</f>
        <v>0.63636363636363635</v>
      </c>
      <c r="S14" s="4" t="str" cm="1">
        <f t="array" ref="S14">_xlfn.LET(_xlpm.s, Raw_Data!W14,_xlpm.strat, _xlfn._xlws.FILTER(REF_Setup!$B$3:$B$40, REF_Setup!$B$3:$B$40&lt;&gt;""),IF(OR(_xlpm.s="",_xlpm.s=0),"Unclassified",IF(SUM(--ISNUMBER(SEARCH(_xlpm.strat, _xlpm.s)))&gt;0, "Y", "N"))
)</f>
        <v>N</v>
      </c>
      <c r="T14" s="4" t="str" cm="1">
        <f t="array" ref="T14">_xlfn.LET(_xlpm.s,M14,_xlpm.phil, _xlfn._xlws.FILTER(REF_Setup!$D$3:$D$5, REF_Setup!$D$3:$D$5&lt;&gt;""),IF(OR(_xlpm.s="", _xlpm.s=0),"Unclassified",IF(SUM(--ISNUMBER(SEARCH(_xlpm.phil, _xlpm.s)))&gt;0, "Y", "N")))</f>
        <v>N</v>
      </c>
      <c r="U14" s="4" t="str" cm="1">
        <f t="array" ref="U14">IF(M14="", "Unclassified", IF(AND(SUMPRODUCT(--ISNUMBER(SEARCH(REF_Setup!$B$3:$B$40,M14)))&gt;0,SUMPRODUCT(--ISNUMBER(SEARCH(REF_Setup!$F$3:$F$15,M14)))&gt;0),"Mixed",IF(SUMPRODUCT(--ISNUMBER(SEARCH(REF_Setup!$B$3:$B$40,M14)))&gt;0,"Strategic Only",IF(SUMPRODUCT(--ISNUMBER(SEARCH(REF_Setup!$F$3:$F$15,M14)))&gt;0,"VC Only","Unclassified"))))</f>
        <v>Mixed</v>
      </c>
    </row>
    <row r="15" spans="2:21" ht="116" x14ac:dyDescent="0.35">
      <c r="B15" s="4">
        <f t="shared" si="2"/>
        <v>13</v>
      </c>
      <c r="C15" s="4" t="str">
        <f>IFERROR(_xlfn.XLOOKUP($B15,Raw_Data!$A$3:$A$273,Raw_Data!$B$3:$B$273),"")</f>
        <v>Amogy</v>
      </c>
      <c r="D15" s="4" t="str">
        <f>IFERROR(_xlfn.XLOOKUP($B15,Raw_Data!$A$3:$A$273,Raw_Data!$C$3:$C$273),"")</f>
        <v>New York, NY</v>
      </c>
      <c r="E15" s="4">
        <f>IFERROR(_xlfn.XLOOKUP($B15,Raw_Data!$A$3:$A$273,Raw_Data!$D$3:$D$273),"")</f>
        <v>2020</v>
      </c>
      <c r="F15" s="4" t="str">
        <f>IFERROR(_xlfn.XLOOKUP($B15,Raw_Data!$A$3:$A$273,Raw_Data!$F$3:$F$273),"")</f>
        <v>Hydrogen</v>
      </c>
      <c r="G15" s="35">
        <f>IFERROR(_xlfn.XLOOKUP($B15,Raw_Data!$A$3:$A$273,Raw_Data!$J$3:$J$273),"")</f>
        <v>45853</v>
      </c>
      <c r="H15" s="16" t="s">
        <v>1467</v>
      </c>
      <c r="I15" s="36">
        <f>IFERROR(_xlfn.XLOOKUP($B15,Raw_Data!$A$3:$A$273,Raw_Data!$I$3:$I$273),"")</f>
        <v>314.16000000000003</v>
      </c>
      <c r="J15" s="36">
        <f>IFERROR(_xlfn.XLOOKUP($B15,Raw_Data!$A$3:$A$273,Raw_Data!$L$3:$L$273),"")</f>
        <v>95</v>
      </c>
      <c r="K15" s="36">
        <f>IFERROR(_xlfn.XLOOKUP($B15,Raw_Data!$A$3:$A$273,Raw_Data!$M$3:$M$273),"")</f>
        <v>700</v>
      </c>
      <c r="L15" s="15">
        <f>IFERROR(_xlfn.XLOOKUP($B15,Raw_Data!$A$3:$A$273,Raw_Data!$Q$3:$Q$273),"")</f>
        <v>0.47473684210526318</v>
      </c>
      <c r="M15" s="34" t="str">
        <f>IFERROR(_xlfn.XLOOKUP($B15,Raw_Data!$A$3:$A$273,Raw_Data!$R$3:$R$273),"")</f>
        <v xml:space="preserve">AFW Partners; AP Ventures; Aramco Ventures; BHP Ventures; KDB Investment; SV Investment; MOL PLUS; Yanmar Holdings; Samsung Heavy Industries; BHP Ventures; MOL Switch; JB Investment (Private Equity); GS Engineering &amp; Construction; Xplor Investment; GS Futures; Marunouchi Innovation Partners; Pathway Capital Management; Seoul Investment Partners; AFW Partners; AP Ventures; Odyssey Ventures (London); BonAngels Venture Partners; Quantum Ventures Korea; Kibo Invest; Temasek Holdings; Hanwha Investment &amp; Securities Company; Gorilla Private Equity </v>
      </c>
      <c r="N15" s="16" cm="1">
        <f t="array" ref="N15">IF(M15="",0,COUNTA(_xlfn._xlws.FILTER(_xlfn.TEXTSPLIT(M15,";"), _xlfn.TEXTSPLIT(M15,";")&lt;&gt;"")))</f>
        <v>27</v>
      </c>
      <c r="O15" s="16" t="str">
        <f t="shared" si="0"/>
        <v>Y</v>
      </c>
      <c r="P15" s="19">
        <f>IFERROR(_xlfn.XLOOKUP($B15,Raw_Data!$A$3:$A$273,Raw_Data!$V$3:$V$273),"")</f>
        <v>0.14814814814814814</v>
      </c>
      <c r="Q15" s="16" t="str">
        <f t="shared" si="1"/>
        <v>Y</v>
      </c>
      <c r="R15" s="32">
        <f>IFERROR(_xlfn.XLOOKUP($B15,Raw_Data!$A$3:$A$273,Raw_Data!$Y$3:$Y$273),"")</f>
        <v>0.85185185185185186</v>
      </c>
      <c r="S15" s="4" t="str" cm="1">
        <f t="array" ref="S15">_xlfn.LET(_xlpm.s, Raw_Data!W15,_xlpm.strat, _xlfn._xlws.FILTER(REF_Setup!$B$3:$B$40, REF_Setup!$B$3:$B$40&lt;&gt;""),IF(OR(_xlpm.s="",_xlpm.s=0),"Unclassified",IF(SUM(--ISNUMBER(SEARCH(_xlpm.strat, _xlpm.s)))&gt;0, "Y", "N"))
)</f>
        <v>Y</v>
      </c>
      <c r="T15" s="4" t="str" cm="1">
        <f t="array" ref="T15">_xlfn.LET(_xlpm.s,M15,_xlpm.phil, _xlfn._xlws.FILTER(REF_Setup!$D$3:$D$5, REF_Setup!$D$3:$D$5&lt;&gt;""),IF(OR(_xlpm.s="", _xlpm.s=0),"Unclassified",IF(SUM(--ISNUMBER(SEARCH(_xlpm.phil, _xlpm.s)))&gt;0, "Y", "N")))</f>
        <v>N</v>
      </c>
      <c r="U15" s="4" t="str" cm="1">
        <f t="array" ref="U15">IF(M15="", "Unclassified", IF(AND(SUMPRODUCT(--ISNUMBER(SEARCH(REF_Setup!$B$3:$B$40,M15)))&gt;0,SUMPRODUCT(--ISNUMBER(SEARCH(REF_Setup!$F$3:$F$15,M15)))&gt;0),"Mixed",IF(SUMPRODUCT(--ISNUMBER(SEARCH(REF_Setup!$B$3:$B$40,M15)))&gt;0,"Strategic Only",IF(SUMPRODUCT(--ISNUMBER(SEARCH(REF_Setup!$F$3:$F$15,M15)))&gt;0,"VC Only","Unclassified"))))</f>
        <v>Mixed</v>
      </c>
    </row>
    <row r="16" spans="2:21" x14ac:dyDescent="0.35">
      <c r="B16" s="4">
        <f t="shared" si="2"/>
        <v>14</v>
      </c>
      <c r="C16" s="4" t="str">
        <f>IFERROR(_xlfn.XLOOKUP($B16,Raw_Data!$A$3:$A$273,Raw_Data!$B$3:$B$273),"")</f>
        <v>Ampcera</v>
      </c>
      <c r="D16" s="4" t="str">
        <f>IFERROR(_xlfn.XLOOKUP($B16,Raw_Data!$A$3:$A$273,Raw_Data!$C$3:$C$273),"")</f>
        <v>San Jose, CA</v>
      </c>
      <c r="E16" s="4">
        <f>IFERROR(_xlfn.XLOOKUP($B16,Raw_Data!$A$3:$A$273,Raw_Data!$D$3:$D$273),"")</f>
        <v>2017</v>
      </c>
      <c r="F16" s="4" t="str">
        <f>IFERROR(_xlfn.XLOOKUP($B16,Raw_Data!$A$3:$A$273,Raw_Data!$F$3:$F$273),"")</f>
        <v>LDES</v>
      </c>
      <c r="G16" s="35">
        <f>IFERROR(_xlfn.XLOOKUP($B16,Raw_Data!$A$3:$A$273,Raw_Data!$J$3:$J$273),"")</f>
        <v>43220</v>
      </c>
      <c r="H16" s="16" t="s">
        <v>1466</v>
      </c>
      <c r="I16" s="36">
        <f>IFERROR(_xlfn.XLOOKUP($B16,Raw_Data!$A$3:$A$273,Raw_Data!$I$3:$I$273),"")</f>
        <v>1</v>
      </c>
      <c r="J16" s="36">
        <f>IFERROR(_xlfn.XLOOKUP($B16,Raw_Data!$A$3:$A$273,Raw_Data!$L$3:$L$273),"")</f>
        <v>1</v>
      </c>
      <c r="K16" s="36">
        <f>IFERROR(_xlfn.XLOOKUP($B16,Raw_Data!$A$3:$A$273,Raw_Data!$M$3:$M$273),"")</f>
        <v>10</v>
      </c>
      <c r="L16" s="15">
        <f>IFERROR(_xlfn.XLOOKUP($B16,Raw_Data!$A$3:$A$273,Raw_Data!$Q$3:$Q$273),"")</f>
        <v>0</v>
      </c>
      <c r="M16" s="34"/>
      <c r="N16" s="16" cm="1">
        <f t="array" ref="N16">IF(M16="",0,COUNTA(_xlfn._xlws.FILTER(_xlfn.TEXTSPLIT(M16,";"), _xlfn.TEXTSPLIT(M16,";")&lt;&gt;"")))</f>
        <v>0</v>
      </c>
      <c r="O16" s="16" t="str">
        <f t="shared" si="0"/>
        <v>Y</v>
      </c>
      <c r="P16" s="19" t="str">
        <f>IFERROR(_xlfn.XLOOKUP($B16,Raw_Data!$A$3:$A$273,Raw_Data!$V$3:$V$273),"")</f>
        <v>N/A</v>
      </c>
      <c r="Q16" s="16" t="str">
        <f t="shared" si="1"/>
        <v>Y</v>
      </c>
      <c r="R16" s="32" t="str">
        <f>IFERROR(_xlfn.XLOOKUP($B16,Raw_Data!$A$3:$A$273,Raw_Data!$Y$3:$Y$273),"")</f>
        <v>N/A</v>
      </c>
      <c r="S16" s="4" t="str" cm="1">
        <f t="array" ref="S16">_xlfn.LET(_xlpm.s, Raw_Data!W16,_xlpm.strat, _xlfn._xlws.FILTER(REF_Setup!$B$3:$B$40, REF_Setup!$B$3:$B$40&lt;&gt;""),IF(OR(_xlpm.s="",_xlpm.s=0),"Unclassified",IF(SUM(--ISNUMBER(SEARCH(_xlpm.strat, _xlpm.s)))&gt;0, "Y", "N"))
)</f>
        <v>Unclassified</v>
      </c>
      <c r="T16" s="4" t="str" cm="1">
        <f t="array" ref="T16">_xlfn.LET(_xlpm.s,M16,_xlpm.phil, _xlfn._xlws.FILTER(REF_Setup!$D$3:$D$5, REF_Setup!$D$3:$D$5&lt;&gt;""),IF(OR(_xlpm.s="", _xlpm.s=0),"Unclassified",IF(SUM(--ISNUMBER(SEARCH(_xlpm.phil, _xlpm.s)))&gt;0, "Y", "N")))</f>
        <v>Unclassified</v>
      </c>
      <c r="U16" s="4" t="str" cm="1">
        <f t="array" ref="U16">IF(M16="", "Unclassified", IF(AND(SUMPRODUCT(--ISNUMBER(SEARCH(REF_Setup!$B$3:$B$40,M16)))&gt;0,SUMPRODUCT(--ISNUMBER(SEARCH(REF_Setup!$F$3:$F$15,M16)))&gt;0),"Mixed",IF(SUMPRODUCT(--ISNUMBER(SEARCH(REF_Setup!$B$3:$B$40,M16)))&gt;0,"Strategic Only",IF(SUMPRODUCT(--ISNUMBER(SEARCH(REF_Setup!$F$3:$F$15,M16)))&gt;0,"VC Only","Unclassified"))))</f>
        <v>Unclassified</v>
      </c>
    </row>
    <row r="17" spans="2:21" x14ac:dyDescent="0.35">
      <c r="B17" s="4">
        <f t="shared" si="2"/>
        <v>15</v>
      </c>
      <c r="C17" s="4" t="str">
        <f>IFERROR(_xlfn.XLOOKUP($B17,Raw_Data!$A$3:$A$273,Raw_Data!$B$3:$B$273),"")</f>
        <v>Anesi</v>
      </c>
      <c r="D17" s="4" t="str">
        <f>IFERROR(_xlfn.XLOOKUP($B17,Raw_Data!$A$3:$A$273,Raw_Data!$C$3:$C$273),"")</f>
        <v>TN</v>
      </c>
      <c r="E17" s="4">
        <f>IFERROR(_xlfn.XLOOKUP($B17,Raw_Data!$A$3:$A$273,Raw_Data!$D$3:$D$273),"")</f>
        <v>2010</v>
      </c>
      <c r="F17" s="4" t="str">
        <f>IFERROR(_xlfn.XLOOKUP($B17,Raw_Data!$A$3:$A$273,Raw_Data!$F$3:$F$273),"")</f>
        <v>Buildings</v>
      </c>
      <c r="G17" s="35">
        <f>IFERROR(_xlfn.XLOOKUP($B17,Raw_Data!$A$3:$A$273,Raw_Data!$J$3:$J$273),"")</f>
        <v>44358</v>
      </c>
      <c r="H17" s="16" t="s">
        <v>1465</v>
      </c>
      <c r="I17" s="36">
        <f>IFERROR(_xlfn.XLOOKUP($B17,Raw_Data!$A$3:$A$273,Raw_Data!$I$3:$I$273),"")</f>
        <v>3.3</v>
      </c>
      <c r="J17" s="36">
        <f>IFERROR(_xlfn.XLOOKUP($B17,Raw_Data!$A$3:$A$273,Raw_Data!$L$3:$L$273),"")</f>
        <v>3.3</v>
      </c>
      <c r="K17" s="36">
        <f>IFERROR(_xlfn.XLOOKUP($B17,Raw_Data!$A$3:$A$273,Raw_Data!$M$3:$M$273),"")</f>
        <v>10</v>
      </c>
      <c r="L17" s="15">
        <f>IFERROR(_xlfn.XLOOKUP($B17,Raw_Data!$A$3:$A$273,Raw_Data!$Q$3:$Q$273),"")</f>
        <v>0.24242424242424246</v>
      </c>
      <c r="M17" s="34" t="str">
        <f>IFERROR(_xlfn.XLOOKUP($B17,Raw_Data!$A$3:$A$273,Raw_Data!$R$3:$R$273),"")</f>
        <v>Enbridge</v>
      </c>
      <c r="N17" s="16" cm="1">
        <f t="array" ref="N17">IF(M17="",0,COUNTA(_xlfn._xlws.FILTER(_xlfn.TEXTSPLIT(M17,";"), _xlfn.TEXTSPLIT(M17,";")&lt;&gt;"")))</f>
        <v>1</v>
      </c>
      <c r="O17" s="16" t="str">
        <f t="shared" si="0"/>
        <v>N</v>
      </c>
      <c r="P17" s="19">
        <f>IFERROR(_xlfn.XLOOKUP($B17,Raw_Data!$A$3:$A$273,Raw_Data!$V$3:$V$273),"")</f>
        <v>0</v>
      </c>
      <c r="Q17" s="16" t="str">
        <f t="shared" si="1"/>
        <v>Y</v>
      </c>
      <c r="R17" s="32">
        <f>IFERROR(_xlfn.XLOOKUP($B17,Raw_Data!$A$3:$A$273,Raw_Data!$Y$3:$Y$273),"")</f>
        <v>1</v>
      </c>
      <c r="S17" s="4" t="str" cm="1">
        <f t="array" ref="S17">_xlfn.LET(_xlpm.s, Raw_Data!W17,_xlpm.strat, _xlfn._xlws.FILTER(REF_Setup!$B$3:$B$40, REF_Setup!$B$3:$B$40&lt;&gt;""),IF(OR(_xlpm.s="",_xlpm.s=0),"Unclassified",IF(SUM(--ISNUMBER(SEARCH(_xlpm.strat, _xlpm.s)))&gt;0, "Y", "N"))
)</f>
        <v>N</v>
      </c>
      <c r="T17" s="4" t="str" cm="1">
        <f t="array" ref="T17">_xlfn.LET(_xlpm.s,M17,_xlpm.phil, _xlfn._xlws.FILTER(REF_Setup!$D$3:$D$5, REF_Setup!$D$3:$D$5&lt;&gt;""),IF(OR(_xlpm.s="", _xlpm.s=0),"Unclassified",IF(SUM(--ISNUMBER(SEARCH(_xlpm.phil, _xlpm.s)))&gt;0, "Y", "N")))</f>
        <v>N</v>
      </c>
      <c r="U17" s="4" t="str" cm="1">
        <f t="array" ref="U17">IF(M17="", "Unclassified", IF(AND(SUMPRODUCT(--ISNUMBER(SEARCH(REF_Setup!$B$3:$B$40,M17)))&gt;0,SUMPRODUCT(--ISNUMBER(SEARCH(REF_Setup!$F$3:$F$15,M17)))&gt;0),"Mixed",IF(SUMPRODUCT(--ISNUMBER(SEARCH(REF_Setup!$B$3:$B$40,M17)))&gt;0,"Strategic Only",IF(SUMPRODUCT(--ISNUMBER(SEARCH(REF_Setup!$F$3:$F$15,M17)))&gt;0,"VC Only","Unclassified"))))</f>
        <v>Unclassified</v>
      </c>
    </row>
    <row r="18" spans="2:21" x14ac:dyDescent="0.35">
      <c r="B18" s="4">
        <f t="shared" si="2"/>
        <v>16</v>
      </c>
      <c r="C18" s="4" t="str">
        <f>IFERROR(_xlfn.XLOOKUP($B18,Raw_Data!$A$3:$A$273,Raw_Data!$B$3:$B$273),"")</f>
        <v>Anesi</v>
      </c>
      <c r="D18" s="4" t="str">
        <f>IFERROR(_xlfn.XLOOKUP($B18,Raw_Data!$A$3:$A$273,Raw_Data!$C$3:$C$273),"")</f>
        <v>TN</v>
      </c>
      <c r="E18" s="4">
        <f>IFERROR(_xlfn.XLOOKUP($B18,Raw_Data!$A$3:$A$273,Raw_Data!$D$3:$D$273),"")</f>
        <v>2010</v>
      </c>
      <c r="F18" s="4" t="str">
        <f>IFERROR(_xlfn.XLOOKUP($B18,Raw_Data!$A$3:$A$273,Raw_Data!$F$3:$F$273),"")</f>
        <v>Buildings</v>
      </c>
      <c r="G18" s="35">
        <f>IFERROR(_xlfn.XLOOKUP($B18,Raw_Data!$A$3:$A$273,Raw_Data!$J$3:$J$273),"")</f>
        <v>44869</v>
      </c>
      <c r="H18" s="16" t="s">
        <v>1465</v>
      </c>
      <c r="I18" s="36">
        <f>IFERROR(_xlfn.XLOOKUP($B18,Raw_Data!$A$3:$A$273,Raw_Data!$I$3:$I$273),"")</f>
        <v>20.8</v>
      </c>
      <c r="J18" s="36">
        <f>IFERROR(_xlfn.XLOOKUP($B18,Raw_Data!$A$3:$A$273,Raw_Data!$L$3:$L$273),"")</f>
        <v>17.5</v>
      </c>
      <c r="K18" s="36">
        <f>IFERROR(_xlfn.XLOOKUP($B18,Raw_Data!$A$3:$A$273,Raw_Data!$M$3:$M$273),"")</f>
        <v>36.5</v>
      </c>
      <c r="L18" s="15">
        <f>IFERROR(_xlfn.XLOOKUP($B18,Raw_Data!$A$3:$A$273,Raw_Data!$Q$3:$Q$273),"")</f>
        <v>0</v>
      </c>
      <c r="M18" s="34" t="str">
        <f>IFERROR(_xlfn.XLOOKUP($B18,Raw_Data!$A$3:$A$273,Raw_Data!$R$3:$R$273),"")</f>
        <v>Energy Impact Partners</v>
      </c>
      <c r="N18" s="16" cm="1">
        <f t="array" ref="N18">IF(M18="",0,COUNTA(_xlfn._xlws.FILTER(_xlfn.TEXTSPLIT(M18,";"), _xlfn.TEXTSPLIT(M18,";")&lt;&gt;"")))</f>
        <v>1</v>
      </c>
      <c r="O18" s="16" t="str">
        <f t="shared" si="0"/>
        <v>N</v>
      </c>
      <c r="P18" s="19">
        <f>IFERROR(_xlfn.XLOOKUP($B18,Raw_Data!$A$3:$A$273,Raw_Data!$V$3:$V$273),"")</f>
        <v>0</v>
      </c>
      <c r="Q18" s="16" t="str">
        <f t="shared" si="1"/>
        <v>Y</v>
      </c>
      <c r="R18" s="32">
        <f>IFERROR(_xlfn.XLOOKUP($B18,Raw_Data!$A$3:$A$273,Raw_Data!$Y$3:$Y$273),"")</f>
        <v>1</v>
      </c>
      <c r="S18" s="4" t="str" cm="1">
        <f t="array" ref="S18">_xlfn.LET(_xlpm.s, Raw_Data!W18,_xlpm.strat, _xlfn._xlws.FILTER(REF_Setup!$B$3:$B$40, REF_Setup!$B$3:$B$40&lt;&gt;""),IF(OR(_xlpm.s="",_xlpm.s=0),"Unclassified",IF(SUM(--ISNUMBER(SEARCH(_xlpm.strat, _xlpm.s)))&gt;0, "Y", "N"))
)</f>
        <v>N</v>
      </c>
      <c r="T18" s="4" t="str" cm="1">
        <f t="array" ref="T18">_xlfn.LET(_xlpm.s,M18,_xlpm.phil, _xlfn._xlws.FILTER(REF_Setup!$D$3:$D$5, REF_Setup!$D$3:$D$5&lt;&gt;""),IF(OR(_xlpm.s="", _xlpm.s=0),"Unclassified",IF(SUM(--ISNUMBER(SEARCH(_xlpm.phil, _xlpm.s)))&gt;0, "Y", "N")))</f>
        <v>N</v>
      </c>
      <c r="U18" s="4" t="str" cm="1">
        <f t="array" ref="U18">IF(M18="", "Unclassified", IF(AND(SUMPRODUCT(--ISNUMBER(SEARCH(REF_Setup!$B$3:$B$40,M18)))&gt;0,SUMPRODUCT(--ISNUMBER(SEARCH(REF_Setup!$F$3:$F$15,M18)))&gt;0),"Mixed",IF(SUMPRODUCT(--ISNUMBER(SEARCH(REF_Setup!$B$3:$B$40,M18)))&gt;0,"Strategic Only",IF(SUMPRODUCT(--ISNUMBER(SEARCH(REF_Setup!$F$3:$F$15,M18)))&gt;0,"VC Only","Unclassified"))))</f>
        <v>VC Only</v>
      </c>
    </row>
    <row r="19" spans="2:21" x14ac:dyDescent="0.35">
      <c r="B19" s="4">
        <f t="shared" si="2"/>
        <v>17</v>
      </c>
      <c r="C19" s="4" t="str">
        <f>IFERROR(_xlfn.XLOOKUP($B19,Raw_Data!$A$3:$A$273,Raw_Data!$B$3:$B$273),"")</f>
        <v>Anthro Energy</v>
      </c>
      <c r="D19" s="4" t="str">
        <f>IFERROR(_xlfn.XLOOKUP($B19,Raw_Data!$A$3:$A$273,Raw_Data!$C$3:$C$273),"")</f>
        <v>Alameda, CA</v>
      </c>
      <c r="E19" s="4">
        <f>IFERROR(_xlfn.XLOOKUP($B19,Raw_Data!$A$3:$A$273,Raw_Data!$D$3:$D$273),"")</f>
        <v>2020</v>
      </c>
      <c r="F19" s="4" t="str">
        <f>IFERROR(_xlfn.XLOOKUP($B19,Raw_Data!$A$3:$A$273,Raw_Data!$F$3:$F$273),"")</f>
        <v>LDES</v>
      </c>
      <c r="G19" s="35">
        <f>IFERROR(_xlfn.XLOOKUP($B19,Raw_Data!$A$3:$A$273,Raw_Data!$J$3:$J$273),"")</f>
        <v>44197</v>
      </c>
      <c r="H19" s="16" t="s">
        <v>1466</v>
      </c>
      <c r="I19" s="36">
        <f>IFERROR(_xlfn.XLOOKUP($B19,Raw_Data!$A$3:$A$273,Raw_Data!$I$3:$I$273),"")</f>
        <v>0.53</v>
      </c>
      <c r="J19" s="36">
        <f>IFERROR(_xlfn.XLOOKUP($B19,Raw_Data!$A$3:$A$273,Raw_Data!$L$3:$L$273),"")</f>
        <v>0.53</v>
      </c>
      <c r="K19" s="36">
        <f>IFERROR(_xlfn.XLOOKUP($B19,Raw_Data!$A$3:$A$273,Raw_Data!$M$3:$M$273),"")</f>
        <v>2</v>
      </c>
      <c r="L19" s="15">
        <f>IFERROR(_xlfn.XLOOKUP($B19,Raw_Data!$A$3:$A$273,Raw_Data!$Q$3:$Q$273),"")</f>
        <v>0</v>
      </c>
      <c r="M19" s="34" t="str">
        <f>IFERROR(_xlfn.XLOOKUP($B19,Raw_Data!$A$3:$A$273,Raw_Data!$R$3:$R$273),"")</f>
        <v>Black Mountain Ventures; Cameron Drummond; Dorm Room Fund</v>
      </c>
      <c r="N19" s="16" cm="1">
        <f t="array" ref="N19">IF(M19="",0,COUNTA(_xlfn._xlws.FILTER(_xlfn.TEXTSPLIT(M19,";"), _xlfn.TEXTSPLIT(M19,";")&lt;&gt;"")))</f>
        <v>3</v>
      </c>
      <c r="O19" s="16" t="str">
        <f t="shared" si="0"/>
        <v>N</v>
      </c>
      <c r="P19" s="19">
        <f>IFERROR(_xlfn.XLOOKUP($B19,Raw_Data!$A$3:$A$273,Raw_Data!$V$3:$V$273),"")</f>
        <v>0</v>
      </c>
      <c r="Q19" s="16" t="str">
        <f t="shared" si="1"/>
        <v>Y</v>
      </c>
      <c r="R19" s="32">
        <f>IFERROR(_xlfn.XLOOKUP($B19,Raw_Data!$A$3:$A$273,Raw_Data!$Y$3:$Y$273),"")</f>
        <v>1</v>
      </c>
      <c r="S19" s="4" t="str" cm="1">
        <f t="array" ref="S19">_xlfn.LET(_xlpm.s, Raw_Data!W19,_xlpm.strat, _xlfn._xlws.FILTER(REF_Setup!$B$3:$B$40, REF_Setup!$B$3:$B$40&lt;&gt;""),IF(OR(_xlpm.s="",_xlpm.s=0),"Unclassified",IF(SUM(--ISNUMBER(SEARCH(_xlpm.strat, _xlpm.s)))&gt;0, "Y", "N"))
)</f>
        <v>N</v>
      </c>
      <c r="T19" s="4" t="str" cm="1">
        <f t="array" ref="T19">_xlfn.LET(_xlpm.s,M19,_xlpm.phil, _xlfn._xlws.FILTER(REF_Setup!$D$3:$D$5, REF_Setup!$D$3:$D$5&lt;&gt;""),IF(OR(_xlpm.s="", _xlpm.s=0),"Unclassified",IF(SUM(--ISNUMBER(SEARCH(_xlpm.phil, _xlpm.s)))&gt;0, "Y", "N")))</f>
        <v>N</v>
      </c>
      <c r="U19" s="4" t="str" cm="1">
        <f t="array" ref="U19">IF(M19="", "Unclassified", IF(AND(SUMPRODUCT(--ISNUMBER(SEARCH(REF_Setup!$B$3:$B$40,M19)))&gt;0,SUMPRODUCT(--ISNUMBER(SEARCH(REF_Setup!$F$3:$F$15,M19)))&gt;0),"Mixed",IF(SUMPRODUCT(--ISNUMBER(SEARCH(REF_Setup!$B$3:$B$40,M19)))&gt;0,"Strategic Only",IF(SUMPRODUCT(--ISNUMBER(SEARCH(REF_Setup!$F$3:$F$15,M19)))&gt;0,"VC Only","Unclassified"))))</f>
        <v>VC Only</v>
      </c>
    </row>
    <row r="20" spans="2:21" ht="29" x14ac:dyDescent="0.35">
      <c r="B20" s="4">
        <f t="shared" si="2"/>
        <v>18</v>
      </c>
      <c r="C20" s="4" t="str">
        <f>IFERROR(_xlfn.XLOOKUP($B20,Raw_Data!$A$3:$A$273,Raw_Data!$B$3:$B$273),"")</f>
        <v>Antora Energy</v>
      </c>
      <c r="D20" s="4" t="str">
        <f>IFERROR(_xlfn.XLOOKUP($B20,Raw_Data!$A$3:$A$273,Raw_Data!$C$3:$C$273),"")</f>
        <v>Sunnyuale, CA</v>
      </c>
      <c r="E20" s="4">
        <f>IFERROR(_xlfn.XLOOKUP($B20,Raw_Data!$A$3:$A$273,Raw_Data!$D$3:$D$273),"")</f>
        <v>2017</v>
      </c>
      <c r="F20" s="4" t="str">
        <f>IFERROR(_xlfn.XLOOKUP($B20,Raw_Data!$A$3:$A$273,Raw_Data!$F$3:$F$273),"")</f>
        <v>LDES</v>
      </c>
      <c r="G20" s="35">
        <f>IFERROR(_xlfn.XLOOKUP($B20,Raw_Data!$A$3:$A$273,Raw_Data!$J$3:$J$273),"")</f>
        <v>44834</v>
      </c>
      <c r="H20" s="16" t="s">
        <v>1467</v>
      </c>
      <c r="I20" s="36">
        <f>IFERROR(_xlfn.XLOOKUP($B20,Raw_Data!$A$3:$A$273,Raw_Data!$I$3:$I$273),"")</f>
        <v>87.4</v>
      </c>
      <c r="J20" s="36">
        <f>IFERROR(_xlfn.XLOOKUP($B20,Raw_Data!$A$3:$A$273,Raw_Data!$L$3:$L$273),"")</f>
        <v>30</v>
      </c>
      <c r="K20" s="36">
        <f>IFERROR(_xlfn.XLOOKUP($B20,Raw_Data!$A$3:$A$273,Raw_Data!$M$3:$M$273),"")</f>
        <v>190.4</v>
      </c>
      <c r="L20" s="15">
        <f>IFERROR(_xlfn.XLOOKUP($B20,Raw_Data!$A$3:$A$273,Raw_Data!$Q$3:$Q$273),"")</f>
        <v>0.32</v>
      </c>
      <c r="M20" s="34" t="str">
        <f>IFERROR(_xlfn.XLOOKUP($B20,Raw_Data!$A$3:$A$273,Raw_Data!$R$3:$R$273),"")</f>
        <v>CalSEED; Keybridge Venture Partners; Overture Climate VC; Reaction Global; StartX</v>
      </c>
      <c r="N20" s="16" cm="1">
        <f t="array" ref="N20">IF(M20="",0,COUNTA(_xlfn._xlws.FILTER(_xlfn.TEXTSPLIT(M20,";"), _xlfn.TEXTSPLIT(M20,";")&lt;&gt;"")))</f>
        <v>5</v>
      </c>
      <c r="O20" s="16" t="str">
        <f t="shared" si="0"/>
        <v>Y</v>
      </c>
      <c r="P20" s="19">
        <f>IFERROR(_xlfn.XLOOKUP($B20,Raw_Data!$A$3:$A$273,Raw_Data!$V$3:$V$273),"")</f>
        <v>0.2</v>
      </c>
      <c r="Q20" s="16" t="str">
        <f t="shared" si="1"/>
        <v>Y</v>
      </c>
      <c r="R20" s="32">
        <f>IFERROR(_xlfn.XLOOKUP($B20,Raw_Data!$A$3:$A$273,Raw_Data!$Y$3:$Y$273),"")</f>
        <v>0.8</v>
      </c>
      <c r="S20" s="4" t="str" cm="1">
        <f t="array" ref="S20">_xlfn.LET(_xlpm.s, Raw_Data!W20,_xlpm.strat, _xlfn._xlws.FILTER(REF_Setup!$B$3:$B$40, REF_Setup!$B$3:$B$40&lt;&gt;""),IF(OR(_xlpm.s="",_xlpm.s=0),"Unclassified",IF(SUM(--ISNUMBER(SEARCH(_xlpm.strat, _xlpm.s)))&gt;0, "Y", "N"))
)</f>
        <v>N</v>
      </c>
      <c r="T20" s="4" t="str" cm="1">
        <f t="array" ref="T20">_xlfn.LET(_xlpm.s,M20,_xlpm.phil, _xlfn._xlws.FILTER(REF_Setup!$D$3:$D$5, REF_Setup!$D$3:$D$5&lt;&gt;""),IF(OR(_xlpm.s="", _xlpm.s=0),"Unclassified",IF(SUM(--ISNUMBER(SEARCH(_xlpm.phil, _xlpm.s)))&gt;0, "Y", "N")))</f>
        <v>N</v>
      </c>
      <c r="U20" s="4" t="str" cm="1">
        <f t="array" ref="U20">IF(M20="", "Unclassified", IF(AND(SUMPRODUCT(--ISNUMBER(SEARCH(REF_Setup!$B$3:$B$40,M20)))&gt;0,SUMPRODUCT(--ISNUMBER(SEARCH(REF_Setup!$F$3:$F$15,M20)))&gt;0),"Mixed",IF(SUMPRODUCT(--ISNUMBER(SEARCH(REF_Setup!$B$3:$B$40,M20)))&gt;0,"Strategic Only",IF(SUMPRODUCT(--ISNUMBER(SEARCH(REF_Setup!$F$3:$F$15,M20)))&gt;0,"VC Only","Unclassified"))))</f>
        <v>VC Only</v>
      </c>
    </row>
    <row r="21" spans="2:21" x14ac:dyDescent="0.35">
      <c r="B21" s="4">
        <f t="shared" si="2"/>
        <v>19</v>
      </c>
      <c r="C21" s="4" t="str">
        <f>IFERROR(_xlfn.XLOOKUP($B21,Raw_Data!$A$3:$A$273,Raw_Data!$B$3:$B$273),"")</f>
        <v>AtmosZero</v>
      </c>
      <c r="D21" s="4" t="str">
        <f>IFERROR(_xlfn.XLOOKUP($B21,Raw_Data!$A$3:$A$273,Raw_Data!$C$3:$C$273),"")</f>
        <v>Fort Collins, CO</v>
      </c>
      <c r="E21" s="4">
        <f>IFERROR(_xlfn.XLOOKUP($B21,Raw_Data!$A$3:$A$273,Raw_Data!$D$3:$D$273),"")</f>
        <v>2021</v>
      </c>
      <c r="F21" s="4" t="str">
        <f>IFERROR(_xlfn.XLOOKUP($B21,Raw_Data!$A$3:$A$273,Raw_Data!$F$3:$F$273),"")</f>
        <v>Industrial Decarbonization</v>
      </c>
      <c r="G21" s="35">
        <f>IFERROR(_xlfn.XLOOKUP($B21,Raw_Data!$A$3:$A$273,Raw_Data!$J$3:$J$273),"")</f>
        <v>44897</v>
      </c>
      <c r="H21" s="16" t="s">
        <v>1465</v>
      </c>
      <c r="I21" s="36">
        <f>IFERROR(_xlfn.XLOOKUP($B21,Raw_Data!$A$3:$A$273,Raw_Data!$I$3:$I$273),"")</f>
        <v>7.5</v>
      </c>
      <c r="J21" s="36">
        <f>IFERROR(_xlfn.XLOOKUP($B21,Raw_Data!$A$3:$A$273,Raw_Data!$L$3:$L$273),"")</f>
        <v>3.5</v>
      </c>
      <c r="K21" s="36">
        <f>IFERROR(_xlfn.XLOOKUP($B21,Raw_Data!$A$3:$A$273,Raw_Data!$M$3:$M$273),"")</f>
        <v>20</v>
      </c>
      <c r="L21" s="15">
        <f>IFERROR(_xlfn.XLOOKUP($B21,Raw_Data!$A$3:$A$273,Raw_Data!$Q$3:$Q$273),"")</f>
        <v>0</v>
      </c>
      <c r="M21" s="34" t="str">
        <f>IFERROR(_xlfn.XLOOKUP($B21,Raw_Data!$A$3:$A$273,Raw_Data!$R$3:$R$273),"")</f>
        <v xml:space="preserve">AENU; Energy Impact Partners </v>
      </c>
      <c r="N21" s="16" cm="1">
        <f t="array" ref="N21">IF(M21="",0,COUNTA(_xlfn._xlws.FILTER(_xlfn.TEXTSPLIT(M21,";"), _xlfn.TEXTSPLIT(M21,";")&lt;&gt;"")))</f>
        <v>2</v>
      </c>
      <c r="O21" s="16" t="str">
        <f t="shared" si="0"/>
        <v>Y</v>
      </c>
      <c r="P21" s="19">
        <f>IFERROR(_xlfn.XLOOKUP($B21,Raw_Data!$A$3:$A$273,Raw_Data!$V$3:$V$273),"")</f>
        <v>0.5</v>
      </c>
      <c r="Q21" s="16" t="str">
        <f t="shared" si="1"/>
        <v>Y</v>
      </c>
      <c r="R21" s="32">
        <f>IFERROR(_xlfn.XLOOKUP($B21,Raw_Data!$A$3:$A$273,Raw_Data!$Y$3:$Y$273),"")</f>
        <v>0.5</v>
      </c>
      <c r="S21" s="4" t="str" cm="1">
        <f t="array" ref="S21">_xlfn.LET(_xlpm.s, Raw_Data!W21,_xlpm.strat, _xlfn._xlws.FILTER(REF_Setup!$B$3:$B$40, REF_Setup!$B$3:$B$40&lt;&gt;""),IF(OR(_xlpm.s="",_xlpm.s=0),"Unclassified",IF(SUM(--ISNUMBER(SEARCH(_xlpm.strat, _xlpm.s)))&gt;0, "Y", "N"))
)</f>
        <v>N</v>
      </c>
      <c r="T21" s="4" t="str" cm="1">
        <f t="array" ref="T21">_xlfn.LET(_xlpm.s,M21,_xlpm.phil, _xlfn._xlws.FILTER(REF_Setup!$D$3:$D$5, REF_Setup!$D$3:$D$5&lt;&gt;""),IF(OR(_xlpm.s="", _xlpm.s=0),"Unclassified",IF(SUM(--ISNUMBER(SEARCH(_xlpm.phil, _xlpm.s)))&gt;0, "Y", "N")))</f>
        <v>N</v>
      </c>
      <c r="U21" s="4" t="str" cm="1">
        <f t="array" ref="U21">IF(M21="", "Unclassified", IF(AND(SUMPRODUCT(--ISNUMBER(SEARCH(REF_Setup!$B$3:$B$40,M21)))&gt;0,SUMPRODUCT(--ISNUMBER(SEARCH(REF_Setup!$F$3:$F$15,M21)))&gt;0),"Mixed",IF(SUMPRODUCT(--ISNUMBER(SEARCH(REF_Setup!$B$3:$B$40,M21)))&gt;0,"Strategic Only",IF(SUMPRODUCT(--ISNUMBER(SEARCH(REF_Setup!$F$3:$F$15,M21)))&gt;0,"VC Only","Unclassified"))))</f>
        <v>VC Only</v>
      </c>
    </row>
    <row r="22" spans="2:21" x14ac:dyDescent="0.35">
      <c r="B22" s="4">
        <f t="shared" si="2"/>
        <v>20</v>
      </c>
      <c r="C22" s="4" t="str">
        <f>IFERROR(_xlfn.XLOOKUP($B22,Raw_Data!$A$3:$A$273,Raw_Data!$B$3:$B$273),"")</f>
        <v>Aymium</v>
      </c>
      <c r="D22" s="4" t="str">
        <f>IFERROR(_xlfn.XLOOKUP($B22,Raw_Data!$A$3:$A$273,Raw_Data!$C$3:$C$273),"")</f>
        <v>Gwinn, MI</v>
      </c>
      <c r="E22" s="4">
        <f>IFERROR(_xlfn.XLOOKUP($B22,Raw_Data!$A$3:$A$273,Raw_Data!$D$3:$D$273),"")</f>
        <v>2012</v>
      </c>
      <c r="F22" s="4" t="str">
        <f>IFERROR(_xlfn.XLOOKUP($B22,Raw_Data!$A$3:$A$273,Raw_Data!$F$3:$F$273),"")</f>
        <v>Industrial Decarbonization</v>
      </c>
      <c r="G22" s="35">
        <f>IFERROR(_xlfn.XLOOKUP($B22,Raw_Data!$A$3:$A$273,Raw_Data!$J$3:$J$273),"")</f>
        <v>44621</v>
      </c>
      <c r="H22" s="4" t="s">
        <v>75</v>
      </c>
      <c r="I22" s="36">
        <f>IFERROR(_xlfn.XLOOKUP($B22,Raw_Data!$A$3:$A$273,Raw_Data!$I$3:$I$273),"")</f>
        <v>0</v>
      </c>
      <c r="J22" s="36">
        <f>IFERROR(_xlfn.XLOOKUP($B22,Raw_Data!$A$3:$A$273,Raw_Data!$L$3:$L$273),"")</f>
        <v>0</v>
      </c>
      <c r="K22" s="36">
        <f>IFERROR(_xlfn.XLOOKUP($B22,Raw_Data!$A$3:$A$273,Raw_Data!$M$3:$M$273),"")</f>
        <v>0</v>
      </c>
      <c r="L22" s="15" t="str">
        <f>IFERROR(_xlfn.XLOOKUP($B22,Raw_Data!$A$3:$A$273,Raw_Data!$Q$3:$Q$273),"")</f>
        <v>N/A</v>
      </c>
      <c r="M22" s="34" t="str">
        <f>IFERROR(_xlfn.XLOOKUP($B22,Raw_Data!$A$3:$A$273,Raw_Data!$R$3:$R$273),"")</f>
        <v>Nippon Steel Trading; Rio Tinto; Sandton Capital Partners; Steel Dynamics</v>
      </c>
      <c r="N22" s="16" cm="1">
        <f t="array" ref="N22">IF(M22="",0,COUNTA(_xlfn._xlws.FILTER(_xlfn.TEXTSPLIT(M22,";"), _xlfn.TEXTSPLIT(M22,";")&lt;&gt;"")))</f>
        <v>4</v>
      </c>
      <c r="O22" s="16" t="str">
        <f t="shared" si="0"/>
        <v>N</v>
      </c>
      <c r="P22" s="19">
        <f>IFERROR(_xlfn.XLOOKUP($B22,Raw_Data!$A$3:$A$273,Raw_Data!$V$3:$V$273),"")</f>
        <v>0</v>
      </c>
      <c r="Q22" s="16" t="str">
        <f t="shared" si="1"/>
        <v>Y</v>
      </c>
      <c r="R22" s="32">
        <f>IFERROR(_xlfn.XLOOKUP($B22,Raw_Data!$A$3:$A$273,Raw_Data!$Y$3:$Y$273),"")</f>
        <v>1</v>
      </c>
      <c r="S22" s="4" t="str" cm="1">
        <f t="array" ref="S22">_xlfn.LET(_xlpm.s, Raw_Data!W22,_xlpm.strat, _xlfn._xlws.FILTER(REF_Setup!$B$3:$B$40, REF_Setup!$B$3:$B$40&lt;&gt;""),IF(OR(_xlpm.s="",_xlpm.s=0),"Unclassified",IF(SUM(--ISNUMBER(SEARCH(_xlpm.strat, _xlpm.s)))&gt;0, "Y", "N"))
)</f>
        <v>Y</v>
      </c>
      <c r="T22" s="4" t="str" cm="1">
        <f t="array" ref="T22">_xlfn.LET(_xlpm.s,M22,_xlpm.phil, _xlfn._xlws.FILTER(REF_Setup!$D$3:$D$5, REF_Setup!$D$3:$D$5&lt;&gt;""),IF(OR(_xlpm.s="", _xlpm.s=0),"Unclassified",IF(SUM(--ISNUMBER(SEARCH(_xlpm.phil, _xlpm.s)))&gt;0, "Y", "N")))</f>
        <v>N</v>
      </c>
      <c r="U22" s="4" t="str" cm="1">
        <f t="array" ref="U22">IF(M22="", "Unclassified", IF(AND(SUMPRODUCT(--ISNUMBER(SEARCH(REF_Setup!$B$3:$B$40,M22)))&gt;0,SUMPRODUCT(--ISNUMBER(SEARCH(REF_Setup!$F$3:$F$15,M22)))&gt;0),"Mixed",IF(SUMPRODUCT(--ISNUMBER(SEARCH(REF_Setup!$B$3:$B$40,M22)))&gt;0,"Strategic Only",IF(SUMPRODUCT(--ISNUMBER(SEARCH(REF_Setup!$F$3:$F$15,M22)))&gt;0,"VC Only","Unclassified"))))</f>
        <v>Mixed</v>
      </c>
    </row>
    <row r="23" spans="2:21" x14ac:dyDescent="0.35">
      <c r="B23" s="4">
        <f t="shared" si="2"/>
        <v>21</v>
      </c>
      <c r="C23" s="4" t="str">
        <f>IFERROR(_xlfn.XLOOKUP($B23,Raw_Data!$A$3:$A$273,Raw_Data!$B$3:$B$273),"")</f>
        <v>Baja Carports</v>
      </c>
      <c r="D23" s="4" t="str">
        <f>IFERROR(_xlfn.XLOOKUP($B23,Raw_Data!$A$3:$A$273,Raw_Data!$C$3:$C$273),"")</f>
        <v>Martinez, CA</v>
      </c>
      <c r="E23" s="4">
        <f>IFERROR(_xlfn.XLOOKUP($B23,Raw_Data!$A$3:$A$273,Raw_Data!$D$3:$D$273),"")</f>
        <v>1981</v>
      </c>
      <c r="F23" s="4" t="str">
        <f>IFERROR(_xlfn.XLOOKUP($B23,Raw_Data!$A$3:$A$273,Raw_Data!$F$3:$F$273),"")</f>
        <v>Renewables</v>
      </c>
      <c r="G23" s="35">
        <f>IFERROR(_xlfn.XLOOKUP($B23,Raw_Data!$A$3:$A$273,Raw_Data!$J$3:$J$273),"")</f>
        <v>45566</v>
      </c>
      <c r="H23" s="4" t="s">
        <v>75</v>
      </c>
      <c r="I23" s="36">
        <f>IFERROR(_xlfn.XLOOKUP($B23,Raw_Data!$A$3:$A$273,Raw_Data!$I$3:$I$273),"")</f>
        <v>0</v>
      </c>
      <c r="J23" s="36">
        <f>IFERROR(_xlfn.XLOOKUP($B23,Raw_Data!$A$3:$A$273,Raw_Data!$L$3:$L$273),"")</f>
        <v>0</v>
      </c>
      <c r="K23" s="36">
        <f>IFERROR(_xlfn.XLOOKUP($B23,Raw_Data!$A$3:$A$273,Raw_Data!$M$3:$M$273),"")</f>
        <v>0</v>
      </c>
      <c r="L23" s="15" t="str">
        <f>IFERROR(_xlfn.XLOOKUP($B23,Raw_Data!$A$3:$A$273,Raw_Data!$Q$3:$Q$273),"")</f>
        <v>N/A</v>
      </c>
      <c r="M23" s="34" t="str">
        <f>IFERROR(_xlfn.XLOOKUP($B23,Raw_Data!$A$3:$A$273,Raw_Data!$R$3:$R$273),"")</f>
        <v xml:space="preserve">Compass Group Equity Partners </v>
      </c>
      <c r="N23" s="16" cm="1">
        <f t="array" ref="N23">IF(M23="",0,COUNTA(_xlfn._xlws.FILTER(_xlfn.TEXTSPLIT(M23,";"), _xlfn.TEXTSPLIT(M23,";")&lt;&gt;"")))</f>
        <v>1</v>
      </c>
      <c r="O23" s="16" t="str">
        <f t="shared" si="0"/>
        <v>N</v>
      </c>
      <c r="P23" s="19">
        <f>IFERROR(_xlfn.XLOOKUP($B23,Raw_Data!$A$3:$A$273,Raw_Data!$V$3:$V$273),"")</f>
        <v>0</v>
      </c>
      <c r="Q23" s="16" t="str">
        <f t="shared" si="1"/>
        <v>Y</v>
      </c>
      <c r="R23" s="32">
        <f>IFERROR(_xlfn.XLOOKUP($B23,Raw_Data!$A$3:$A$273,Raw_Data!$Y$3:$Y$273),"")</f>
        <v>1</v>
      </c>
      <c r="S23" s="4" t="str" cm="1">
        <f t="array" ref="S23">_xlfn.LET(_xlpm.s, Raw_Data!W23,_xlpm.strat, _xlfn._xlws.FILTER(REF_Setup!$B$3:$B$40, REF_Setup!$B$3:$B$40&lt;&gt;""),IF(OR(_xlpm.s="",_xlpm.s=0),"Unclassified",IF(SUM(--ISNUMBER(SEARCH(_xlpm.strat, _xlpm.s)))&gt;0, "Y", "N"))
)</f>
        <v>N</v>
      </c>
      <c r="T23" s="4" t="str" cm="1">
        <f t="array" ref="T23">_xlfn.LET(_xlpm.s,M23,_xlpm.phil, _xlfn._xlws.FILTER(REF_Setup!$D$3:$D$5, REF_Setup!$D$3:$D$5&lt;&gt;""),IF(OR(_xlpm.s="", _xlpm.s=0),"Unclassified",IF(SUM(--ISNUMBER(SEARCH(_xlpm.phil, _xlpm.s)))&gt;0, "Y", "N")))</f>
        <v>N</v>
      </c>
      <c r="U23" s="4" t="str" cm="1">
        <f t="array" ref="U23">IF(M23="", "Unclassified", IF(AND(SUMPRODUCT(--ISNUMBER(SEARCH(REF_Setup!$B$3:$B$40,M23)))&gt;0,SUMPRODUCT(--ISNUMBER(SEARCH(REF_Setup!$F$3:$F$15,M23)))&gt;0),"Mixed",IF(SUMPRODUCT(--ISNUMBER(SEARCH(REF_Setup!$B$3:$B$40,M23)))&gt;0,"Strategic Only",IF(SUMPRODUCT(--ISNUMBER(SEARCH(REF_Setup!$F$3:$F$15,M23)))&gt;0,"VC Only","Unclassified"))))</f>
        <v>VC Only</v>
      </c>
    </row>
    <row r="24" spans="2:21" ht="29" x14ac:dyDescent="0.35">
      <c r="B24" s="4">
        <f t="shared" si="2"/>
        <v>22</v>
      </c>
      <c r="C24" s="4" t="str">
        <f>IFERROR(_xlfn.XLOOKUP($B24,Raw_Data!$A$3:$A$273,Raw_Data!$B$3:$B$273),"")</f>
        <v>BayoTech</v>
      </c>
      <c r="D24" s="4" t="str">
        <f>IFERROR(_xlfn.XLOOKUP($B24,Raw_Data!$A$3:$A$273,Raw_Data!$C$3:$C$273),"")</f>
        <v>Houston, TX</v>
      </c>
      <c r="E24" s="4">
        <f>IFERROR(_xlfn.XLOOKUP($B24,Raw_Data!$A$3:$A$273,Raw_Data!$D$3:$D$273),"")</f>
        <v>2015</v>
      </c>
      <c r="F24" s="4" t="str">
        <f>IFERROR(_xlfn.XLOOKUP($B24,Raw_Data!$A$3:$A$273,Raw_Data!$F$3:$F$273),"")</f>
        <v>Hydrogen</v>
      </c>
      <c r="G24" s="35">
        <f>IFERROR(_xlfn.XLOOKUP($B24,Raw_Data!$A$3:$A$273,Raw_Data!$J$3:$J$273),"")</f>
        <v>44189</v>
      </c>
      <c r="H24" s="4" t="s">
        <v>75</v>
      </c>
      <c r="I24" s="36">
        <f>IFERROR(_xlfn.XLOOKUP($B24,Raw_Data!$A$3:$A$273,Raw_Data!$I$3:$I$273),"")</f>
        <v>173.7</v>
      </c>
      <c r="J24" s="36">
        <f>IFERROR(_xlfn.XLOOKUP($B24,Raw_Data!$A$3:$A$273,Raw_Data!$L$3:$L$273),"")</f>
        <v>157</v>
      </c>
      <c r="K24" s="36">
        <f>IFERROR(_xlfn.XLOOKUP($B24,Raw_Data!$A$3:$A$273,Raw_Data!$M$3:$M$273),"")</f>
        <v>0</v>
      </c>
      <c r="L24" s="15">
        <f>IFERROR(_xlfn.XLOOKUP($B24,Raw_Data!$A$3:$A$273,Raw_Data!$Q$3:$Q$273),"")</f>
        <v>0</v>
      </c>
      <c r="M24" s="34" t="str">
        <f>IFERROR(_xlfn.XLOOKUP($B24,Raw_Data!$A$3:$A$273,Raw_Data!$R$3:$R$273),"")</f>
        <v>Cottonwood Technology Fund+S32; Fortistar; Newlight Partners; Sun Mountain Capital</v>
      </c>
      <c r="N24" s="16" cm="1">
        <f t="array" ref="N24">IF(M24="",0,COUNTA(_xlfn._xlws.FILTER(_xlfn.TEXTSPLIT(M24,";"), _xlfn.TEXTSPLIT(M24,";")&lt;&gt;"")))</f>
        <v>4</v>
      </c>
      <c r="O24" s="16" t="str">
        <f t="shared" si="0"/>
        <v>Y</v>
      </c>
      <c r="P24" s="19">
        <f>IFERROR(_xlfn.XLOOKUP($B24,Raw_Data!$A$3:$A$273,Raw_Data!$V$3:$V$273),"")</f>
        <v>0.5</v>
      </c>
      <c r="Q24" s="16" t="str">
        <f t="shared" si="1"/>
        <v>Y</v>
      </c>
      <c r="R24" s="32">
        <f>IFERROR(_xlfn.XLOOKUP($B24,Raw_Data!$A$3:$A$273,Raw_Data!$Y$3:$Y$273),"")</f>
        <v>0.75</v>
      </c>
      <c r="S24" s="4" t="str" cm="1">
        <f t="array" ref="S24">_xlfn.LET(_xlpm.s, Raw_Data!W24,_xlpm.strat, _xlfn._xlws.FILTER(REF_Setup!$B$3:$B$40, REF_Setup!$B$3:$B$40&lt;&gt;""),IF(OR(_xlpm.s="",_xlpm.s=0),"Unclassified",IF(SUM(--ISNUMBER(SEARCH(_xlpm.strat, _xlpm.s)))&gt;0, "Y", "N"))
)</f>
        <v>N</v>
      </c>
      <c r="T24" s="4" t="str" cm="1">
        <f t="array" ref="T24">_xlfn.LET(_xlpm.s,M24,_xlpm.phil, _xlfn._xlws.FILTER(REF_Setup!$D$3:$D$5, REF_Setup!$D$3:$D$5&lt;&gt;""),IF(OR(_xlpm.s="", _xlpm.s=0),"Unclassified",IF(SUM(--ISNUMBER(SEARCH(_xlpm.phil, _xlpm.s)))&gt;0, "Y", "N")))</f>
        <v>N</v>
      </c>
      <c r="U24" s="4" t="str" cm="1">
        <f t="array" ref="U24">IF(M24="", "Unclassified", IF(AND(SUMPRODUCT(--ISNUMBER(SEARCH(REF_Setup!$B$3:$B$40,M24)))&gt;0,SUMPRODUCT(--ISNUMBER(SEARCH(REF_Setup!$F$3:$F$15,M24)))&gt;0),"Mixed",IF(SUMPRODUCT(--ISNUMBER(SEARCH(REF_Setup!$B$3:$B$40,M24)))&gt;0,"Strategic Only",IF(SUMPRODUCT(--ISNUMBER(SEARCH(REF_Setup!$F$3:$F$15,M24)))&gt;0,"VC Only","Unclassified"))))</f>
        <v>VC Only</v>
      </c>
    </row>
    <row r="25" spans="2:21" x14ac:dyDescent="0.35">
      <c r="B25" s="4">
        <f t="shared" si="2"/>
        <v>23</v>
      </c>
      <c r="C25" s="4" t="str">
        <f>IFERROR(_xlfn.XLOOKUP($B25,Raw_Data!$A$3:$A$273,Raw_Data!$B$3:$B$273),"")</f>
        <v>BayoTech</v>
      </c>
      <c r="D25" s="4" t="str">
        <f>IFERROR(_xlfn.XLOOKUP($B25,Raw_Data!$A$3:$A$273,Raw_Data!$C$3:$C$273),"")</f>
        <v>Houston, TX</v>
      </c>
      <c r="E25" s="4">
        <f>IFERROR(_xlfn.XLOOKUP($B25,Raw_Data!$A$3:$A$273,Raw_Data!$D$3:$D$273),"")</f>
        <v>2015</v>
      </c>
      <c r="F25" s="4" t="str">
        <f>IFERROR(_xlfn.XLOOKUP($B25,Raw_Data!$A$3:$A$273,Raw_Data!$F$3:$F$273),"")</f>
        <v>Hydrogen</v>
      </c>
      <c r="G25" s="35">
        <f>IFERROR(_xlfn.XLOOKUP($B25,Raw_Data!$A$3:$A$273,Raw_Data!$J$3:$J$273),"")</f>
        <v>44204</v>
      </c>
      <c r="H25" s="4" t="s">
        <v>75</v>
      </c>
      <c r="I25" s="36">
        <f>IFERROR(_xlfn.XLOOKUP($B25,Raw_Data!$A$3:$A$273,Raw_Data!$I$3:$I$273),"")</f>
        <v>183.7</v>
      </c>
      <c r="J25" s="36">
        <f>IFERROR(_xlfn.XLOOKUP($B25,Raw_Data!$A$3:$A$273,Raw_Data!$L$3:$L$273),"")</f>
        <v>10</v>
      </c>
      <c r="K25" s="36">
        <f>IFERROR(_xlfn.XLOOKUP($B25,Raw_Data!$A$3:$A$273,Raw_Data!$M$3:$M$273),"")</f>
        <v>0</v>
      </c>
      <c r="L25" s="15">
        <f>IFERROR(_xlfn.XLOOKUP($B25,Raw_Data!$A$3:$A$273,Raw_Data!$Q$3:$Q$273),"")</f>
        <v>0</v>
      </c>
      <c r="M25" s="34"/>
      <c r="N25" s="16" cm="1">
        <f t="array" ref="N25">IF(M25="",0,COUNTA(_xlfn._xlws.FILTER(_xlfn.TEXTSPLIT(M25,";"), _xlfn.TEXTSPLIT(M25,";")&lt;&gt;"")))</f>
        <v>0</v>
      </c>
      <c r="O25" s="16" t="str">
        <f t="shared" si="0"/>
        <v>Y</v>
      </c>
      <c r="P25" s="19" t="str">
        <f>IFERROR(_xlfn.XLOOKUP($B25,Raw_Data!$A$3:$A$273,Raw_Data!$V$3:$V$273),"")</f>
        <v>N/A</v>
      </c>
      <c r="Q25" s="16" t="str">
        <f t="shared" si="1"/>
        <v>Y</v>
      </c>
      <c r="R25" s="32" t="str">
        <f>IFERROR(_xlfn.XLOOKUP($B25,Raw_Data!$A$3:$A$273,Raw_Data!$Y$3:$Y$273),"")</f>
        <v>N/A</v>
      </c>
      <c r="S25" s="4" t="str" cm="1">
        <f t="array" ref="S25">_xlfn.LET(_xlpm.s, Raw_Data!W25,_xlpm.strat, _xlfn._xlws.FILTER(REF_Setup!$B$3:$B$40, REF_Setup!$B$3:$B$40&lt;&gt;""),IF(OR(_xlpm.s="",_xlpm.s=0),"Unclassified",IF(SUM(--ISNUMBER(SEARCH(_xlpm.strat, _xlpm.s)))&gt;0, "Y", "N"))
)</f>
        <v>Unclassified</v>
      </c>
      <c r="T25" s="4" t="str" cm="1">
        <f t="array" ref="T25">_xlfn.LET(_xlpm.s,M25,_xlpm.phil, _xlfn._xlws.FILTER(REF_Setup!$D$3:$D$5, REF_Setup!$D$3:$D$5&lt;&gt;""),IF(OR(_xlpm.s="", _xlpm.s=0),"Unclassified",IF(SUM(--ISNUMBER(SEARCH(_xlpm.phil, _xlpm.s)))&gt;0, "Y", "N")))</f>
        <v>Unclassified</v>
      </c>
      <c r="U25" s="4" t="str" cm="1">
        <f t="array" ref="U25">IF(M25="", "Unclassified", IF(AND(SUMPRODUCT(--ISNUMBER(SEARCH(REF_Setup!$B$3:$B$40,M25)))&gt;0,SUMPRODUCT(--ISNUMBER(SEARCH(REF_Setup!$F$3:$F$15,M25)))&gt;0),"Mixed",IF(SUMPRODUCT(--ISNUMBER(SEARCH(REF_Setup!$B$3:$B$40,M25)))&gt;0,"Strategic Only",IF(SUMPRODUCT(--ISNUMBER(SEARCH(REF_Setup!$F$3:$F$15,M25)))&gt;0,"VC Only","Unclassified"))))</f>
        <v>Unclassified</v>
      </c>
    </row>
    <row r="26" spans="2:21" x14ac:dyDescent="0.35">
      <c r="B26" s="4">
        <f t="shared" si="2"/>
        <v>24</v>
      </c>
      <c r="C26" s="4" t="str">
        <f>IFERROR(_xlfn.XLOOKUP($B26,Raw_Data!$A$3:$A$273,Raw_Data!$B$3:$B$273),"")</f>
        <v>BayoTech</v>
      </c>
      <c r="D26" s="4" t="str">
        <f>IFERROR(_xlfn.XLOOKUP($B26,Raw_Data!$A$3:$A$273,Raw_Data!$C$3:$C$273),"")</f>
        <v>Houston, TX</v>
      </c>
      <c r="E26" s="4">
        <f>IFERROR(_xlfn.XLOOKUP($B26,Raw_Data!$A$3:$A$273,Raw_Data!$D$3:$D$273),"")</f>
        <v>2015</v>
      </c>
      <c r="F26" s="4" t="str">
        <f>IFERROR(_xlfn.XLOOKUP($B26,Raw_Data!$A$3:$A$273,Raw_Data!$F$3:$F$273),"")</f>
        <v>Hydrogen</v>
      </c>
      <c r="G26" s="35">
        <f>IFERROR(_xlfn.XLOOKUP($B26,Raw_Data!$A$3:$A$273,Raw_Data!$J$3:$J$273),"")</f>
        <v>44390</v>
      </c>
      <c r="H26" s="4" t="s">
        <v>75</v>
      </c>
      <c r="I26" s="36">
        <f>IFERROR(_xlfn.XLOOKUP($B26,Raw_Data!$A$3:$A$273,Raw_Data!$I$3:$I$273),"")</f>
        <v>213.7</v>
      </c>
      <c r="J26" s="36">
        <f>IFERROR(_xlfn.XLOOKUP($B26,Raw_Data!$A$3:$A$273,Raw_Data!$L$3:$L$273),"")</f>
        <v>30</v>
      </c>
      <c r="K26" s="36">
        <f>IFERROR(_xlfn.XLOOKUP($B26,Raw_Data!$A$3:$A$273,Raw_Data!$M$3:$M$273),"")</f>
        <v>0</v>
      </c>
      <c r="L26" s="15">
        <f>IFERROR(_xlfn.XLOOKUP($B26,Raw_Data!$A$3:$A$273,Raw_Data!$Q$3:$Q$273),"")</f>
        <v>0</v>
      </c>
      <c r="M26" s="34"/>
      <c r="N26" s="16" cm="1">
        <f t="array" ref="N26">IF(M26="",0,COUNTA(_xlfn._xlws.FILTER(_xlfn.TEXTSPLIT(M26,";"), _xlfn.TEXTSPLIT(M26,";")&lt;&gt;"")))</f>
        <v>0</v>
      </c>
      <c r="O26" s="16" t="str">
        <f t="shared" si="0"/>
        <v>Y</v>
      </c>
      <c r="P26" s="19" t="str">
        <f>IFERROR(_xlfn.XLOOKUP($B26,Raw_Data!$A$3:$A$273,Raw_Data!$V$3:$V$273),"")</f>
        <v>N/A</v>
      </c>
      <c r="Q26" s="16" t="str">
        <f t="shared" si="1"/>
        <v>Y</v>
      </c>
      <c r="R26" s="32" t="str">
        <f>IFERROR(_xlfn.XLOOKUP($B26,Raw_Data!$A$3:$A$273,Raw_Data!$Y$3:$Y$273),"")</f>
        <v>N/A</v>
      </c>
      <c r="S26" s="4" t="str" cm="1">
        <f t="array" ref="S26">_xlfn.LET(_xlpm.s, Raw_Data!W26,_xlpm.strat, _xlfn._xlws.FILTER(REF_Setup!$B$3:$B$40, REF_Setup!$B$3:$B$40&lt;&gt;""),IF(OR(_xlpm.s="",_xlpm.s=0),"Unclassified",IF(SUM(--ISNUMBER(SEARCH(_xlpm.strat, _xlpm.s)))&gt;0, "Y", "N"))
)</f>
        <v>Unclassified</v>
      </c>
      <c r="T26" s="4" t="str" cm="1">
        <f t="array" ref="T26">_xlfn.LET(_xlpm.s,M26,_xlpm.phil, _xlfn._xlws.FILTER(REF_Setup!$D$3:$D$5, REF_Setup!$D$3:$D$5&lt;&gt;""),IF(OR(_xlpm.s="", _xlpm.s=0),"Unclassified",IF(SUM(--ISNUMBER(SEARCH(_xlpm.phil, _xlpm.s)))&gt;0, "Y", "N")))</f>
        <v>Unclassified</v>
      </c>
      <c r="U26" s="4" t="str" cm="1">
        <f t="array" ref="U26">IF(M26="", "Unclassified", IF(AND(SUMPRODUCT(--ISNUMBER(SEARCH(REF_Setup!$B$3:$B$40,M26)))&gt;0,SUMPRODUCT(--ISNUMBER(SEARCH(REF_Setup!$F$3:$F$15,M26)))&gt;0),"Mixed",IF(SUMPRODUCT(--ISNUMBER(SEARCH(REF_Setup!$B$3:$B$40,M26)))&gt;0,"Strategic Only",IF(SUMPRODUCT(--ISNUMBER(SEARCH(REF_Setup!$F$3:$F$15,M26)))&gt;0,"VC Only","Unclassified"))))</f>
        <v>Unclassified</v>
      </c>
    </row>
    <row r="27" spans="2:21" x14ac:dyDescent="0.35">
      <c r="B27" s="4">
        <f t="shared" si="2"/>
        <v>25</v>
      </c>
      <c r="C27" s="4" t="str">
        <f>IFERROR(_xlfn.XLOOKUP($B27,Raw_Data!$A$3:$A$273,Raw_Data!$B$3:$B$273),"")</f>
        <v>Biomason</v>
      </c>
      <c r="D27" s="4" t="str">
        <f>IFERROR(_xlfn.XLOOKUP($B27,Raw_Data!$A$3:$A$273,Raw_Data!$C$3:$C$273),"")</f>
        <v>Durham, NC</v>
      </c>
      <c r="E27" s="4">
        <f>IFERROR(_xlfn.XLOOKUP($B27,Raw_Data!$A$3:$A$273,Raw_Data!$D$3:$D$273),"")</f>
        <v>2012</v>
      </c>
      <c r="F27" s="4" t="str">
        <f>IFERROR(_xlfn.XLOOKUP($B27,Raw_Data!$A$3:$A$273,Raw_Data!$F$3:$F$273),"")</f>
        <v>Industrial Decarbonization</v>
      </c>
      <c r="G27" s="35">
        <f>IFERROR(_xlfn.XLOOKUP($B27,Raw_Data!$A$3:$A$273,Raw_Data!$J$3:$J$273),"")</f>
        <v>45645</v>
      </c>
      <c r="H27" s="16" t="s">
        <v>1467</v>
      </c>
      <c r="I27" s="36">
        <f>IFERROR(_xlfn.XLOOKUP($B27,Raw_Data!$A$3:$A$273,Raw_Data!$I$3:$I$273),"")</f>
        <v>132.88</v>
      </c>
      <c r="J27" s="36">
        <f>IFERROR(_xlfn.XLOOKUP($B27,Raw_Data!$A$3:$A$273,Raw_Data!$L$3:$L$273),"")</f>
        <v>16.7</v>
      </c>
      <c r="K27" s="36">
        <f>IFERROR(_xlfn.XLOOKUP($B27,Raw_Data!$A$3:$A$273,Raw_Data!$M$3:$M$273),"")</f>
        <v>186.67</v>
      </c>
      <c r="L27" s="15">
        <f>IFERROR(_xlfn.XLOOKUP($B27,Raw_Data!$A$3:$A$273,Raw_Data!$Q$3:$Q$273),"")</f>
        <v>0</v>
      </c>
      <c r="M27" s="34" t="str">
        <f>IFERROR(_xlfn.XLOOKUP($B27,Raw_Data!$A$3:$A$273,Raw_Data!$R$3:$R$273),"")</f>
        <v>2150; Celesta Capital; Noel Ventures; Novo Holdings</v>
      </c>
      <c r="N27" s="16" cm="1">
        <f t="array" ref="N27">IF(M27="",0,COUNTA(_xlfn._xlws.FILTER(_xlfn.TEXTSPLIT(M27,";"), _xlfn.TEXTSPLIT(M27,";")&lt;&gt;"")))</f>
        <v>4</v>
      </c>
      <c r="O27" s="16" t="str">
        <f t="shared" si="0"/>
        <v>Y</v>
      </c>
      <c r="P27" s="19">
        <f>IFERROR(_xlfn.XLOOKUP($B27,Raw_Data!$A$3:$A$273,Raw_Data!$V$3:$V$273),"")</f>
        <v>1</v>
      </c>
      <c r="Q27" s="16" t="str">
        <f t="shared" si="1"/>
        <v>Y</v>
      </c>
      <c r="R27" s="32">
        <f>IFERROR(_xlfn.XLOOKUP($B27,Raw_Data!$A$3:$A$273,Raw_Data!$Y$3:$Y$273),"")</f>
        <v>0.25</v>
      </c>
      <c r="S27" s="4" t="str" cm="1">
        <f t="array" ref="S27">_xlfn.LET(_xlpm.s, Raw_Data!W27,_xlpm.strat, _xlfn._xlws.FILTER(REF_Setup!$B$3:$B$40, REF_Setup!$B$3:$B$40&lt;&gt;""),IF(OR(_xlpm.s="",_xlpm.s=0),"Unclassified",IF(SUM(--ISNUMBER(SEARCH(_xlpm.strat, _xlpm.s)))&gt;0, "Y", "N"))
)</f>
        <v>N</v>
      </c>
      <c r="T27" s="4" t="str" cm="1">
        <f t="array" ref="T27">_xlfn.LET(_xlpm.s,M27,_xlpm.phil, _xlfn._xlws.FILTER(REF_Setup!$D$3:$D$5, REF_Setup!$D$3:$D$5&lt;&gt;""),IF(OR(_xlpm.s="", _xlpm.s=0),"Unclassified",IF(SUM(--ISNUMBER(SEARCH(_xlpm.phil, _xlpm.s)))&gt;0, "Y", "N")))</f>
        <v>N</v>
      </c>
      <c r="U27" s="4" t="str" cm="1">
        <f t="array" ref="U27">IF(M27="", "Unclassified", IF(AND(SUMPRODUCT(--ISNUMBER(SEARCH(REF_Setup!$B$3:$B$40,M27)))&gt;0,SUMPRODUCT(--ISNUMBER(SEARCH(REF_Setup!$F$3:$F$15,M27)))&gt;0),"Mixed",IF(SUMPRODUCT(--ISNUMBER(SEARCH(REF_Setup!$B$3:$B$40,M27)))&gt;0,"Strategic Only",IF(SUMPRODUCT(--ISNUMBER(SEARCH(REF_Setup!$F$3:$F$15,M27)))&gt;0,"VC Only","Unclassified"))))</f>
        <v>VC Only</v>
      </c>
    </row>
    <row r="28" spans="2:21" ht="29" x14ac:dyDescent="0.35">
      <c r="B28" s="4">
        <f t="shared" si="2"/>
        <v>26</v>
      </c>
      <c r="C28" s="4" t="str">
        <f>IFERROR(_xlfn.XLOOKUP($B28,Raw_Data!$A$3:$A$273,Raw_Data!$B$3:$B$273),"")</f>
        <v>Blue Frontier</v>
      </c>
      <c r="D28" s="4" t="str">
        <f>IFERROR(_xlfn.XLOOKUP($B28,Raw_Data!$A$3:$A$273,Raw_Data!$C$3:$C$273),"")</f>
        <v>Boca Raton, FL</v>
      </c>
      <c r="E28" s="4">
        <f>IFERROR(_xlfn.XLOOKUP($B28,Raw_Data!$A$3:$A$273,Raw_Data!$D$3:$D$273),"")</f>
        <v>2017</v>
      </c>
      <c r="F28" s="4" t="str">
        <f>IFERROR(_xlfn.XLOOKUP($B28,Raw_Data!$A$3:$A$273,Raw_Data!$F$3:$F$273),"")</f>
        <v>Buildings</v>
      </c>
      <c r="G28" s="35">
        <f>IFERROR(_xlfn.XLOOKUP($B28,Raw_Data!$A$3:$A$273,Raw_Data!$J$3:$J$273),"")</f>
        <v>45429</v>
      </c>
      <c r="H28" s="16" t="s">
        <v>1465</v>
      </c>
      <c r="I28" s="36">
        <f>IFERROR(_xlfn.XLOOKUP($B28,Raw_Data!$A$3:$A$273,Raw_Data!$I$3:$I$273),"")</f>
        <v>47.66</v>
      </c>
      <c r="J28" s="36">
        <f>IFERROR(_xlfn.XLOOKUP($B28,Raw_Data!$A$3:$A$273,Raw_Data!$L$3:$L$273),"")</f>
        <v>25.56</v>
      </c>
      <c r="K28" s="36">
        <f>IFERROR(_xlfn.XLOOKUP($B28,Raw_Data!$A$3:$A$273,Raw_Data!$M$3:$M$273),"")</f>
        <v>111.18</v>
      </c>
      <c r="L28" s="15">
        <f>IFERROR(_xlfn.XLOOKUP($B28,Raw_Data!$A$3:$A$273,Raw_Data!$Q$3:$Q$273),"")</f>
        <v>0</v>
      </c>
      <c r="M28" s="34" t="str">
        <f>IFERROR(_xlfn.XLOOKUP($B28,Raw_Data!$A$3:$A$273,Raw_Data!$R$3:$R$273),"")</f>
        <v>2150; Breakthrough Energy; Florida Opportunity Fund; Tech Square Ventures; Volo Earth Ventures</v>
      </c>
      <c r="N28" s="16" cm="1">
        <f t="array" ref="N28">IF(M28="",0,COUNTA(_xlfn._xlws.FILTER(_xlfn.TEXTSPLIT(M28,";"), _xlfn.TEXTSPLIT(M28,";")&lt;&gt;"")))</f>
        <v>5</v>
      </c>
      <c r="O28" s="16" t="str">
        <f t="shared" si="0"/>
        <v>Y</v>
      </c>
      <c r="P28" s="19">
        <f>IFERROR(_xlfn.XLOOKUP($B28,Raw_Data!$A$3:$A$273,Raw_Data!$V$3:$V$273),"")</f>
        <v>0.6</v>
      </c>
      <c r="Q28" s="16" t="str">
        <f t="shared" si="1"/>
        <v>Y</v>
      </c>
      <c r="R28" s="32">
        <f>IFERROR(_xlfn.XLOOKUP($B28,Raw_Data!$A$3:$A$273,Raw_Data!$Y$3:$Y$273),"")</f>
        <v>0.4</v>
      </c>
      <c r="S28" s="4" t="str" cm="1">
        <f t="array" ref="S28">_xlfn.LET(_xlpm.s, Raw_Data!W28,_xlpm.strat, _xlfn._xlws.FILTER(REF_Setup!$B$3:$B$40, REF_Setup!$B$3:$B$40&lt;&gt;""),IF(OR(_xlpm.s="",_xlpm.s=0),"Unclassified",IF(SUM(--ISNUMBER(SEARCH(_xlpm.strat, _xlpm.s)))&gt;0, "Y", "N"))
)</f>
        <v>N</v>
      </c>
      <c r="T28" s="4" t="str" cm="1">
        <f t="array" ref="T28">_xlfn.LET(_xlpm.s,M28,_xlpm.phil, _xlfn._xlws.FILTER(REF_Setup!$D$3:$D$5, REF_Setup!$D$3:$D$5&lt;&gt;""),IF(OR(_xlpm.s="", _xlpm.s=0),"Unclassified",IF(SUM(--ISNUMBER(SEARCH(_xlpm.phil, _xlpm.s)))&gt;0, "Y", "N")))</f>
        <v>N</v>
      </c>
      <c r="U28" s="4" t="str" cm="1">
        <f t="array" ref="U28">IF(M28="", "Unclassified", IF(AND(SUMPRODUCT(--ISNUMBER(SEARCH(REF_Setup!$B$3:$B$40,M28)))&gt;0,SUMPRODUCT(--ISNUMBER(SEARCH(REF_Setup!$F$3:$F$15,M28)))&gt;0),"Mixed",IF(SUMPRODUCT(--ISNUMBER(SEARCH(REF_Setup!$B$3:$B$40,M28)))&gt;0,"Strategic Only",IF(SUMPRODUCT(--ISNUMBER(SEARCH(REF_Setup!$F$3:$F$15,M28)))&gt;0,"VC Only","Unclassified"))))</f>
        <v>VC Only</v>
      </c>
    </row>
    <row r="29" spans="2:21" x14ac:dyDescent="0.35">
      <c r="B29" s="4">
        <f t="shared" si="2"/>
        <v>27</v>
      </c>
      <c r="C29" s="4" t="str">
        <f>IFERROR(_xlfn.XLOOKUP($B29,Raw_Data!$A$3:$A$273,Raw_Data!$B$3:$B$273),"")</f>
        <v>Brightmark</v>
      </c>
      <c r="D29" s="4" t="str">
        <f>IFERROR(_xlfn.XLOOKUP($B29,Raw_Data!$A$3:$A$273,Raw_Data!$C$3:$C$273),"")</f>
        <v>San Francisco, CA</v>
      </c>
      <c r="E29" s="4">
        <f>IFERROR(_xlfn.XLOOKUP($B29,Raw_Data!$A$3:$A$273,Raw_Data!$D$3:$D$273),"")</f>
        <v>2016</v>
      </c>
      <c r="F29" s="4" t="str">
        <f>IFERROR(_xlfn.XLOOKUP($B29,Raw_Data!$A$3:$A$273,Raw_Data!$F$3:$F$273),"")</f>
        <v>Industrial Decarbonization</v>
      </c>
      <c r="G29" s="35">
        <f>IFERROR(_xlfn.XLOOKUP($B29,Raw_Data!$A$3:$A$273,Raw_Data!$J$3:$J$273),"")</f>
        <v>42680</v>
      </c>
      <c r="H29" s="4" t="s">
        <v>75</v>
      </c>
      <c r="I29" s="36">
        <f>IFERROR(_xlfn.XLOOKUP($B29,Raw_Data!$A$3:$A$273,Raw_Data!$I$3:$I$273),"")</f>
        <v>250</v>
      </c>
      <c r="J29" s="36">
        <f>IFERROR(_xlfn.XLOOKUP($B29,Raw_Data!$A$3:$A$273,Raw_Data!$L$3:$L$273),"")</f>
        <v>250</v>
      </c>
      <c r="K29" s="36">
        <f>IFERROR(_xlfn.XLOOKUP($B29,Raw_Data!$A$3:$A$273,Raw_Data!$M$3:$M$273),"")</f>
        <v>0</v>
      </c>
      <c r="L29" s="15">
        <f>IFERROR(_xlfn.XLOOKUP($B29,Raw_Data!$A$3:$A$273,Raw_Data!$Q$3:$Q$273),"")</f>
        <v>0</v>
      </c>
      <c r="M29" s="34" t="str">
        <f>IFERROR(_xlfn.XLOOKUP($B29,Raw_Data!$A$3:$A$273,Raw_Data!$R$3:$R$273),"")</f>
        <v>Jackson Investment Group</v>
      </c>
      <c r="N29" s="16" cm="1">
        <f t="array" ref="N29">IF(M29="",0,COUNTA(_xlfn._xlws.FILTER(_xlfn.TEXTSPLIT(M29,";"), _xlfn.TEXTSPLIT(M29,";")&lt;&gt;"")))</f>
        <v>1</v>
      </c>
      <c r="O29" s="16" t="str">
        <f t="shared" si="0"/>
        <v>N</v>
      </c>
      <c r="P29" s="19">
        <f>IFERROR(_xlfn.XLOOKUP($B29,Raw_Data!$A$3:$A$273,Raw_Data!$V$3:$V$273),"")</f>
        <v>0</v>
      </c>
      <c r="Q29" s="16" t="str">
        <f t="shared" si="1"/>
        <v>Y</v>
      </c>
      <c r="R29" s="32">
        <f>IFERROR(_xlfn.XLOOKUP($B29,Raw_Data!$A$3:$A$273,Raw_Data!$Y$3:$Y$273),"")</f>
        <v>1</v>
      </c>
      <c r="S29" s="4" t="str" cm="1">
        <f t="array" ref="S29">_xlfn.LET(_xlpm.s, Raw_Data!W29,_xlpm.strat, _xlfn._xlws.FILTER(REF_Setup!$B$3:$B$40, REF_Setup!$B$3:$B$40&lt;&gt;""),IF(OR(_xlpm.s="",_xlpm.s=0),"Unclassified",IF(SUM(--ISNUMBER(SEARCH(_xlpm.strat, _xlpm.s)))&gt;0, "Y", "N"))
)</f>
        <v>N</v>
      </c>
      <c r="T29" s="4" t="str" cm="1">
        <f t="array" ref="T29">_xlfn.LET(_xlpm.s,M29,_xlpm.phil, _xlfn._xlws.FILTER(REF_Setup!$D$3:$D$5, REF_Setup!$D$3:$D$5&lt;&gt;""),IF(OR(_xlpm.s="", _xlpm.s=0),"Unclassified",IF(SUM(--ISNUMBER(SEARCH(_xlpm.phil, _xlpm.s)))&gt;0, "Y", "N")))</f>
        <v>N</v>
      </c>
      <c r="U29" s="4" t="str" cm="1">
        <f t="array" ref="U29">IF(M29="", "Unclassified", IF(AND(SUMPRODUCT(--ISNUMBER(SEARCH(REF_Setup!$B$3:$B$40,M29)))&gt;0,SUMPRODUCT(--ISNUMBER(SEARCH(REF_Setup!$F$3:$F$15,M29)))&gt;0),"Mixed",IF(SUMPRODUCT(--ISNUMBER(SEARCH(REF_Setup!$B$3:$B$40,M29)))&gt;0,"Strategic Only",IF(SUMPRODUCT(--ISNUMBER(SEARCH(REF_Setup!$F$3:$F$15,M29)))&gt;0,"VC Only","Unclassified"))))</f>
        <v>VC Only</v>
      </c>
    </row>
    <row r="30" spans="2:21" x14ac:dyDescent="0.35">
      <c r="B30" s="4">
        <f t="shared" si="2"/>
        <v>28</v>
      </c>
      <c r="C30" s="4" t="str">
        <f>IFERROR(_xlfn.XLOOKUP($B30,Raw_Data!$A$3:$A$273,Raw_Data!$B$3:$B$273),"")</f>
        <v>C-Power</v>
      </c>
      <c r="D30" s="4" t="str">
        <f>IFERROR(_xlfn.XLOOKUP($B30,Raw_Data!$A$3:$A$273,Raw_Data!$C$3:$C$273),"")</f>
        <v>Charlottesville, VA</v>
      </c>
      <c r="E30" s="4">
        <f>IFERROR(_xlfn.XLOOKUP($B30,Raw_Data!$A$3:$A$273,Raw_Data!$D$3:$D$273),"")</f>
        <v>2005</v>
      </c>
      <c r="F30" s="4" t="str">
        <f>IFERROR(_xlfn.XLOOKUP($B30,Raw_Data!$A$3:$A$273,Raw_Data!$F$3:$F$273),"")</f>
        <v>Renewables</v>
      </c>
      <c r="G30" s="35">
        <f>IFERROR(_xlfn.XLOOKUP($B30,Raw_Data!$A$3:$A$273,Raw_Data!$J$3:$J$273),"")</f>
        <v>44666</v>
      </c>
      <c r="H30" s="16" t="s">
        <v>1467</v>
      </c>
      <c r="I30" s="36">
        <f>IFERROR(_xlfn.XLOOKUP($B30,Raw_Data!$A$3:$A$273,Raw_Data!$I$3:$I$273),"")</f>
        <v>13.7</v>
      </c>
      <c r="J30" s="36">
        <f>IFERROR(_xlfn.XLOOKUP($B30,Raw_Data!$A$3:$A$273,Raw_Data!$L$3:$L$273),"")</f>
        <v>3.5</v>
      </c>
      <c r="K30" s="36">
        <f>IFERROR(_xlfn.XLOOKUP($B30,Raw_Data!$A$3:$A$273,Raw_Data!$M$3:$M$273),"")</f>
        <v>48</v>
      </c>
      <c r="L30" s="15">
        <f>IFERROR(_xlfn.XLOOKUP($B30,Raw_Data!$A$3:$A$273,Raw_Data!$Q$3:$Q$273),"")</f>
        <v>0</v>
      </c>
      <c r="M30" s="34"/>
      <c r="N30" s="16" cm="1">
        <f t="array" ref="N30">IF(M30="",0,COUNTA(_xlfn._xlws.FILTER(_xlfn.TEXTSPLIT(M30,";"), _xlfn.TEXTSPLIT(M30,";")&lt;&gt;"")))</f>
        <v>0</v>
      </c>
      <c r="O30" s="16" t="str">
        <f t="shared" si="0"/>
        <v>Y</v>
      </c>
      <c r="P30" s="19" t="str">
        <f>IFERROR(_xlfn.XLOOKUP($B30,Raw_Data!$A$3:$A$273,Raw_Data!$V$3:$V$273),"")</f>
        <v>N/A</v>
      </c>
      <c r="Q30" s="16" t="str">
        <f t="shared" si="1"/>
        <v>Y</v>
      </c>
      <c r="R30" s="32" t="str">
        <f>IFERROR(_xlfn.XLOOKUP($B30,Raw_Data!$A$3:$A$273,Raw_Data!$Y$3:$Y$273),"")</f>
        <v>N/A</v>
      </c>
      <c r="S30" s="4" t="str" cm="1">
        <f t="array" ref="S30">_xlfn.LET(_xlpm.s, Raw_Data!W30,_xlpm.strat, _xlfn._xlws.FILTER(REF_Setup!$B$3:$B$40, REF_Setup!$B$3:$B$40&lt;&gt;""),IF(OR(_xlpm.s="",_xlpm.s=0),"Unclassified",IF(SUM(--ISNUMBER(SEARCH(_xlpm.strat, _xlpm.s)))&gt;0, "Y", "N"))
)</f>
        <v>Unclassified</v>
      </c>
      <c r="T30" s="4" t="str" cm="1">
        <f t="array" ref="T30">_xlfn.LET(_xlpm.s,M30,_xlpm.phil, _xlfn._xlws.FILTER(REF_Setup!$D$3:$D$5, REF_Setup!$D$3:$D$5&lt;&gt;""),IF(OR(_xlpm.s="", _xlpm.s=0),"Unclassified",IF(SUM(--ISNUMBER(SEARCH(_xlpm.phil, _xlpm.s)))&gt;0, "Y", "N")))</f>
        <v>Unclassified</v>
      </c>
      <c r="U30" s="4" t="str" cm="1">
        <f t="array" ref="U30">IF(M30="", "Unclassified", IF(AND(SUMPRODUCT(--ISNUMBER(SEARCH(REF_Setup!$B$3:$B$40,M30)))&gt;0,SUMPRODUCT(--ISNUMBER(SEARCH(REF_Setup!$F$3:$F$15,M30)))&gt;0),"Mixed",IF(SUMPRODUCT(--ISNUMBER(SEARCH(REF_Setup!$B$3:$B$40,M30)))&gt;0,"Strategic Only",IF(SUMPRODUCT(--ISNUMBER(SEARCH(REF_Setup!$F$3:$F$15,M30)))&gt;0,"VC Only","Unclassified"))))</f>
        <v>Unclassified</v>
      </c>
    </row>
    <row r="31" spans="2:21" x14ac:dyDescent="0.35">
      <c r="B31" s="4">
        <f t="shared" si="2"/>
        <v>29</v>
      </c>
      <c r="C31" s="4" t="str">
        <f>IFERROR(_xlfn.XLOOKUP($B31,Raw_Data!$A$3:$A$273,Raw_Data!$B$3:$B$273),"")</f>
        <v>Cadenza Innovation</v>
      </c>
      <c r="D31" s="4" t="str">
        <f>IFERROR(_xlfn.XLOOKUP($B31,Raw_Data!$A$3:$A$273,Raw_Data!$C$3:$C$273),"")</f>
        <v>Danbury, CT</v>
      </c>
      <c r="E31" s="4">
        <f>IFERROR(_xlfn.XLOOKUP($B31,Raw_Data!$A$3:$A$273,Raw_Data!$D$3:$D$273),"")</f>
        <v>2012</v>
      </c>
      <c r="F31" s="4" t="str">
        <f>IFERROR(_xlfn.XLOOKUP($B31,Raw_Data!$A$3:$A$273,Raw_Data!$F$3:$F$273),"")</f>
        <v>LDES</v>
      </c>
      <c r="G31" s="35">
        <f>IFERROR(_xlfn.XLOOKUP($B31,Raw_Data!$A$3:$A$273,Raw_Data!$J$3:$J$273),"")</f>
        <v>43661</v>
      </c>
      <c r="H31" s="16" t="s">
        <v>1465</v>
      </c>
      <c r="I31" s="36">
        <f>IFERROR(_xlfn.XLOOKUP($B31,Raw_Data!$A$3:$A$273,Raw_Data!$I$3:$I$273),"")</f>
        <v>31.74</v>
      </c>
      <c r="J31" s="36">
        <f>IFERROR(_xlfn.XLOOKUP($B31,Raw_Data!$A$3:$A$273,Raw_Data!$L$3:$L$273),"")</f>
        <v>9</v>
      </c>
      <c r="K31" s="36">
        <f>IFERROR(_xlfn.XLOOKUP($B31,Raw_Data!$A$3:$A$273,Raw_Data!$M$3:$M$273),"")</f>
        <v>118</v>
      </c>
      <c r="L31" s="15">
        <f>IFERROR(_xlfn.XLOOKUP($B31,Raw_Data!$A$3:$A$273,Raw_Data!$Q$3:$Q$273),"")</f>
        <v>0</v>
      </c>
      <c r="M31" s="34" t="str">
        <f>IFERROR(_xlfn.XLOOKUP($B31,Raw_Data!$A$3:$A$273,Raw_Data!$R$3:$R$273),"")</f>
        <v>Connecticut Innovations; Daniel Hagedorn</v>
      </c>
      <c r="N31" s="16" cm="1">
        <f t="array" ref="N31">IF(M31="",0,COUNTA(_xlfn._xlws.FILTER(_xlfn.TEXTSPLIT(M31,";"), _xlfn.TEXTSPLIT(M31,";")&lt;&gt;"")))</f>
        <v>2</v>
      </c>
      <c r="O31" s="16" t="str">
        <f t="shared" si="0"/>
        <v>Y</v>
      </c>
      <c r="P31" s="19">
        <f>IFERROR(_xlfn.XLOOKUP($B31,Raw_Data!$A$3:$A$273,Raw_Data!$V$3:$V$273),"")</f>
        <v>1</v>
      </c>
      <c r="Q31" s="16" t="str">
        <f t="shared" si="1"/>
        <v>Y</v>
      </c>
      <c r="R31" s="32" t="str">
        <f>IFERROR(_xlfn.XLOOKUP($B31,Raw_Data!$A$3:$A$273,Raw_Data!$Y$3:$Y$273),"")</f>
        <v>N/A</v>
      </c>
      <c r="S31" s="4" t="str" cm="1">
        <f t="array" ref="S31">_xlfn.LET(_xlpm.s, Raw_Data!W31,_xlpm.strat, _xlfn._xlws.FILTER(REF_Setup!$B$3:$B$40, REF_Setup!$B$3:$B$40&lt;&gt;""),IF(OR(_xlpm.s="",_xlpm.s=0),"Unclassified",IF(SUM(--ISNUMBER(SEARCH(_xlpm.strat, _xlpm.s)))&gt;0, "Y", "N"))
)</f>
        <v>Unclassified</v>
      </c>
      <c r="T31" s="4" t="str" cm="1">
        <f t="array" ref="T31">_xlfn.LET(_xlpm.s,M31,_xlpm.phil, _xlfn._xlws.FILTER(REF_Setup!$D$3:$D$5, REF_Setup!$D$3:$D$5&lt;&gt;""),IF(OR(_xlpm.s="", _xlpm.s=0),"Unclassified",IF(SUM(--ISNUMBER(SEARCH(_xlpm.phil, _xlpm.s)))&gt;0, "Y", "N")))</f>
        <v>N</v>
      </c>
      <c r="U31" s="4" t="str" cm="1">
        <f t="array" ref="U31">IF(M31="", "Unclassified", IF(AND(SUMPRODUCT(--ISNUMBER(SEARCH(REF_Setup!$B$3:$B$40,M31)))&gt;0,SUMPRODUCT(--ISNUMBER(SEARCH(REF_Setup!$F$3:$F$15,M31)))&gt;0),"Mixed",IF(SUMPRODUCT(--ISNUMBER(SEARCH(REF_Setup!$B$3:$B$40,M31)))&gt;0,"Strategic Only",IF(SUMPRODUCT(--ISNUMBER(SEARCH(REF_Setup!$F$3:$F$15,M31)))&gt;0,"VC Only","Unclassified"))))</f>
        <v>Unclassified</v>
      </c>
    </row>
    <row r="32" spans="2:21" x14ac:dyDescent="0.35">
      <c r="B32" s="4">
        <f t="shared" si="2"/>
        <v>30</v>
      </c>
      <c r="C32" s="4" t="str">
        <f>IFERROR(_xlfn.XLOOKUP($B32,Raw_Data!$A$3:$A$273,Raw_Data!$B$3:$B$273),"")</f>
        <v>Caelux</v>
      </c>
      <c r="D32" s="4" t="str">
        <f>IFERROR(_xlfn.XLOOKUP($B32,Raw_Data!$A$3:$A$273,Raw_Data!$C$3:$C$273),"")</f>
        <v>Baldwin Park, CA</v>
      </c>
      <c r="E32" s="4">
        <f>IFERROR(_xlfn.XLOOKUP($B32,Raw_Data!$A$3:$A$273,Raw_Data!$D$3:$D$273),"")</f>
        <v>2014</v>
      </c>
      <c r="F32" s="4" t="str">
        <f>IFERROR(_xlfn.XLOOKUP($B32,Raw_Data!$A$3:$A$273,Raw_Data!$F$3:$F$273),"")</f>
        <v>Renewables</v>
      </c>
      <c r="G32" s="35">
        <f>IFERROR(_xlfn.XLOOKUP($B32,Raw_Data!$A$3:$A$273,Raw_Data!$J$3:$J$273),"")</f>
        <v>44741</v>
      </c>
      <c r="H32" s="16" t="s">
        <v>1465</v>
      </c>
      <c r="I32" s="36">
        <f>IFERROR(_xlfn.XLOOKUP($B32,Raw_Data!$A$3:$A$273,Raw_Data!$I$3:$I$273),"")</f>
        <v>18.100000000000001</v>
      </c>
      <c r="J32" s="36">
        <f>IFERROR(_xlfn.XLOOKUP($B32,Raw_Data!$A$3:$A$273,Raw_Data!$L$3:$L$273),"")</f>
        <v>12</v>
      </c>
      <c r="K32" s="36">
        <f>IFERROR(_xlfn.XLOOKUP($B32,Raw_Data!$A$3:$A$273,Raw_Data!$M$3:$M$273),"")</f>
        <v>60</v>
      </c>
      <c r="L32" s="15">
        <f>IFERROR(_xlfn.XLOOKUP($B32,Raw_Data!$A$3:$A$273,Raw_Data!$Q$3:$Q$273),"")</f>
        <v>0</v>
      </c>
      <c r="M32" s="34" t="str">
        <f>IFERROR(_xlfn.XLOOKUP($B32,Raw_Data!$A$3:$A$273,Raw_Data!$R$3:$R$273),"")</f>
        <v xml:space="preserve">Reliance Industries </v>
      </c>
      <c r="N32" s="16" cm="1">
        <f t="array" ref="N32">IF(M32="",0,COUNTA(_xlfn._xlws.FILTER(_xlfn.TEXTSPLIT(M32,";"), _xlfn.TEXTSPLIT(M32,";")&lt;&gt;"")))</f>
        <v>1</v>
      </c>
      <c r="O32" s="16" t="str">
        <f t="shared" si="0"/>
        <v>N</v>
      </c>
      <c r="P32" s="19">
        <f>IFERROR(_xlfn.XLOOKUP($B32,Raw_Data!$A$3:$A$273,Raw_Data!$V$3:$V$273),"")</f>
        <v>0</v>
      </c>
      <c r="Q32" s="16" t="str">
        <f t="shared" si="1"/>
        <v>Y</v>
      </c>
      <c r="R32" s="32">
        <f>IFERROR(_xlfn.XLOOKUP($B32,Raw_Data!$A$3:$A$273,Raw_Data!$Y$3:$Y$273),"")</f>
        <v>1</v>
      </c>
      <c r="S32" s="4" t="str" cm="1">
        <f t="array" ref="S32">_xlfn.LET(_xlpm.s, Raw_Data!W32,_xlpm.strat, _xlfn._xlws.FILTER(REF_Setup!$B$3:$B$40, REF_Setup!$B$3:$B$40&lt;&gt;""),IF(OR(_xlpm.s="",_xlpm.s=0),"Unclassified",IF(SUM(--ISNUMBER(SEARCH(_xlpm.strat, _xlpm.s)))&gt;0, "Y", "N"))
)</f>
        <v>N</v>
      </c>
      <c r="T32" s="4" t="str" cm="1">
        <f t="array" ref="T32">_xlfn.LET(_xlpm.s,M32,_xlpm.phil, _xlfn._xlws.FILTER(REF_Setup!$D$3:$D$5, REF_Setup!$D$3:$D$5&lt;&gt;""),IF(OR(_xlpm.s="", _xlpm.s=0),"Unclassified",IF(SUM(--ISNUMBER(SEARCH(_xlpm.phil, _xlpm.s)))&gt;0, "Y", "N")))</f>
        <v>N</v>
      </c>
      <c r="U32" s="4" t="str" cm="1">
        <f t="array" ref="U32">IF(M32="", "Unclassified", IF(AND(SUMPRODUCT(--ISNUMBER(SEARCH(REF_Setup!$B$3:$B$40,M32)))&gt;0,SUMPRODUCT(--ISNUMBER(SEARCH(REF_Setup!$F$3:$F$15,M32)))&gt;0),"Mixed",IF(SUMPRODUCT(--ISNUMBER(SEARCH(REF_Setup!$B$3:$B$40,M32)))&gt;0,"Strategic Only",IF(SUMPRODUCT(--ISNUMBER(SEARCH(REF_Setup!$F$3:$F$15,M32)))&gt;0,"VC Only","Unclassified"))))</f>
        <v>Unclassified</v>
      </c>
    </row>
    <row r="33" spans="2:21" x14ac:dyDescent="0.35">
      <c r="B33" s="4">
        <f t="shared" si="2"/>
        <v>31</v>
      </c>
      <c r="C33" s="4" t="str">
        <f>IFERROR(_xlfn.XLOOKUP($B33,Raw_Data!$A$3:$A$273,Raw_Data!$B$3:$B$273),"")</f>
        <v>Caelux</v>
      </c>
      <c r="D33" s="4" t="str">
        <f>IFERROR(_xlfn.XLOOKUP($B33,Raw_Data!$A$3:$A$273,Raw_Data!$C$3:$C$273),"")</f>
        <v>Baldwin Park, CA</v>
      </c>
      <c r="E33" s="4">
        <f>IFERROR(_xlfn.XLOOKUP($B33,Raw_Data!$A$3:$A$273,Raw_Data!$D$3:$D$273),"")</f>
        <v>2014</v>
      </c>
      <c r="F33" s="4" t="str">
        <f>IFERROR(_xlfn.XLOOKUP($B33,Raw_Data!$A$3:$A$273,Raw_Data!$F$3:$F$273),"")</f>
        <v>Renewables</v>
      </c>
      <c r="G33" s="35">
        <f>IFERROR(_xlfn.XLOOKUP($B33,Raw_Data!$A$3:$A$273,Raw_Data!$J$3:$J$273),"")</f>
        <v>44833</v>
      </c>
      <c r="H33" s="16" t="s">
        <v>1465</v>
      </c>
      <c r="I33" s="36">
        <f>IFERROR(_xlfn.XLOOKUP($B33,Raw_Data!$A$3:$A$273,Raw_Data!$I$3:$I$273),"")</f>
        <v>32.1</v>
      </c>
      <c r="J33" s="36">
        <f>IFERROR(_xlfn.XLOOKUP($B33,Raw_Data!$A$3:$A$273,Raw_Data!$L$3:$L$273),"")</f>
        <v>14</v>
      </c>
      <c r="K33" s="36">
        <f>IFERROR(_xlfn.XLOOKUP($B33,Raw_Data!$A$3:$A$273,Raw_Data!$M$3:$M$273),"")</f>
        <v>60</v>
      </c>
      <c r="L33" s="15">
        <f>IFERROR(_xlfn.XLOOKUP($B33,Raw_Data!$A$3:$A$273,Raw_Data!$Q$3:$Q$273),"")</f>
        <v>0</v>
      </c>
      <c r="M33" s="34" t="str">
        <f>IFERROR(_xlfn.XLOOKUP($B33,Raw_Data!$A$3:$A$273,Raw_Data!$R$3:$R$273),"")</f>
        <v>Khosla Ventures</v>
      </c>
      <c r="N33" s="16" cm="1">
        <f t="array" ref="N33">IF(M33="",0,COUNTA(_xlfn._xlws.FILTER(_xlfn.TEXTSPLIT(M33,";"), _xlfn.TEXTSPLIT(M33,";")&lt;&gt;"")))</f>
        <v>1</v>
      </c>
      <c r="O33" s="16" t="str">
        <f t="shared" si="0"/>
        <v>Y</v>
      </c>
      <c r="P33" s="19">
        <f>IFERROR(_xlfn.XLOOKUP($B33,Raw_Data!$A$3:$A$273,Raw_Data!$V$3:$V$273),"")</f>
        <v>1</v>
      </c>
      <c r="Q33" s="16" t="str">
        <f t="shared" si="1"/>
        <v>Y</v>
      </c>
      <c r="R33" s="32" t="str">
        <f>IFERROR(_xlfn.XLOOKUP($B33,Raw_Data!$A$3:$A$273,Raw_Data!$Y$3:$Y$273),"")</f>
        <v>N/A</v>
      </c>
      <c r="S33" s="4" t="str" cm="1">
        <f t="array" ref="S33">_xlfn.LET(_xlpm.s, Raw_Data!W33,_xlpm.strat, _xlfn._xlws.FILTER(REF_Setup!$B$3:$B$40, REF_Setup!$B$3:$B$40&lt;&gt;""),IF(OR(_xlpm.s="",_xlpm.s=0),"Unclassified",IF(SUM(--ISNUMBER(SEARCH(_xlpm.strat, _xlpm.s)))&gt;0, "Y", "N"))
)</f>
        <v>Unclassified</v>
      </c>
      <c r="T33" s="4" t="str" cm="1">
        <f t="array" ref="T33">_xlfn.LET(_xlpm.s,M33,_xlpm.phil, _xlfn._xlws.FILTER(REF_Setup!$D$3:$D$5, REF_Setup!$D$3:$D$5&lt;&gt;""),IF(OR(_xlpm.s="", _xlpm.s=0),"Unclassified",IF(SUM(--ISNUMBER(SEARCH(_xlpm.phil, _xlpm.s)))&gt;0, "Y", "N")))</f>
        <v>N</v>
      </c>
      <c r="U33" s="4" t="str" cm="1">
        <f t="array" ref="U33">IF(M33="", "Unclassified", IF(AND(SUMPRODUCT(--ISNUMBER(SEARCH(REF_Setup!$B$3:$B$40,M33)))&gt;0,SUMPRODUCT(--ISNUMBER(SEARCH(REF_Setup!$F$3:$F$15,M33)))&gt;0),"Mixed",IF(SUMPRODUCT(--ISNUMBER(SEARCH(REF_Setup!$B$3:$B$40,M33)))&gt;0,"Strategic Only",IF(SUMPRODUCT(--ISNUMBER(SEARCH(REF_Setup!$F$3:$F$15,M33)))&gt;0,"VC Only","Unclassified"))))</f>
        <v>VC Only</v>
      </c>
    </row>
    <row r="34" spans="2:21" ht="29" x14ac:dyDescent="0.35">
      <c r="B34" s="4">
        <f t="shared" si="2"/>
        <v>32</v>
      </c>
      <c r="C34" s="4" t="str">
        <f>IFERROR(_xlfn.XLOOKUP($B34,Raw_Data!$A$3:$A$273,Raw_Data!$B$3:$B$273),"")</f>
        <v>Caelux</v>
      </c>
      <c r="D34" s="4" t="str">
        <f>IFERROR(_xlfn.XLOOKUP($B34,Raw_Data!$A$3:$A$273,Raw_Data!$C$3:$C$273),"")</f>
        <v>Baldwin Park, CA</v>
      </c>
      <c r="E34" s="4">
        <f>IFERROR(_xlfn.XLOOKUP($B34,Raw_Data!$A$3:$A$273,Raw_Data!$D$3:$D$273),"")</f>
        <v>2014</v>
      </c>
      <c r="F34" s="4" t="str">
        <f>IFERROR(_xlfn.XLOOKUP($B34,Raw_Data!$A$3:$A$273,Raw_Data!$F$3:$F$273),"")</f>
        <v>Renewables</v>
      </c>
      <c r="G34" s="35">
        <f>IFERROR(_xlfn.XLOOKUP($B34,Raw_Data!$A$3:$A$273,Raw_Data!$J$3:$J$273),"")</f>
        <v>45141</v>
      </c>
      <c r="H34" s="16" t="s">
        <v>1465</v>
      </c>
      <c r="I34" s="36">
        <f>IFERROR(_xlfn.XLOOKUP($B34,Raw_Data!$A$3:$A$273,Raw_Data!$I$3:$I$273),"")</f>
        <v>44.1</v>
      </c>
      <c r="J34" s="36">
        <f>IFERROR(_xlfn.XLOOKUP($B34,Raw_Data!$A$3:$A$273,Raw_Data!$L$3:$L$273),"")</f>
        <v>12</v>
      </c>
      <c r="K34" s="36">
        <f>IFERROR(_xlfn.XLOOKUP($B34,Raw_Data!$A$3:$A$273,Raw_Data!$M$3:$M$273),"")</f>
        <v>95</v>
      </c>
      <c r="L34" s="15">
        <f>IFERROR(_xlfn.XLOOKUP($B34,Raw_Data!$A$3:$A$273,Raw_Data!$Q$3:$Q$273),"")</f>
        <v>0</v>
      </c>
      <c r="M34" s="34" t="str">
        <f>IFERROR(_xlfn.XLOOKUP($B34,Raw_Data!$A$3:$A$273,Raw_Data!$R$3:$R$273),"")</f>
        <v>31 Ventures; F-Prime Capital; Global Brain; Khosla Ventures; Mitsui Fudosan; NextEra Energy; Reliance Industries; Temasek Holdins</v>
      </c>
      <c r="N34" s="16" cm="1">
        <f t="array" ref="N34">IF(M34="",0,COUNTA(_xlfn._xlws.FILTER(_xlfn.TEXTSPLIT(M34,";"), _xlfn.TEXTSPLIT(M34,";")&lt;&gt;"")))</f>
        <v>8</v>
      </c>
      <c r="O34" s="16" t="str">
        <f t="shared" si="0"/>
        <v>Y</v>
      </c>
      <c r="P34" s="19">
        <f>IFERROR(_xlfn.XLOOKUP($B34,Raw_Data!$A$3:$A$273,Raw_Data!$V$3:$V$273),"")</f>
        <v>0.25</v>
      </c>
      <c r="Q34" s="16" t="str">
        <f t="shared" si="1"/>
        <v>Y</v>
      </c>
      <c r="R34" s="32">
        <f>IFERROR(_xlfn.XLOOKUP($B34,Raw_Data!$A$3:$A$273,Raw_Data!$Y$3:$Y$273),"")</f>
        <v>0.75</v>
      </c>
      <c r="S34" s="4" t="str" cm="1">
        <f t="array" ref="S34">_xlfn.LET(_xlpm.s, Raw_Data!W34,_xlpm.strat, _xlfn._xlws.FILTER(REF_Setup!$B$3:$B$40, REF_Setup!$B$3:$B$40&lt;&gt;""),IF(OR(_xlpm.s="",_xlpm.s=0),"Unclassified",IF(SUM(--ISNUMBER(SEARCH(_xlpm.strat, _xlpm.s)))&gt;0, "Y", "N"))
)</f>
        <v>Y</v>
      </c>
      <c r="T34" s="4" t="str" cm="1">
        <f t="array" ref="T34">_xlfn.LET(_xlpm.s,M34,_xlpm.phil, _xlfn._xlws.FILTER(REF_Setup!$D$3:$D$5, REF_Setup!$D$3:$D$5&lt;&gt;""),IF(OR(_xlpm.s="", _xlpm.s=0),"Unclassified",IF(SUM(--ISNUMBER(SEARCH(_xlpm.phil, _xlpm.s)))&gt;0, "Y", "N")))</f>
        <v>N</v>
      </c>
      <c r="U34" s="4" t="str" cm="1">
        <f t="array" ref="U34">IF(M34="", "Unclassified", IF(AND(SUMPRODUCT(--ISNUMBER(SEARCH(REF_Setup!$B$3:$B$40,M34)))&gt;0,SUMPRODUCT(--ISNUMBER(SEARCH(REF_Setup!$F$3:$F$15,M34)))&gt;0),"Mixed",IF(SUMPRODUCT(--ISNUMBER(SEARCH(REF_Setup!$B$3:$B$40,M34)))&gt;0,"Strategic Only",IF(SUMPRODUCT(--ISNUMBER(SEARCH(REF_Setup!$F$3:$F$15,M34)))&gt;0,"VC Only","Unclassified"))))</f>
        <v>Mixed</v>
      </c>
    </row>
    <row r="35" spans="2:21" ht="43.5" x14ac:dyDescent="0.35">
      <c r="B35" s="4">
        <f t="shared" si="2"/>
        <v>33</v>
      </c>
      <c r="C35" s="4" t="str">
        <f>IFERROR(_xlfn.XLOOKUP($B35,Raw_Data!$A$3:$A$273,Raw_Data!$B$3:$B$273),"")</f>
        <v>Calicat</v>
      </c>
      <c r="D35" s="4" t="str">
        <f>IFERROR(_xlfn.XLOOKUP($B35,Raw_Data!$A$3:$A$273,Raw_Data!$C$3:$C$273),"")</f>
        <v>Chatsworth, CA</v>
      </c>
      <c r="E35" s="4">
        <f>IFERROR(_xlfn.XLOOKUP($B35,Raw_Data!$A$3:$A$273,Raw_Data!$D$3:$D$273),"")</f>
        <v>2021</v>
      </c>
      <c r="F35" s="4" t="str">
        <f>IFERROR(_xlfn.XLOOKUP($B35,Raw_Data!$A$3:$A$273,Raw_Data!$F$3:$F$273),"")</f>
        <v>Hydrogen</v>
      </c>
      <c r="G35" s="35">
        <f>IFERROR(_xlfn.XLOOKUP($B35,Raw_Data!$A$3:$A$273,Raw_Data!$J$3:$J$273),"")</f>
        <v>45474</v>
      </c>
      <c r="H35" s="16" t="s">
        <v>1465</v>
      </c>
      <c r="I35" s="36">
        <f>IFERROR(_xlfn.XLOOKUP($B35,Raw_Data!$A$3:$A$273,Raw_Data!$I$3:$I$273),"")</f>
        <v>14</v>
      </c>
      <c r="J35" s="36">
        <f>IFERROR(_xlfn.XLOOKUP($B35,Raw_Data!$A$3:$A$273,Raw_Data!$L$3:$L$273),"")</f>
        <v>3</v>
      </c>
      <c r="K35" s="36">
        <f>IFERROR(_xlfn.XLOOKUP($B35,Raw_Data!$A$3:$A$273,Raw_Data!$M$3:$M$273),"")</f>
        <v>0</v>
      </c>
      <c r="L35" s="15">
        <f>IFERROR(_xlfn.XLOOKUP($B35,Raw_Data!$A$3:$A$273,Raw_Data!$Q$3:$Q$273),"")</f>
        <v>0</v>
      </c>
      <c r="M35" s="34" t="str">
        <f>IFERROR(_xlfn.XLOOKUP($B35,Raw_Data!$A$3:$A$273,Raw_Data!$R$3:$R$273),"")</f>
        <v>Acario Innovation; Dolby Family Ventures; Freeflow Ventures; Hess; Jericho Energy Ventures; MOL Switch; Motus Ventures; Tokyo Gas; TSV Capital; Volo Earth Ventures</v>
      </c>
      <c r="N35" s="16" cm="1">
        <f t="array" ref="N35">IF(M35="",0,COUNTA(_xlfn._xlws.FILTER(_xlfn.TEXTSPLIT(M35,";"), _xlfn.TEXTSPLIT(M35,";")&lt;&gt;"")))</f>
        <v>10</v>
      </c>
      <c r="O35" s="16" t="str">
        <f t="shared" si="0"/>
        <v>Y</v>
      </c>
      <c r="P35" s="19">
        <f>IFERROR(_xlfn.XLOOKUP($B35,Raw_Data!$A$3:$A$273,Raw_Data!$V$3:$V$273),"")</f>
        <v>0.7</v>
      </c>
      <c r="Q35" s="16" t="str">
        <f t="shared" si="1"/>
        <v>Y</v>
      </c>
      <c r="R35" s="32">
        <f>IFERROR(_xlfn.XLOOKUP($B35,Raw_Data!$A$3:$A$273,Raw_Data!$Y$3:$Y$273),"")</f>
        <v>0.3</v>
      </c>
      <c r="S35" s="4" t="str" cm="1">
        <f t="array" ref="S35">_xlfn.LET(_xlpm.s, Raw_Data!W35,_xlpm.strat, _xlfn._xlws.FILTER(REF_Setup!$B$3:$B$40, REF_Setup!$B$3:$B$40&lt;&gt;""),IF(OR(_xlpm.s="",_xlpm.s=0),"Unclassified",IF(SUM(--ISNUMBER(SEARCH(_xlpm.strat, _xlpm.s)))&gt;0, "Y", "N"))
)</f>
        <v>N</v>
      </c>
      <c r="T35" s="4" t="str" cm="1">
        <f t="array" ref="T35">_xlfn.LET(_xlpm.s,M35,_xlpm.phil, _xlfn._xlws.FILTER(REF_Setup!$D$3:$D$5, REF_Setup!$D$3:$D$5&lt;&gt;""),IF(OR(_xlpm.s="", _xlpm.s=0),"Unclassified",IF(SUM(--ISNUMBER(SEARCH(_xlpm.phil, _xlpm.s)))&gt;0, "Y", "N")))</f>
        <v>N</v>
      </c>
      <c r="U35" s="4" t="str" cm="1">
        <f t="array" ref="U35">IF(M35="", "Unclassified", IF(AND(SUMPRODUCT(--ISNUMBER(SEARCH(REF_Setup!$B$3:$B$40,M35)))&gt;0,SUMPRODUCT(--ISNUMBER(SEARCH(REF_Setup!$F$3:$F$15,M35)))&gt;0),"Mixed",IF(SUMPRODUCT(--ISNUMBER(SEARCH(REF_Setup!$B$3:$B$40,M35)))&gt;0,"Strategic Only",IF(SUMPRODUCT(--ISNUMBER(SEARCH(REF_Setup!$F$3:$F$15,M35)))&gt;0,"VC Only","Unclassified"))))</f>
        <v>VC Only</v>
      </c>
    </row>
    <row r="36" spans="2:21" x14ac:dyDescent="0.35">
      <c r="B36" s="4">
        <f t="shared" si="2"/>
        <v>34</v>
      </c>
      <c r="C36" s="4" t="str">
        <f>IFERROR(_xlfn.XLOOKUP($B36,Raw_Data!$A$3:$A$273,Raw_Data!$B$3:$B$273),"")</f>
        <v>California Bioenergy</v>
      </c>
      <c r="D36" s="4" t="str">
        <f>IFERROR(_xlfn.XLOOKUP($B36,Raw_Data!$A$3:$A$273,Raw_Data!$C$3:$C$273),"")</f>
        <v>Visalia, CA</v>
      </c>
      <c r="E36" s="4">
        <f>IFERROR(_xlfn.XLOOKUP($B36,Raw_Data!$A$3:$A$273,Raw_Data!$D$3:$D$273),"")</f>
        <v>2006</v>
      </c>
      <c r="F36" s="4" t="str">
        <f>IFERROR(_xlfn.XLOOKUP($B36,Raw_Data!$A$3:$A$273,Raw_Data!$F$3:$F$273),"")</f>
        <v>Renewables</v>
      </c>
      <c r="G36" s="35">
        <f>IFERROR(_xlfn.XLOOKUP($B36,Raw_Data!$A$3:$A$273,Raw_Data!$J$3:$J$273),"")</f>
        <v>44917</v>
      </c>
      <c r="H36" s="4" t="s">
        <v>75</v>
      </c>
      <c r="I36" s="36">
        <f>IFERROR(_xlfn.XLOOKUP($B36,Raw_Data!$A$3:$A$273,Raw_Data!$I$3:$I$273),"")</f>
        <v>506</v>
      </c>
      <c r="J36" s="36">
        <f>IFERROR(_xlfn.XLOOKUP($B36,Raw_Data!$A$3:$A$273,Raw_Data!$L$3:$L$273),"")</f>
        <v>500</v>
      </c>
      <c r="K36" s="36">
        <f>IFERROR(_xlfn.XLOOKUP($B36,Raw_Data!$A$3:$A$273,Raw_Data!$M$3:$M$273),"")</f>
        <v>0</v>
      </c>
      <c r="L36" s="15">
        <f>IFERROR(_xlfn.XLOOKUP($B36,Raw_Data!$A$3:$A$273,Raw_Data!$Q$3:$Q$273),"")</f>
        <v>0</v>
      </c>
      <c r="M36" s="34" t="str">
        <f>IFERROR(_xlfn.XLOOKUP($B36,Raw_Data!$A$3:$A$273,Raw_Data!$R$3:$R$273),"")</f>
        <v>Brookfield Corporation</v>
      </c>
      <c r="N36" s="16" cm="1">
        <f t="array" ref="N36">IF(M36="",0,COUNTA(_xlfn._xlws.FILTER(_xlfn.TEXTSPLIT(M36,";"), _xlfn.TEXTSPLIT(M36,";")&lt;&gt;"")))</f>
        <v>1</v>
      </c>
      <c r="O36" s="16" t="str">
        <f t="shared" si="0"/>
        <v>N</v>
      </c>
      <c r="P36" s="19">
        <f>IFERROR(_xlfn.XLOOKUP($B36,Raw_Data!$A$3:$A$273,Raw_Data!$V$3:$V$273),"")</f>
        <v>0</v>
      </c>
      <c r="Q36" s="16" t="str">
        <f t="shared" si="1"/>
        <v>Y</v>
      </c>
      <c r="R36" s="32">
        <f>IFERROR(_xlfn.XLOOKUP($B36,Raw_Data!$A$3:$A$273,Raw_Data!$Y$3:$Y$273),"")</f>
        <v>1</v>
      </c>
      <c r="S36" s="4" t="str" cm="1">
        <f t="array" ref="S36">_xlfn.LET(_xlpm.s, Raw_Data!W36,_xlpm.strat, _xlfn._xlws.FILTER(REF_Setup!$B$3:$B$40, REF_Setup!$B$3:$B$40&lt;&gt;""),IF(OR(_xlpm.s="",_xlpm.s=0),"Unclassified",IF(SUM(--ISNUMBER(SEARCH(_xlpm.strat, _xlpm.s)))&gt;0, "Y", "N"))
)</f>
        <v>N</v>
      </c>
      <c r="T36" s="4" t="str" cm="1">
        <f t="array" ref="T36">_xlfn.LET(_xlpm.s,M36,_xlpm.phil, _xlfn._xlws.FILTER(REF_Setup!$D$3:$D$5, REF_Setup!$D$3:$D$5&lt;&gt;""),IF(OR(_xlpm.s="", _xlpm.s=0),"Unclassified",IF(SUM(--ISNUMBER(SEARCH(_xlpm.phil, _xlpm.s)))&gt;0, "Y", "N")))</f>
        <v>N</v>
      </c>
      <c r="U36" s="4" t="str" cm="1">
        <f t="array" ref="U36">IF(M36="", "Unclassified", IF(AND(SUMPRODUCT(--ISNUMBER(SEARCH(REF_Setup!$B$3:$B$40,M36)))&gt;0,SUMPRODUCT(--ISNUMBER(SEARCH(REF_Setup!$F$3:$F$15,M36)))&gt;0),"Mixed",IF(SUMPRODUCT(--ISNUMBER(SEARCH(REF_Setup!$B$3:$B$40,M36)))&gt;0,"Strategic Only",IF(SUMPRODUCT(--ISNUMBER(SEARCH(REF_Setup!$F$3:$F$15,M36)))&gt;0,"VC Only","Unclassified"))))</f>
        <v>Unclassified</v>
      </c>
    </row>
    <row r="37" spans="2:21" x14ac:dyDescent="0.35">
      <c r="B37" s="4">
        <f t="shared" si="2"/>
        <v>35</v>
      </c>
      <c r="C37" s="4" t="str">
        <f>IFERROR(_xlfn.XLOOKUP($B37,Raw_Data!$A$3:$A$273,Raw_Data!$B$3:$B$273),"")</f>
        <v>California Bioenergy</v>
      </c>
      <c r="D37" s="4" t="str">
        <f>IFERROR(_xlfn.XLOOKUP($B37,Raw_Data!$A$3:$A$273,Raw_Data!$C$3:$C$273),"")</f>
        <v>Visalia, CA</v>
      </c>
      <c r="E37" s="4">
        <f>IFERROR(_xlfn.XLOOKUP($B37,Raw_Data!$A$3:$A$273,Raw_Data!$D$3:$D$273),"")</f>
        <v>2006</v>
      </c>
      <c r="F37" s="4" t="str">
        <f>IFERROR(_xlfn.XLOOKUP($B37,Raw_Data!$A$3:$A$273,Raw_Data!$F$3:$F$273),"")</f>
        <v>Renewables</v>
      </c>
      <c r="G37" s="35">
        <f>IFERROR(_xlfn.XLOOKUP($B37,Raw_Data!$A$3:$A$273,Raw_Data!$J$3:$J$273),"")</f>
        <v>45536</v>
      </c>
      <c r="H37" s="4" t="s">
        <v>75</v>
      </c>
      <c r="I37" s="36">
        <f>IFERROR(_xlfn.XLOOKUP($B37,Raw_Data!$A$3:$A$273,Raw_Data!$I$3:$I$273),"")</f>
        <v>506</v>
      </c>
      <c r="J37" s="36">
        <f>IFERROR(_xlfn.XLOOKUP($B37,Raw_Data!$A$3:$A$273,Raw_Data!$L$3:$L$273),"")</f>
        <v>0</v>
      </c>
      <c r="K37" s="36">
        <f>IFERROR(_xlfn.XLOOKUP($B37,Raw_Data!$A$3:$A$273,Raw_Data!$M$3:$M$273),"")</f>
        <v>0</v>
      </c>
      <c r="L37" s="15" t="str">
        <f>IFERROR(_xlfn.XLOOKUP($B37,Raw_Data!$A$3:$A$273,Raw_Data!$Q$3:$Q$273),"")</f>
        <v>N/A</v>
      </c>
      <c r="M37" s="34" t="str">
        <f>IFERROR(_xlfn.XLOOKUP($B37,Raw_Data!$A$3:$A$273,Raw_Data!$R$3:$R$273),"")</f>
        <v>Broadscale Group</v>
      </c>
      <c r="N37" s="16" cm="1">
        <f t="array" ref="N37">IF(M37="",0,COUNTA(_xlfn._xlws.FILTER(_xlfn.TEXTSPLIT(M37,";"), _xlfn.TEXTSPLIT(M37,";")&lt;&gt;"")))</f>
        <v>1</v>
      </c>
      <c r="O37" s="16" t="str">
        <f t="shared" si="0"/>
        <v>N</v>
      </c>
      <c r="P37" s="19">
        <f>IFERROR(_xlfn.XLOOKUP($B37,Raw_Data!$A$3:$A$273,Raw_Data!$V$3:$V$273),"")</f>
        <v>0</v>
      </c>
      <c r="Q37" s="16" t="str">
        <f t="shared" si="1"/>
        <v>Y</v>
      </c>
      <c r="R37" s="32">
        <f>IFERROR(_xlfn.XLOOKUP($B37,Raw_Data!$A$3:$A$273,Raw_Data!$Y$3:$Y$273),"")</f>
        <v>1</v>
      </c>
      <c r="S37" s="4" t="str" cm="1">
        <f t="array" ref="S37">_xlfn.LET(_xlpm.s, Raw_Data!W37,_xlpm.strat, _xlfn._xlws.FILTER(REF_Setup!$B$3:$B$40, REF_Setup!$B$3:$B$40&lt;&gt;""),IF(OR(_xlpm.s="",_xlpm.s=0),"Unclassified",IF(SUM(--ISNUMBER(SEARCH(_xlpm.strat, _xlpm.s)))&gt;0, "Y", "N"))
)</f>
        <v>N</v>
      </c>
      <c r="T37" s="4" t="str" cm="1">
        <f t="array" ref="T37">_xlfn.LET(_xlpm.s,M37,_xlpm.phil, _xlfn._xlws.FILTER(REF_Setup!$D$3:$D$5, REF_Setup!$D$3:$D$5&lt;&gt;""),IF(OR(_xlpm.s="", _xlpm.s=0),"Unclassified",IF(SUM(--ISNUMBER(SEARCH(_xlpm.phil, _xlpm.s)))&gt;0, "Y", "N")))</f>
        <v>N</v>
      </c>
      <c r="U37" s="4" t="str" cm="1">
        <f t="array" ref="U37">IF(M37="", "Unclassified", IF(AND(SUMPRODUCT(--ISNUMBER(SEARCH(REF_Setup!$B$3:$B$40,M37)))&gt;0,SUMPRODUCT(--ISNUMBER(SEARCH(REF_Setup!$F$3:$F$15,M37)))&gt;0),"Mixed",IF(SUMPRODUCT(--ISNUMBER(SEARCH(REF_Setup!$B$3:$B$40,M37)))&gt;0,"Strategic Only",IF(SUMPRODUCT(--ISNUMBER(SEARCH(REF_Setup!$F$3:$F$15,M37)))&gt;0,"VC Only","Unclassified"))))</f>
        <v>VC Only</v>
      </c>
    </row>
    <row r="38" spans="2:21" x14ac:dyDescent="0.35">
      <c r="B38" s="4">
        <f t="shared" si="2"/>
        <v>36</v>
      </c>
      <c r="C38" s="4" t="str">
        <f>IFERROR(_xlfn.XLOOKUP($B38,Raw_Data!$A$3:$A$273,Raw_Data!$B$3:$B$273),"")</f>
        <v>Cambrian Innovation</v>
      </c>
      <c r="D38" s="4" t="str">
        <f>IFERROR(_xlfn.XLOOKUP($B38,Raw_Data!$A$3:$A$273,Raw_Data!$C$3:$C$273),"")</f>
        <v>Wa tertown MA</v>
      </c>
      <c r="E38" s="4">
        <f>IFERROR(_xlfn.XLOOKUP($B38,Raw_Data!$A$3:$A$273,Raw_Data!$D$3:$D$273),"")</f>
        <v>2006</v>
      </c>
      <c r="F38" s="4" t="str">
        <f>IFERROR(_xlfn.XLOOKUP($B38,Raw_Data!$A$3:$A$273,Raw_Data!$F$3:$F$273),"")</f>
        <v>Industrial Decarbonization</v>
      </c>
      <c r="G38" s="35">
        <f>IFERROR(_xlfn.XLOOKUP($B38,Raw_Data!$A$3:$A$273,Raw_Data!$J$3:$J$273),"")</f>
        <v>42548</v>
      </c>
      <c r="H38" s="16" t="s">
        <v>1465</v>
      </c>
      <c r="I38" s="36">
        <f>IFERROR(_xlfn.XLOOKUP($B38,Raw_Data!$A$3:$A$273,Raw_Data!$I$3:$I$273),"")</f>
        <v>10.59</v>
      </c>
      <c r="J38" s="36">
        <f>IFERROR(_xlfn.XLOOKUP($B38,Raw_Data!$A$3:$A$273,Raw_Data!$L$3:$L$273),"")</f>
        <v>6.7</v>
      </c>
      <c r="K38" s="36">
        <f>IFERROR(_xlfn.XLOOKUP($B38,Raw_Data!$A$3:$A$273,Raw_Data!$M$3:$M$273),"")</f>
        <v>19.7</v>
      </c>
      <c r="L38" s="15">
        <f>IFERROR(_xlfn.XLOOKUP($B38,Raw_Data!$A$3:$A$273,Raw_Data!$Q$3:$Q$273),"")</f>
        <v>0.74626865671641784</v>
      </c>
      <c r="M38" s="34" t="str">
        <f>IFERROR(_xlfn.XLOOKUP($B38,Raw_Data!$A$3:$A$273,Raw_Data!$R$3:$R$273),"")</f>
        <v>Rijn Capital</v>
      </c>
      <c r="N38" s="16" cm="1">
        <f t="array" ref="N38">IF(M38="",0,COUNTA(_xlfn._xlws.FILTER(_xlfn.TEXTSPLIT(M38,";"), _xlfn.TEXTSPLIT(M38,";")&lt;&gt;"")))</f>
        <v>1</v>
      </c>
      <c r="O38" s="16" t="str">
        <f t="shared" si="0"/>
        <v>N</v>
      </c>
      <c r="P38" s="19">
        <f>IFERROR(_xlfn.XLOOKUP($B38,Raw_Data!$A$3:$A$273,Raw_Data!$V$3:$V$273),"")</f>
        <v>0</v>
      </c>
      <c r="Q38" s="16" t="str">
        <f t="shared" si="1"/>
        <v>Y</v>
      </c>
      <c r="R38" s="32">
        <f>IFERROR(_xlfn.XLOOKUP($B38,Raw_Data!$A$3:$A$273,Raw_Data!$Y$3:$Y$273),"")</f>
        <v>1</v>
      </c>
      <c r="S38" s="4" t="str" cm="1">
        <f t="array" ref="S38">_xlfn.LET(_xlpm.s, Raw_Data!W38,_xlpm.strat, _xlfn._xlws.FILTER(REF_Setup!$B$3:$B$40, REF_Setup!$B$3:$B$40&lt;&gt;""),IF(OR(_xlpm.s="",_xlpm.s=0),"Unclassified",IF(SUM(--ISNUMBER(SEARCH(_xlpm.strat, _xlpm.s)))&gt;0, "Y", "N"))
)</f>
        <v>N</v>
      </c>
      <c r="T38" s="4" t="str" cm="1">
        <f t="array" ref="T38">_xlfn.LET(_xlpm.s,M38,_xlpm.phil, _xlfn._xlws.FILTER(REF_Setup!$D$3:$D$5, REF_Setup!$D$3:$D$5&lt;&gt;""),IF(OR(_xlpm.s="", _xlpm.s=0),"Unclassified",IF(SUM(--ISNUMBER(SEARCH(_xlpm.phil, _xlpm.s)))&gt;0, "Y", "N")))</f>
        <v>N</v>
      </c>
      <c r="U38" s="4" t="str" cm="1">
        <f t="array" ref="U38">IF(M38="", "Unclassified", IF(AND(SUMPRODUCT(--ISNUMBER(SEARCH(REF_Setup!$B$3:$B$40,M38)))&gt;0,SUMPRODUCT(--ISNUMBER(SEARCH(REF_Setup!$F$3:$F$15,M38)))&gt;0),"Mixed",IF(SUMPRODUCT(--ISNUMBER(SEARCH(REF_Setup!$B$3:$B$40,M38)))&gt;0,"Strategic Only",IF(SUMPRODUCT(--ISNUMBER(SEARCH(REF_Setup!$F$3:$F$15,M38)))&gt;0,"VC Only","Unclassified"))))</f>
        <v>VC Only</v>
      </c>
    </row>
    <row r="39" spans="2:21" x14ac:dyDescent="0.35">
      <c r="B39" s="4">
        <f t="shared" si="2"/>
        <v>37</v>
      </c>
      <c r="C39" s="4" t="str">
        <f>IFERROR(_xlfn.XLOOKUP($B39,Raw_Data!$A$3:$A$273,Raw_Data!$B$3:$B$273),"")</f>
        <v>Cambrian Innovation</v>
      </c>
      <c r="D39" s="4" t="str">
        <f>IFERROR(_xlfn.XLOOKUP($B39,Raw_Data!$A$3:$A$273,Raw_Data!$C$3:$C$273),"")</f>
        <v>Wa tertown MA</v>
      </c>
      <c r="E39" s="4">
        <f>IFERROR(_xlfn.XLOOKUP($B39,Raw_Data!$A$3:$A$273,Raw_Data!$D$3:$D$273),"")</f>
        <v>2006</v>
      </c>
      <c r="F39" s="4" t="str">
        <f>IFERROR(_xlfn.XLOOKUP($B39,Raw_Data!$A$3:$A$273,Raw_Data!$F$3:$F$273),"")</f>
        <v>Industrial Decarbonization</v>
      </c>
      <c r="G39" s="35">
        <f>IFERROR(_xlfn.XLOOKUP($B39,Raw_Data!$A$3:$A$273,Raw_Data!$J$3:$J$273),"")</f>
        <v>43753</v>
      </c>
      <c r="H39" s="16" t="s">
        <v>1467</v>
      </c>
      <c r="I39" s="36">
        <f>IFERROR(_xlfn.XLOOKUP($B39,Raw_Data!$A$3:$A$273,Raw_Data!$I$3:$I$273),"")</f>
        <v>25.78</v>
      </c>
      <c r="J39" s="36">
        <f>IFERROR(_xlfn.XLOOKUP($B39,Raw_Data!$A$3:$A$273,Raw_Data!$L$3:$L$273),"")</f>
        <v>3</v>
      </c>
      <c r="K39" s="36">
        <f>IFERROR(_xlfn.XLOOKUP($B39,Raw_Data!$A$3:$A$273,Raw_Data!$M$3:$M$273),"")</f>
        <v>53</v>
      </c>
      <c r="L39" s="15">
        <f>IFERROR(_xlfn.XLOOKUP($B39,Raw_Data!$A$3:$A$273,Raw_Data!$Q$3:$Q$273),"")</f>
        <v>0</v>
      </c>
      <c r="M39" s="34" t="str">
        <f>IFERROR(_xlfn.XLOOKUP($B39,Raw_Data!$A$3:$A$273,Raw_Data!$R$3:$R$273),"")</f>
        <v>Spring Lane Capital</v>
      </c>
      <c r="N39" s="16" cm="1">
        <f t="array" ref="N39">IF(M39="",0,COUNTA(_xlfn._xlws.FILTER(_xlfn.TEXTSPLIT(M39,";"), _xlfn.TEXTSPLIT(M39,";")&lt;&gt;"")))</f>
        <v>1</v>
      </c>
      <c r="O39" s="16" t="str">
        <f t="shared" si="0"/>
        <v>Y</v>
      </c>
      <c r="P39" s="19">
        <f>IFERROR(_xlfn.XLOOKUP($B39,Raw_Data!$A$3:$A$273,Raw_Data!$V$3:$V$273),"")</f>
        <v>1</v>
      </c>
      <c r="Q39" s="16" t="str">
        <f t="shared" si="1"/>
        <v>Y</v>
      </c>
      <c r="R39" s="32">
        <f>IFERROR(_xlfn.XLOOKUP($B39,Raw_Data!$A$3:$A$273,Raw_Data!$Y$3:$Y$273),"")</f>
        <v>1</v>
      </c>
      <c r="S39" s="4" t="str" cm="1">
        <f t="array" ref="S39">_xlfn.LET(_xlpm.s, Raw_Data!W39,_xlpm.strat, _xlfn._xlws.FILTER(REF_Setup!$B$3:$B$40, REF_Setup!$B$3:$B$40&lt;&gt;""),IF(OR(_xlpm.s="",_xlpm.s=0),"Unclassified",IF(SUM(--ISNUMBER(SEARCH(_xlpm.strat, _xlpm.s)))&gt;0, "Y", "N"))
)</f>
        <v>N</v>
      </c>
      <c r="T39" s="4" t="str" cm="1">
        <f t="array" ref="T39">_xlfn.LET(_xlpm.s,M39,_xlpm.phil, _xlfn._xlws.FILTER(REF_Setup!$D$3:$D$5, REF_Setup!$D$3:$D$5&lt;&gt;""),IF(OR(_xlpm.s="", _xlpm.s=0),"Unclassified",IF(SUM(--ISNUMBER(SEARCH(_xlpm.phil, _xlpm.s)))&gt;0, "Y", "N")))</f>
        <v>N</v>
      </c>
      <c r="U39" s="4" t="str" cm="1">
        <f t="array" ref="U39">IF(M39="", "Unclassified", IF(AND(SUMPRODUCT(--ISNUMBER(SEARCH(REF_Setup!$B$3:$B$40,M39)))&gt;0,SUMPRODUCT(--ISNUMBER(SEARCH(REF_Setup!$F$3:$F$15,M39)))&gt;0),"Mixed",IF(SUMPRODUCT(--ISNUMBER(SEARCH(REF_Setup!$B$3:$B$40,M39)))&gt;0,"Strategic Only",IF(SUMPRODUCT(--ISNUMBER(SEARCH(REF_Setup!$F$3:$F$15,M39)))&gt;0,"VC Only","Unclassified"))))</f>
        <v>VC Only</v>
      </c>
    </row>
    <row r="40" spans="2:21" ht="29" x14ac:dyDescent="0.35">
      <c r="B40" s="4">
        <f t="shared" si="2"/>
        <v>38</v>
      </c>
      <c r="C40" s="4" t="str">
        <f>IFERROR(_xlfn.XLOOKUP($B40,Raw_Data!$A$3:$A$273,Raw_Data!$B$3:$B$273),"")</f>
        <v>Capacitech Energy</v>
      </c>
      <c r="D40" s="4" t="str">
        <f>IFERROR(_xlfn.XLOOKUP($B40,Raw_Data!$A$3:$A$273,Raw_Data!$C$3:$C$273),"")</f>
        <v>Orlando, FL</v>
      </c>
      <c r="E40" s="4">
        <f>IFERROR(_xlfn.XLOOKUP($B40,Raw_Data!$A$3:$A$273,Raw_Data!$D$3:$D$273),"")</f>
        <v>0</v>
      </c>
      <c r="F40" s="4" t="str">
        <f>IFERROR(_xlfn.XLOOKUP($B40,Raw_Data!$A$3:$A$273,Raw_Data!$F$3:$F$273),"")</f>
        <v>LDES</v>
      </c>
      <c r="G40" s="35">
        <f>IFERROR(_xlfn.XLOOKUP($B40,Raw_Data!$A$3:$A$273,Raw_Data!$J$3:$J$273),"")</f>
        <v>43895</v>
      </c>
      <c r="H40" s="16" t="s">
        <v>1465</v>
      </c>
      <c r="I40" s="36">
        <f>IFERROR(_xlfn.XLOOKUP($B40,Raw_Data!$A$3:$A$273,Raw_Data!$I$3:$I$273),"")</f>
        <v>1.1200000000000001</v>
      </c>
      <c r="J40" s="36">
        <f>IFERROR(_xlfn.XLOOKUP($B40,Raw_Data!$A$3:$A$273,Raw_Data!$L$3:$L$273),"")</f>
        <v>1</v>
      </c>
      <c r="K40" s="36">
        <f>IFERROR(_xlfn.XLOOKUP($B40,Raw_Data!$A$3:$A$273,Raw_Data!$M$3:$M$273),"")</f>
        <v>4</v>
      </c>
      <c r="L40" s="15">
        <f>IFERROR(_xlfn.XLOOKUP($B40,Raw_Data!$A$3:$A$273,Raw_Data!$Q$3:$Q$273),"")</f>
        <v>0</v>
      </c>
      <c r="M40" s="34" t="str">
        <f>IFERROR(_xlfn.XLOOKUP($B40,Raw_Data!$A$3:$A$273,Raw_Data!$R$3:$R$273),"")</f>
        <v>Beresford Ventures; Flobas Ventures; Icebook Investments; New World Angels; Westlake Ventures</v>
      </c>
      <c r="N40" s="16" cm="1">
        <f t="array" ref="N40">IF(M40="",0,COUNTA(_xlfn._xlws.FILTER(_xlfn.TEXTSPLIT(M40,";"), _xlfn.TEXTSPLIT(M40,";")&lt;&gt;"")))</f>
        <v>5</v>
      </c>
      <c r="O40" s="16" t="str">
        <f t="shared" si="0"/>
        <v>N</v>
      </c>
      <c r="P40" s="19">
        <f>IFERROR(_xlfn.XLOOKUP($B40,Raw_Data!$A$3:$A$273,Raw_Data!$V$3:$V$273),"")</f>
        <v>0</v>
      </c>
      <c r="Q40" s="16" t="str">
        <f t="shared" si="1"/>
        <v>Y</v>
      </c>
      <c r="R40" s="32">
        <f>IFERROR(_xlfn.XLOOKUP($B40,Raw_Data!$A$3:$A$273,Raw_Data!$Y$3:$Y$273),"")</f>
        <v>1</v>
      </c>
      <c r="S40" s="4" t="str" cm="1">
        <f t="array" ref="S40">_xlfn.LET(_xlpm.s, Raw_Data!W40,_xlpm.strat, _xlfn._xlws.FILTER(REF_Setup!$B$3:$B$40, REF_Setup!$B$3:$B$40&lt;&gt;""),IF(OR(_xlpm.s="",_xlpm.s=0),"Unclassified",IF(SUM(--ISNUMBER(SEARCH(_xlpm.strat, _xlpm.s)))&gt;0, "Y", "N"))
)</f>
        <v>N</v>
      </c>
      <c r="T40" s="4" t="str" cm="1">
        <f t="array" ref="T40">_xlfn.LET(_xlpm.s,M40,_xlpm.phil, _xlfn._xlws.FILTER(REF_Setup!$D$3:$D$5, REF_Setup!$D$3:$D$5&lt;&gt;""),IF(OR(_xlpm.s="", _xlpm.s=0),"Unclassified",IF(SUM(--ISNUMBER(SEARCH(_xlpm.phil, _xlpm.s)))&gt;0, "Y", "N")))</f>
        <v>N</v>
      </c>
      <c r="U40" s="4" t="str" cm="1">
        <f t="array" ref="U40">IF(M40="", "Unclassified", IF(AND(SUMPRODUCT(--ISNUMBER(SEARCH(REF_Setup!$B$3:$B$40,M40)))&gt;0,SUMPRODUCT(--ISNUMBER(SEARCH(REF_Setup!$F$3:$F$15,M40)))&gt;0),"Mixed",IF(SUMPRODUCT(--ISNUMBER(SEARCH(REF_Setup!$B$3:$B$40,M40)))&gt;0,"Strategic Only",IF(SUMPRODUCT(--ISNUMBER(SEARCH(REF_Setup!$F$3:$F$15,M40)))&gt;0,"VC Only","Unclassified"))))</f>
        <v>VC Only</v>
      </c>
    </row>
    <row r="41" spans="2:21" x14ac:dyDescent="0.35">
      <c r="B41" s="4">
        <f t="shared" si="2"/>
        <v>39</v>
      </c>
      <c r="C41" s="4" t="str">
        <f>IFERROR(_xlfn.XLOOKUP($B41,Raw_Data!$A$3:$A$273,Raw_Data!$B$3:$B$273),"")</f>
        <v>Capacitech Energy</v>
      </c>
      <c r="D41" s="4" t="str">
        <f>IFERROR(_xlfn.XLOOKUP($B41,Raw_Data!$A$3:$A$273,Raw_Data!$C$3:$C$273),"")</f>
        <v>Orlando, FL</v>
      </c>
      <c r="E41" s="4">
        <f>IFERROR(_xlfn.XLOOKUP($B41,Raw_Data!$A$3:$A$273,Raw_Data!$D$3:$D$273),"")</f>
        <v>0</v>
      </c>
      <c r="F41" s="4" t="str">
        <f>IFERROR(_xlfn.XLOOKUP($B41,Raw_Data!$A$3:$A$273,Raw_Data!$F$3:$F$273),"")</f>
        <v>LDES</v>
      </c>
      <c r="G41" s="35">
        <f>IFERROR(_xlfn.XLOOKUP($B41,Raw_Data!$A$3:$A$273,Raw_Data!$J$3:$J$273),"")</f>
        <v>43565</v>
      </c>
      <c r="H41" s="16" t="s">
        <v>1465</v>
      </c>
      <c r="I41" s="36">
        <f>IFERROR(_xlfn.XLOOKUP($B41,Raw_Data!$A$3:$A$273,Raw_Data!$I$3:$I$273),"")</f>
        <v>0.12</v>
      </c>
      <c r="J41" s="36">
        <f>IFERROR(_xlfn.XLOOKUP($B41,Raw_Data!$A$3:$A$273,Raw_Data!$L$3:$L$273),"")</f>
        <v>0.08</v>
      </c>
      <c r="K41" s="36">
        <f>IFERROR(_xlfn.XLOOKUP($B41,Raw_Data!$A$3:$A$273,Raw_Data!$M$3:$M$273),"")</f>
        <v>1.5</v>
      </c>
      <c r="L41" s="15">
        <f>IFERROR(_xlfn.XLOOKUP($B41,Raw_Data!$A$3:$A$273,Raw_Data!$Q$3:$Q$273),"")</f>
        <v>0</v>
      </c>
      <c r="M41" s="34" t="str">
        <f>IFERROR(_xlfn.XLOOKUP($B41,Raw_Data!$A$3:$A$273,Raw_Data!$R$3:$R$273),"")</f>
        <v>Icebook Investments; Varnadore Financial</v>
      </c>
      <c r="N41" s="16" cm="1">
        <f t="array" ref="N41">IF(M41="",0,COUNTA(_xlfn._xlws.FILTER(_xlfn.TEXTSPLIT(M41,";"), _xlfn.TEXTSPLIT(M41,";")&lt;&gt;"")))</f>
        <v>2</v>
      </c>
      <c r="O41" s="16" t="str">
        <f t="shared" si="0"/>
        <v>N</v>
      </c>
      <c r="P41" s="19">
        <f>IFERROR(_xlfn.XLOOKUP($B41,Raw_Data!$A$3:$A$273,Raw_Data!$V$3:$V$273),"")</f>
        <v>0</v>
      </c>
      <c r="Q41" s="16" t="str">
        <f t="shared" si="1"/>
        <v>Y</v>
      </c>
      <c r="R41" s="32">
        <f>IFERROR(_xlfn.XLOOKUP($B41,Raw_Data!$A$3:$A$273,Raw_Data!$Y$3:$Y$273),"")</f>
        <v>1</v>
      </c>
      <c r="S41" s="4" t="str" cm="1">
        <f t="array" ref="S41">_xlfn.LET(_xlpm.s, Raw_Data!W41,_xlpm.strat, _xlfn._xlws.FILTER(REF_Setup!$B$3:$B$40, REF_Setup!$B$3:$B$40&lt;&gt;""),IF(OR(_xlpm.s="",_xlpm.s=0),"Unclassified",IF(SUM(--ISNUMBER(SEARCH(_xlpm.strat, _xlpm.s)))&gt;0, "Y", "N"))
)</f>
        <v>N</v>
      </c>
      <c r="T41" s="4" t="str" cm="1">
        <f t="array" ref="T41">_xlfn.LET(_xlpm.s,M41,_xlpm.phil, _xlfn._xlws.FILTER(REF_Setup!$D$3:$D$5, REF_Setup!$D$3:$D$5&lt;&gt;""),IF(OR(_xlpm.s="", _xlpm.s=0),"Unclassified",IF(SUM(--ISNUMBER(SEARCH(_xlpm.phil, _xlpm.s)))&gt;0, "Y", "N")))</f>
        <v>N</v>
      </c>
      <c r="U41" s="4" t="str" cm="1">
        <f t="array" ref="U41">IF(M41="", "Unclassified", IF(AND(SUMPRODUCT(--ISNUMBER(SEARCH(REF_Setup!$B$3:$B$40,M41)))&gt;0,SUMPRODUCT(--ISNUMBER(SEARCH(REF_Setup!$F$3:$F$15,M41)))&gt;0),"Mixed",IF(SUMPRODUCT(--ISNUMBER(SEARCH(REF_Setup!$B$3:$B$40,M41)))&gt;0,"Strategic Only",IF(SUMPRODUCT(--ISNUMBER(SEARCH(REF_Setup!$F$3:$F$15,M41)))&gt;0,"VC Only","Unclassified"))))</f>
        <v>Unclassified</v>
      </c>
    </row>
    <row r="42" spans="2:21" ht="29" x14ac:dyDescent="0.35">
      <c r="B42" s="4">
        <f t="shared" si="2"/>
        <v>40</v>
      </c>
      <c r="C42" s="4" t="str">
        <f>IFERROR(_xlfn.XLOOKUP($B42,Raw_Data!$A$3:$A$273,Raw_Data!$B$3:$B$273),"")</f>
        <v>Charm Industrial</v>
      </c>
      <c r="D42" s="4" t="str">
        <f>IFERROR(_xlfn.XLOOKUP($B42,Raw_Data!$A$3:$A$273,Raw_Data!$C$3:$C$273),"")</f>
        <v>San Francisco, CA</v>
      </c>
      <c r="E42" s="4">
        <f>IFERROR(_xlfn.XLOOKUP($B42,Raw_Data!$A$3:$A$273,Raw_Data!$D$3:$D$273),"")</f>
        <v>2018</v>
      </c>
      <c r="F42" s="4" t="str">
        <f>IFERROR(_xlfn.XLOOKUP($B42,Raw_Data!$A$3:$A$273,Raw_Data!$F$3:$F$273),"")</f>
        <v>CDR</v>
      </c>
      <c r="G42" s="35">
        <f>IFERROR(_xlfn.XLOOKUP($B42,Raw_Data!$A$3:$A$273,Raw_Data!$J$3:$J$273),"")</f>
        <v>43594</v>
      </c>
      <c r="H42" s="16" t="s">
        <v>1466</v>
      </c>
      <c r="I42" s="36">
        <f>IFERROR(_xlfn.XLOOKUP($B42,Raw_Data!$A$3:$A$273,Raw_Data!$I$3:$I$273),"")</f>
        <v>3.5</v>
      </c>
      <c r="J42" s="36">
        <f>IFERROR(_xlfn.XLOOKUP($B42,Raw_Data!$A$3:$A$273,Raw_Data!$L$3:$L$273),"")</f>
        <v>3.5</v>
      </c>
      <c r="K42" s="36">
        <f>IFERROR(_xlfn.XLOOKUP($B42,Raw_Data!$A$3:$A$273,Raw_Data!$M$3:$M$273),"")</f>
        <v>21.5</v>
      </c>
      <c r="L42" s="15">
        <f>IFERROR(_xlfn.XLOOKUP($B42,Raw_Data!$A$3:$A$273,Raw_Data!$Q$3:$Q$273),"")</f>
        <v>0</v>
      </c>
      <c r="M42" s="34" t="str">
        <f>IFERROR(_xlfn.XLOOKUP($B42,Raw_Data!$A$3:$A$273,Raw_Data!$R$3:$R$273),"")</f>
        <v>David Ulevitch; Incite Ventures; James Tamplin; Lowercarbon Capital; Nat Friedman; Peter Reinhardt; Stripe; Thomas Mvlnerney; Valor Equity Partners</v>
      </c>
      <c r="N42" s="16" cm="1">
        <f t="array" ref="N42">IF(M42="",0,COUNTA(_xlfn._xlws.FILTER(_xlfn.TEXTSPLIT(M42,";"), _xlfn.TEXTSPLIT(M42,";")&lt;&gt;"")))</f>
        <v>9</v>
      </c>
      <c r="O42" s="16" t="str">
        <f t="shared" si="0"/>
        <v>N</v>
      </c>
      <c r="P42" s="19">
        <f>IFERROR(_xlfn.XLOOKUP($B42,Raw_Data!$A$3:$A$273,Raw_Data!$V$3:$V$273),"")</f>
        <v>0</v>
      </c>
      <c r="Q42" s="16" t="str">
        <f t="shared" si="1"/>
        <v>Y</v>
      </c>
      <c r="R42" s="32">
        <f>IFERROR(_xlfn.XLOOKUP($B42,Raw_Data!$A$3:$A$273,Raw_Data!$Y$3:$Y$273),"")</f>
        <v>1</v>
      </c>
      <c r="S42" s="4" t="str" cm="1">
        <f t="array" ref="S42">_xlfn.LET(_xlpm.s, Raw_Data!W42,_xlpm.strat, _xlfn._xlws.FILTER(REF_Setup!$B$3:$B$40, REF_Setup!$B$3:$B$40&lt;&gt;""),IF(OR(_xlpm.s="",_xlpm.s=0),"Unclassified",IF(SUM(--ISNUMBER(SEARCH(_xlpm.strat, _xlpm.s)))&gt;0, "Y", "N"))
)</f>
        <v>N</v>
      </c>
      <c r="T42" s="4" t="str" cm="1">
        <f t="array" ref="T42">_xlfn.LET(_xlpm.s,M42,_xlpm.phil, _xlfn._xlws.FILTER(REF_Setup!$D$3:$D$5, REF_Setup!$D$3:$D$5&lt;&gt;""),IF(OR(_xlpm.s="", _xlpm.s=0),"Unclassified",IF(SUM(--ISNUMBER(SEARCH(_xlpm.phil, _xlpm.s)))&gt;0, "Y", "N")))</f>
        <v>N</v>
      </c>
      <c r="U42" s="4" t="str" cm="1">
        <f t="array" ref="U42">IF(M42="", "Unclassified", IF(AND(SUMPRODUCT(--ISNUMBER(SEARCH(REF_Setup!$B$3:$B$40,M42)))&gt;0,SUMPRODUCT(--ISNUMBER(SEARCH(REF_Setup!$F$3:$F$15,M42)))&gt;0),"Mixed",IF(SUMPRODUCT(--ISNUMBER(SEARCH(REF_Setup!$B$3:$B$40,M42)))&gt;0,"Strategic Only",IF(SUMPRODUCT(--ISNUMBER(SEARCH(REF_Setup!$F$3:$F$15,M42)))&gt;0,"VC Only","Unclassified"))))</f>
        <v>VC Only</v>
      </c>
    </row>
    <row r="43" spans="2:21" x14ac:dyDescent="0.35">
      <c r="B43" s="4">
        <f t="shared" si="2"/>
        <v>41</v>
      </c>
      <c r="C43" s="4" t="str">
        <f>IFERROR(_xlfn.XLOOKUP($B43,Raw_Data!$A$3:$A$273,Raw_Data!$B$3:$B$273),"")</f>
        <v>Charm Industrial</v>
      </c>
      <c r="D43" s="4" t="str">
        <f>IFERROR(_xlfn.XLOOKUP($B43,Raw_Data!$A$3:$A$273,Raw_Data!$C$3:$C$273),"")</f>
        <v>San Francisco, CA</v>
      </c>
      <c r="E43" s="4">
        <f>IFERROR(_xlfn.XLOOKUP($B43,Raw_Data!$A$3:$A$273,Raw_Data!$D$3:$D$273),"")</f>
        <v>2018</v>
      </c>
      <c r="F43" s="4" t="str">
        <f>IFERROR(_xlfn.XLOOKUP($B43,Raw_Data!$A$3:$A$273,Raw_Data!$F$3:$F$273),"")</f>
        <v>CDR</v>
      </c>
      <c r="G43" s="35">
        <f>IFERROR(_xlfn.XLOOKUP($B43,Raw_Data!$A$3:$A$273,Raw_Data!$J$3:$J$273),"")</f>
        <v>44413</v>
      </c>
      <c r="H43" s="16" t="s">
        <v>1465</v>
      </c>
      <c r="I43" s="36">
        <f>IFERROR(_xlfn.XLOOKUP($B43,Raw_Data!$A$3:$A$273,Raw_Data!$I$3:$I$273),"")</f>
        <v>25.5</v>
      </c>
      <c r="J43" s="36">
        <f>IFERROR(_xlfn.XLOOKUP($B43,Raw_Data!$A$3:$A$273,Raw_Data!$L$3:$L$273),"")</f>
        <v>22</v>
      </c>
      <c r="K43" s="36">
        <f>IFERROR(_xlfn.XLOOKUP($B43,Raw_Data!$A$3:$A$273,Raw_Data!$M$3:$M$273),"")</f>
        <v>126.5</v>
      </c>
      <c r="L43" s="15">
        <f>IFERROR(_xlfn.XLOOKUP($B43,Raw_Data!$A$3:$A$273,Raw_Data!$Q$3:$Q$273),"")</f>
        <v>0</v>
      </c>
      <c r="M43" s="34" t="str">
        <f>IFERROR(_xlfn.XLOOKUP($B43,Raw_Data!$A$3:$A$273,Raw_Data!$R$3:$R$273),"")</f>
        <v>Impact Assets; PRIME Coalition; Seek Ventures; Social Impact Capital</v>
      </c>
      <c r="N43" s="16" cm="1">
        <f t="array" ref="N43">IF(M43="",0,COUNTA(_xlfn._xlws.FILTER(_xlfn.TEXTSPLIT(M43,";"), _xlfn.TEXTSPLIT(M43,";")&lt;&gt;"")))</f>
        <v>4</v>
      </c>
      <c r="O43" s="16" t="str">
        <f t="shared" si="0"/>
        <v>N</v>
      </c>
      <c r="P43" s="19">
        <f>IFERROR(_xlfn.XLOOKUP($B43,Raw_Data!$A$3:$A$273,Raw_Data!$V$3:$V$273),"")</f>
        <v>0</v>
      </c>
      <c r="Q43" s="16" t="str">
        <f t="shared" si="1"/>
        <v>Y</v>
      </c>
      <c r="R43" s="32">
        <f>IFERROR(_xlfn.XLOOKUP($B43,Raw_Data!$A$3:$A$273,Raw_Data!$Y$3:$Y$273),"")</f>
        <v>1</v>
      </c>
      <c r="S43" s="4" t="str" cm="1">
        <f t="array" ref="S43">_xlfn.LET(_xlpm.s, Raw_Data!W43,_xlpm.strat, _xlfn._xlws.FILTER(REF_Setup!$B$3:$B$40, REF_Setup!$B$3:$B$40&lt;&gt;""),IF(OR(_xlpm.s="",_xlpm.s=0),"Unclassified",IF(SUM(--ISNUMBER(SEARCH(_xlpm.strat, _xlpm.s)))&gt;0, "Y", "N"))
)</f>
        <v>N</v>
      </c>
      <c r="T43" s="4" t="str" cm="1">
        <f t="array" ref="T43">_xlfn.LET(_xlpm.s,M43,_xlpm.phil, _xlfn._xlws.FILTER(REF_Setup!$D$3:$D$5, REF_Setup!$D$3:$D$5&lt;&gt;""),IF(OR(_xlpm.s="", _xlpm.s=0),"Unclassified",IF(SUM(--ISNUMBER(SEARCH(_xlpm.phil, _xlpm.s)))&gt;0, "Y", "N")))</f>
        <v>N</v>
      </c>
      <c r="U43" s="4" t="str" cm="1">
        <f t="array" ref="U43">IF(M43="", "Unclassified", IF(AND(SUMPRODUCT(--ISNUMBER(SEARCH(REF_Setup!$B$3:$B$40,M43)))&gt;0,SUMPRODUCT(--ISNUMBER(SEARCH(REF_Setup!$F$3:$F$15,M43)))&gt;0),"Mixed",IF(SUMPRODUCT(--ISNUMBER(SEARCH(REF_Setup!$B$3:$B$40,M43)))&gt;0,"Strategic Only",IF(SUMPRODUCT(--ISNUMBER(SEARCH(REF_Setup!$F$3:$F$15,M43)))&gt;0,"VC Only","Unclassified"))))</f>
        <v>VC Only</v>
      </c>
    </row>
    <row r="44" spans="2:21" x14ac:dyDescent="0.35">
      <c r="B44" s="4">
        <f t="shared" si="2"/>
        <v>42</v>
      </c>
      <c r="C44" s="4" t="str">
        <f>IFERROR(_xlfn.XLOOKUP($B44,Raw_Data!$A$3:$A$273,Raw_Data!$B$3:$B$273),"")</f>
        <v>Chestnut Carbon</v>
      </c>
      <c r="D44" s="4" t="str">
        <f>IFERROR(_xlfn.XLOOKUP($B44,Raw_Data!$A$3:$A$273,Raw_Data!$C$3:$C$273),"")</f>
        <v>New York, NY</v>
      </c>
      <c r="E44" s="4">
        <f>IFERROR(_xlfn.XLOOKUP($B44,Raw_Data!$A$3:$A$273,Raw_Data!$D$3:$D$273),"")</f>
        <v>2022</v>
      </c>
      <c r="F44" s="4" t="str">
        <f>IFERROR(_xlfn.XLOOKUP($B44,Raw_Data!$A$3:$A$273,Raw_Data!$F$3:$F$273),"")</f>
        <v>CDR</v>
      </c>
      <c r="G44" s="35">
        <f>IFERROR(_xlfn.XLOOKUP($B44,Raw_Data!$A$3:$A$273,Raw_Data!$J$3:$J$273),"")</f>
        <v>45687</v>
      </c>
      <c r="H44" s="4" t="s">
        <v>75</v>
      </c>
      <c r="I44" s="36">
        <f>IFERROR(_xlfn.XLOOKUP($B44,Raw_Data!$A$3:$A$273,Raw_Data!$I$3:$I$273),"")</f>
        <v>390</v>
      </c>
      <c r="J44" s="36">
        <f>IFERROR(_xlfn.XLOOKUP($B44,Raw_Data!$A$3:$A$273,Raw_Data!$L$3:$L$273),"")</f>
        <v>160</v>
      </c>
      <c r="K44" s="36">
        <f>IFERROR(_xlfn.XLOOKUP($B44,Raw_Data!$A$3:$A$273,Raw_Data!$M$3:$M$273),"")</f>
        <v>0</v>
      </c>
      <c r="L44" s="15">
        <f>IFERROR(_xlfn.XLOOKUP($B44,Raw_Data!$A$3:$A$273,Raw_Data!$Q$3:$Q$273),"")</f>
        <v>0</v>
      </c>
      <c r="M44" s="34" t="str">
        <f>IFERROR(_xlfn.XLOOKUP($B44,Raw_Data!$A$3:$A$273,Raw_Data!$R$3:$R$273),"")</f>
        <v xml:space="preserve">Cloverlay; CPP Investments; DBL Partners; Kimmeridge </v>
      </c>
      <c r="N44" s="16" cm="1">
        <f t="array" ref="N44">IF(M44="",0,COUNTA(_xlfn._xlws.FILTER(_xlfn.TEXTSPLIT(M44,";"), _xlfn.TEXTSPLIT(M44,";")&lt;&gt;"")))</f>
        <v>4</v>
      </c>
      <c r="O44" s="16" t="str">
        <f t="shared" si="0"/>
        <v>Y</v>
      </c>
      <c r="P44" s="19">
        <f>IFERROR(_xlfn.XLOOKUP($B44,Raw_Data!$A$3:$A$273,Raw_Data!$V$3:$V$273),"")</f>
        <v>0.5</v>
      </c>
      <c r="Q44" s="16" t="str">
        <f t="shared" si="1"/>
        <v>Y</v>
      </c>
      <c r="R44" s="32">
        <f>IFERROR(_xlfn.XLOOKUP($B44,Raw_Data!$A$3:$A$273,Raw_Data!$Y$3:$Y$273),"")</f>
        <v>0.5</v>
      </c>
      <c r="S44" s="4" t="str" cm="1">
        <f t="array" ref="S44">_xlfn.LET(_xlpm.s, Raw_Data!W44,_xlpm.strat, _xlfn._xlws.FILTER(REF_Setup!$B$3:$B$40, REF_Setup!$B$3:$B$40&lt;&gt;""),IF(OR(_xlpm.s="",_xlpm.s=0),"Unclassified",IF(SUM(--ISNUMBER(SEARCH(_xlpm.strat, _xlpm.s)))&gt;0, "Y", "N"))
)</f>
        <v>N</v>
      </c>
      <c r="T44" s="4" t="str" cm="1">
        <f t="array" ref="T44">_xlfn.LET(_xlpm.s,M44,_xlpm.phil, _xlfn._xlws.FILTER(REF_Setup!$D$3:$D$5, REF_Setup!$D$3:$D$5&lt;&gt;""),IF(OR(_xlpm.s="", _xlpm.s=0),"Unclassified",IF(SUM(--ISNUMBER(SEARCH(_xlpm.phil, _xlpm.s)))&gt;0, "Y", "N")))</f>
        <v>N</v>
      </c>
      <c r="U44" s="4" t="str" cm="1">
        <f t="array" ref="U44">IF(M44="", "Unclassified", IF(AND(SUMPRODUCT(--ISNUMBER(SEARCH(REF_Setup!$B$3:$B$40,M44)))&gt;0,SUMPRODUCT(--ISNUMBER(SEARCH(REF_Setup!$F$3:$F$15,M44)))&gt;0),"Mixed",IF(SUMPRODUCT(--ISNUMBER(SEARCH(REF_Setup!$B$3:$B$40,M44)))&gt;0,"Strategic Only",IF(SUMPRODUCT(--ISNUMBER(SEARCH(REF_Setup!$F$3:$F$15,M44)))&gt;0,"VC Only","Unclassified"))))</f>
        <v>VC Only</v>
      </c>
    </row>
    <row r="45" spans="2:21" x14ac:dyDescent="0.35">
      <c r="B45" s="4">
        <f t="shared" si="2"/>
        <v>43</v>
      </c>
      <c r="C45" s="4" t="str">
        <f>IFERROR(_xlfn.XLOOKUP($B45,Raw_Data!$A$3:$A$273,Raw_Data!$B$3:$B$273),"")</f>
        <v>Chestnut Carbon</v>
      </c>
      <c r="D45" s="4" t="str">
        <f>IFERROR(_xlfn.XLOOKUP($B45,Raw_Data!$A$3:$A$273,Raw_Data!$C$3:$C$273),"")</f>
        <v>New York, NY</v>
      </c>
      <c r="E45" s="4">
        <f>IFERROR(_xlfn.XLOOKUP($B45,Raw_Data!$A$3:$A$273,Raw_Data!$D$3:$D$273),"")</f>
        <v>2022</v>
      </c>
      <c r="F45" s="4" t="str">
        <f>IFERROR(_xlfn.XLOOKUP($B45,Raw_Data!$A$3:$A$273,Raw_Data!$F$3:$F$273),"")</f>
        <v>CDR</v>
      </c>
      <c r="G45" s="35">
        <f>IFERROR(_xlfn.XLOOKUP($B45,Raw_Data!$A$3:$A$273,Raw_Data!$J$3:$J$273),"")</f>
        <v>44927</v>
      </c>
      <c r="H45" s="4" t="s">
        <v>75</v>
      </c>
      <c r="I45" s="36">
        <f>IFERROR(_xlfn.XLOOKUP($B45,Raw_Data!$A$3:$A$273,Raw_Data!$I$3:$I$273),"")</f>
        <v>230</v>
      </c>
      <c r="J45" s="36">
        <f>IFERROR(_xlfn.XLOOKUP($B45,Raw_Data!$A$3:$A$273,Raw_Data!$L$3:$L$273),"")</f>
        <v>30</v>
      </c>
      <c r="K45" s="36">
        <f>IFERROR(_xlfn.XLOOKUP($B45,Raw_Data!$A$3:$A$273,Raw_Data!$M$3:$M$273),"")</f>
        <v>0</v>
      </c>
      <c r="L45" s="15">
        <f>IFERROR(_xlfn.XLOOKUP($B45,Raw_Data!$A$3:$A$273,Raw_Data!$Q$3:$Q$273),"")</f>
        <v>0</v>
      </c>
      <c r="M45" s="34" t="str">
        <f>IFERROR(_xlfn.XLOOKUP($B45,Raw_Data!$A$3:$A$273,Raw_Data!$R$3:$R$273),"")</f>
        <v>CPP Investments</v>
      </c>
      <c r="N45" s="16" cm="1">
        <f t="array" ref="N45">IF(M45="",0,COUNTA(_xlfn._xlws.FILTER(_xlfn.TEXTSPLIT(M45,";"), _xlfn.TEXTSPLIT(M45,";")&lt;&gt;"")))</f>
        <v>1</v>
      </c>
      <c r="O45" s="16" t="str">
        <f t="shared" si="0"/>
        <v>N</v>
      </c>
      <c r="P45" s="19">
        <f>IFERROR(_xlfn.XLOOKUP($B45,Raw_Data!$A$3:$A$273,Raw_Data!$V$3:$V$273),"")</f>
        <v>0</v>
      </c>
      <c r="Q45" s="16" t="str">
        <f t="shared" si="1"/>
        <v>Y</v>
      </c>
      <c r="R45" s="32">
        <f>IFERROR(_xlfn.XLOOKUP($B45,Raw_Data!$A$3:$A$273,Raw_Data!$Y$3:$Y$273),"")</f>
        <v>1</v>
      </c>
      <c r="S45" s="4" t="str" cm="1">
        <f t="array" ref="S45">_xlfn.LET(_xlpm.s, Raw_Data!W45,_xlpm.strat, _xlfn._xlws.FILTER(REF_Setup!$B$3:$B$40, REF_Setup!$B$3:$B$40&lt;&gt;""),IF(OR(_xlpm.s="",_xlpm.s=0),"Unclassified",IF(SUM(--ISNUMBER(SEARCH(_xlpm.strat, _xlpm.s)))&gt;0, "Y", "N"))
)</f>
        <v>N</v>
      </c>
      <c r="T45" s="4" t="str" cm="1">
        <f t="array" ref="T45">_xlfn.LET(_xlpm.s,M45,_xlpm.phil, _xlfn._xlws.FILTER(REF_Setup!$D$3:$D$5, REF_Setup!$D$3:$D$5&lt;&gt;""),IF(OR(_xlpm.s="", _xlpm.s=0),"Unclassified",IF(SUM(--ISNUMBER(SEARCH(_xlpm.phil, _xlpm.s)))&gt;0, "Y", "N")))</f>
        <v>N</v>
      </c>
      <c r="U45" s="4" t="str" cm="1">
        <f t="array" ref="U45">IF(M45="", "Unclassified", IF(AND(SUMPRODUCT(--ISNUMBER(SEARCH(REF_Setup!$B$3:$B$40,M45)))&gt;0,SUMPRODUCT(--ISNUMBER(SEARCH(REF_Setup!$F$3:$F$15,M45)))&gt;0),"Mixed",IF(SUMPRODUCT(--ISNUMBER(SEARCH(REF_Setup!$B$3:$B$40,M45)))&gt;0,"Strategic Only",IF(SUMPRODUCT(--ISNUMBER(SEARCH(REF_Setup!$F$3:$F$15,M45)))&gt;0,"VC Only","Unclassified"))))</f>
        <v>Unclassified</v>
      </c>
    </row>
    <row r="46" spans="2:21" x14ac:dyDescent="0.35">
      <c r="B46" s="4">
        <f t="shared" si="2"/>
        <v>44</v>
      </c>
      <c r="C46" s="4" t="str">
        <f>IFERROR(_xlfn.XLOOKUP($B46,Raw_Data!$A$3:$A$273,Raw_Data!$B$3:$B$273),"")</f>
        <v>Chestnut Carbon</v>
      </c>
      <c r="D46" s="4" t="str">
        <f>IFERROR(_xlfn.XLOOKUP($B46,Raw_Data!$A$3:$A$273,Raw_Data!$C$3:$C$273),"")</f>
        <v>New York, NY</v>
      </c>
      <c r="E46" s="4">
        <f>IFERROR(_xlfn.XLOOKUP($B46,Raw_Data!$A$3:$A$273,Raw_Data!$D$3:$D$273),"")</f>
        <v>2022</v>
      </c>
      <c r="F46" s="4" t="str">
        <f>IFERROR(_xlfn.XLOOKUP($B46,Raw_Data!$A$3:$A$273,Raw_Data!$F$3:$F$273),"")</f>
        <v>CDR</v>
      </c>
      <c r="G46" s="35">
        <f>IFERROR(_xlfn.XLOOKUP($B46,Raw_Data!$A$3:$A$273,Raw_Data!$J$3:$J$273),"")</f>
        <v>45916</v>
      </c>
      <c r="H46" s="4" t="s">
        <v>75</v>
      </c>
      <c r="I46" s="36">
        <f>IFERROR(_xlfn.XLOOKUP($B46,Raw_Data!$A$3:$A$273,Raw_Data!$I$3:$I$273),"")</f>
        <v>690</v>
      </c>
      <c r="J46" s="36">
        <f>IFERROR(_xlfn.XLOOKUP($B46,Raw_Data!$A$3:$A$273,Raw_Data!$L$3:$L$273),"")</f>
        <v>90</v>
      </c>
      <c r="K46" s="36">
        <f>IFERROR(_xlfn.XLOOKUP($B46,Raw_Data!$A$3:$A$273,Raw_Data!$M$3:$M$273),"")</f>
        <v>0</v>
      </c>
      <c r="L46" s="15">
        <f>IFERROR(_xlfn.XLOOKUP($B46,Raw_Data!$A$3:$A$273,Raw_Data!$Q$3:$Q$273),"")</f>
        <v>0</v>
      </c>
      <c r="M46" s="34" t="str">
        <f>IFERROR(_xlfn.XLOOKUP($B46,Raw_Data!$A$3:$A$273,Raw_Data!$R$3:$R$273),"")</f>
        <v xml:space="preserve">CPP Investments </v>
      </c>
      <c r="N46" s="16" cm="1">
        <f t="array" ref="N46">IF(M46="",0,COUNTA(_xlfn._xlws.FILTER(_xlfn.TEXTSPLIT(M46,";"), _xlfn.TEXTSPLIT(M46,";")&lt;&gt;"")))</f>
        <v>1</v>
      </c>
      <c r="O46" s="16" t="str">
        <f t="shared" si="0"/>
        <v>Y</v>
      </c>
      <c r="P46" s="19">
        <f>IFERROR(_xlfn.XLOOKUP($B46,Raw_Data!$A$3:$A$273,Raw_Data!$V$3:$V$273),"")</f>
        <v>1</v>
      </c>
      <c r="Q46" s="16" t="str">
        <f t="shared" si="1"/>
        <v>Y</v>
      </c>
      <c r="R46" s="32" t="str">
        <f>IFERROR(_xlfn.XLOOKUP($B46,Raw_Data!$A$3:$A$273,Raw_Data!$Y$3:$Y$273),"")</f>
        <v>N/A</v>
      </c>
      <c r="S46" s="4" t="str" cm="1">
        <f t="array" ref="S46">_xlfn.LET(_xlpm.s, Raw_Data!W46,_xlpm.strat, _xlfn._xlws.FILTER(REF_Setup!$B$3:$B$40, REF_Setup!$B$3:$B$40&lt;&gt;""),IF(OR(_xlpm.s="",_xlpm.s=0),"Unclassified",IF(SUM(--ISNUMBER(SEARCH(_xlpm.strat, _xlpm.s)))&gt;0, "Y", "N"))
)</f>
        <v>Unclassified</v>
      </c>
      <c r="T46" s="4" t="str" cm="1">
        <f t="array" ref="T46">_xlfn.LET(_xlpm.s,M46,_xlpm.phil, _xlfn._xlws.FILTER(REF_Setup!$D$3:$D$5, REF_Setup!$D$3:$D$5&lt;&gt;""),IF(OR(_xlpm.s="", _xlpm.s=0),"Unclassified",IF(SUM(--ISNUMBER(SEARCH(_xlpm.phil, _xlpm.s)))&gt;0, "Y", "N")))</f>
        <v>N</v>
      </c>
      <c r="U46" s="4" t="str" cm="1">
        <f t="array" ref="U46">IF(M46="", "Unclassified", IF(AND(SUMPRODUCT(--ISNUMBER(SEARCH(REF_Setup!$B$3:$B$40,M46)))&gt;0,SUMPRODUCT(--ISNUMBER(SEARCH(REF_Setup!$F$3:$F$15,M46)))&gt;0),"Mixed",IF(SUMPRODUCT(--ISNUMBER(SEARCH(REF_Setup!$B$3:$B$40,M46)))&gt;0,"Strategic Only",IF(SUMPRODUCT(--ISNUMBER(SEARCH(REF_Setup!$F$3:$F$15,M46)))&gt;0,"VC Only","Unclassified"))))</f>
        <v>VC Only</v>
      </c>
    </row>
    <row r="47" spans="2:21" ht="72.5" x14ac:dyDescent="0.35">
      <c r="B47" s="4">
        <f t="shared" si="2"/>
        <v>45</v>
      </c>
      <c r="C47" s="4" t="str">
        <f>IFERROR(_xlfn.XLOOKUP($B47,Raw_Data!$A$3:$A$273,Raw_Data!$B$3:$B$273),"")</f>
        <v>Circ</v>
      </c>
      <c r="D47" s="4" t="str">
        <f>IFERROR(_xlfn.XLOOKUP($B47,Raw_Data!$A$3:$A$273,Raw_Data!$C$3:$C$273),"")</f>
        <v>Danville, VA</v>
      </c>
      <c r="E47" s="4">
        <f>IFERROR(_xlfn.XLOOKUP($B47,Raw_Data!$A$3:$A$273,Raw_Data!$D$3:$D$273),"")</f>
        <v>2011</v>
      </c>
      <c r="F47" s="4" t="str">
        <f>IFERROR(_xlfn.XLOOKUP($B47,Raw_Data!$A$3:$A$273,Raw_Data!$F$3:$F$273),"")</f>
        <v>Industrial Decarbonization</v>
      </c>
      <c r="G47" s="35">
        <f>IFERROR(_xlfn.XLOOKUP($B47,Raw_Data!$A$3:$A$273,Raw_Data!$J$3:$J$273),"")</f>
        <v>44986</v>
      </c>
      <c r="H47" s="16" t="s">
        <v>1467</v>
      </c>
      <c r="I47" s="36">
        <f>IFERROR(_xlfn.XLOOKUP($B47,Raw_Data!$A$3:$A$273,Raw_Data!$I$3:$I$273),"")</f>
        <v>67.19</v>
      </c>
      <c r="J47" s="36">
        <f>IFERROR(_xlfn.XLOOKUP($B47,Raw_Data!$A$3:$A$273,Raw_Data!$L$3:$L$273),"")</f>
        <v>25</v>
      </c>
      <c r="K47" s="36">
        <f>IFERROR(_xlfn.XLOOKUP($B47,Raw_Data!$A$3:$A$273,Raw_Data!$M$3:$M$273),"")</f>
        <v>190</v>
      </c>
      <c r="L47" s="15">
        <f>IFERROR(_xlfn.XLOOKUP($B47,Raw_Data!$A$3:$A$273,Raw_Data!$Q$3:$Q$273),"")</f>
        <v>0</v>
      </c>
      <c r="M47" s="34" t="str">
        <f>IFERROR(_xlfn.XLOOKUP($B47,Raw_Data!$A$3:$A$273,Raw_Data!$R$3:$R$273),"")</f>
        <v>8090 Industries; 8090 Partners; Alante Capital; Avery Dennison; Breaktrhough Energy; Card Sound Capital; Cerity Partners Ventures; Circulate Capital; City Light Capital; Envisioning Partners; Industrial de Diseno Textil; Lansdowne Partners; Marubeni; Milliken &amp; Company; Pandion Innovation for Impact; Plug &amp; Play Tech Center; Temasek Holdings; Vodia Capital; Youngone; Zalando</v>
      </c>
      <c r="N47" s="16" cm="1">
        <f t="array" ref="N47">IF(M47="",0,COUNTA(_xlfn._xlws.FILTER(_xlfn.TEXTSPLIT(M47,";"), _xlfn.TEXTSPLIT(M47,";")&lt;&gt;"")))</f>
        <v>20</v>
      </c>
      <c r="O47" s="16" t="str">
        <f t="shared" si="0"/>
        <v>Y</v>
      </c>
      <c r="P47" s="19">
        <f>IFERROR(_xlfn.XLOOKUP($B47,Raw_Data!$A$3:$A$273,Raw_Data!$V$3:$V$273),"")</f>
        <v>0.35</v>
      </c>
      <c r="Q47" s="16" t="str">
        <f t="shared" si="1"/>
        <v>Y</v>
      </c>
      <c r="R47" s="32">
        <f>IFERROR(_xlfn.XLOOKUP($B47,Raw_Data!$A$3:$A$273,Raw_Data!$Y$3:$Y$273),"")</f>
        <v>0.65</v>
      </c>
      <c r="S47" s="4" t="str" cm="1">
        <f t="array" ref="S47">_xlfn.LET(_xlpm.s, Raw_Data!W47,_xlpm.strat, _xlfn._xlws.FILTER(REF_Setup!$B$3:$B$40, REF_Setup!$B$3:$B$40&lt;&gt;""),IF(OR(_xlpm.s="",_xlpm.s=0),"Unclassified",IF(SUM(--ISNUMBER(SEARCH(_xlpm.strat, _xlpm.s)))&gt;0, "Y", "N"))
)</f>
        <v>N</v>
      </c>
      <c r="T47" s="4" t="str" cm="1">
        <f t="array" ref="T47">_xlfn.LET(_xlpm.s,M47,_xlpm.phil, _xlfn._xlws.FILTER(REF_Setup!$D$3:$D$5, REF_Setup!$D$3:$D$5&lt;&gt;""),IF(OR(_xlpm.s="", _xlpm.s=0),"Unclassified",IF(SUM(--ISNUMBER(SEARCH(_xlpm.phil, _xlpm.s)))&gt;0, "Y", "N")))</f>
        <v>N</v>
      </c>
      <c r="U47" s="4" t="str" cm="1">
        <f t="array" ref="U47">IF(M47="", "Unclassified", IF(AND(SUMPRODUCT(--ISNUMBER(SEARCH(REF_Setup!$B$3:$B$40,M47)))&gt;0,SUMPRODUCT(--ISNUMBER(SEARCH(REF_Setup!$F$3:$F$15,M47)))&gt;0),"Mixed",IF(SUMPRODUCT(--ISNUMBER(SEARCH(REF_Setup!$B$3:$B$40,M47)))&gt;0,"Strategic Only",IF(SUMPRODUCT(--ISNUMBER(SEARCH(REF_Setup!$F$3:$F$15,M47)))&gt;0,"VC Only","Unclassified"))))</f>
        <v>VC Only</v>
      </c>
    </row>
    <row r="48" spans="2:21" x14ac:dyDescent="0.35">
      <c r="B48" s="4">
        <f t="shared" si="2"/>
        <v>46</v>
      </c>
      <c r="C48" s="4" t="str">
        <f>IFERROR(_xlfn.XLOOKUP($B48,Raw_Data!$A$3:$A$273,Raw_Data!$B$3:$B$273),"")</f>
        <v>Clean Energy Terminals</v>
      </c>
      <c r="D48" s="4" t="str">
        <f>IFERROR(_xlfn.XLOOKUP($B48,Raw_Data!$A$3:$A$273,Raw_Data!$C$3:$C$273),"")</f>
        <v>Valencia, CA</v>
      </c>
      <c r="E48" s="4">
        <f>IFERROR(_xlfn.XLOOKUP($B48,Raw_Data!$A$3:$A$273,Raw_Data!$D$3:$D$273),"")</f>
        <v>2023</v>
      </c>
      <c r="F48" s="4" t="str">
        <f>IFERROR(_xlfn.XLOOKUP($B48,Raw_Data!$A$3:$A$273,Raw_Data!$F$3:$F$273),"")</f>
        <v>Renewables</v>
      </c>
      <c r="G48" s="35">
        <f>IFERROR(_xlfn.XLOOKUP($B48,Raw_Data!$A$3:$A$273,Raw_Data!$J$3:$J$273),"")</f>
        <v>45399</v>
      </c>
      <c r="H48" s="4" t="s">
        <v>75</v>
      </c>
      <c r="I48" s="36">
        <f>IFERROR(_xlfn.XLOOKUP($B48,Raw_Data!$A$3:$A$273,Raw_Data!$I$3:$I$273),"")</f>
        <v>50</v>
      </c>
      <c r="J48" s="36">
        <f>IFERROR(_xlfn.XLOOKUP($B48,Raw_Data!$A$3:$A$273,Raw_Data!$L$3:$L$273),"")</f>
        <v>50</v>
      </c>
      <c r="K48" s="36">
        <f>IFERROR(_xlfn.XLOOKUP($B48,Raw_Data!$A$3:$A$273,Raw_Data!$M$3:$M$273),"")</f>
        <v>0</v>
      </c>
      <c r="L48" s="15">
        <f>IFERROR(_xlfn.XLOOKUP($B48,Raw_Data!$A$3:$A$273,Raw_Data!$Q$3:$Q$273),"")</f>
        <v>0</v>
      </c>
      <c r="M48" s="34" t="str">
        <f>IFERROR(_xlfn.XLOOKUP($B48,Raw_Data!$A$3:$A$273,Raw_Data!$R$3:$R$273),"")</f>
        <v>Homecoming Capital</v>
      </c>
      <c r="N48" s="16" cm="1">
        <f t="array" ref="N48">IF(M48="",0,COUNTA(_xlfn._xlws.FILTER(_xlfn.TEXTSPLIT(M48,";"), _xlfn.TEXTSPLIT(M48,";")&lt;&gt;"")))</f>
        <v>1</v>
      </c>
      <c r="O48" s="16" t="str">
        <f t="shared" si="0"/>
        <v>N</v>
      </c>
      <c r="P48" s="19">
        <f>IFERROR(_xlfn.XLOOKUP($B48,Raw_Data!$A$3:$A$273,Raw_Data!$V$3:$V$273),"")</f>
        <v>0</v>
      </c>
      <c r="Q48" s="16" t="str">
        <f t="shared" si="1"/>
        <v>Y</v>
      </c>
      <c r="R48" s="32">
        <f>IFERROR(_xlfn.XLOOKUP($B48,Raw_Data!$A$3:$A$273,Raw_Data!$Y$3:$Y$273),"")</f>
        <v>1</v>
      </c>
      <c r="S48" s="4" t="str" cm="1">
        <f t="array" ref="S48">_xlfn.LET(_xlpm.s, Raw_Data!W48,_xlpm.strat, _xlfn._xlws.FILTER(REF_Setup!$B$3:$B$40, REF_Setup!$B$3:$B$40&lt;&gt;""),IF(OR(_xlpm.s="",_xlpm.s=0),"Unclassified",IF(SUM(--ISNUMBER(SEARCH(_xlpm.strat, _xlpm.s)))&gt;0, "Y", "N"))
)</f>
        <v>N</v>
      </c>
      <c r="T48" s="4" t="str" cm="1">
        <f t="array" ref="T48">_xlfn.LET(_xlpm.s,M48,_xlpm.phil, _xlfn._xlws.FILTER(REF_Setup!$D$3:$D$5, REF_Setup!$D$3:$D$5&lt;&gt;""),IF(OR(_xlpm.s="", _xlpm.s=0),"Unclassified",IF(SUM(--ISNUMBER(SEARCH(_xlpm.phil, _xlpm.s)))&gt;0, "Y", "N")))</f>
        <v>N</v>
      </c>
      <c r="U48" s="4" t="str" cm="1">
        <f t="array" ref="U48">IF(M48="", "Unclassified", IF(AND(SUMPRODUCT(--ISNUMBER(SEARCH(REF_Setup!$B$3:$B$40,M48)))&gt;0,SUMPRODUCT(--ISNUMBER(SEARCH(REF_Setup!$F$3:$F$15,M48)))&gt;0),"Mixed",IF(SUMPRODUCT(--ISNUMBER(SEARCH(REF_Setup!$B$3:$B$40,M48)))&gt;0,"Strategic Only",IF(SUMPRODUCT(--ISNUMBER(SEARCH(REF_Setup!$F$3:$F$15,M48)))&gt;0,"VC Only","Unclassified"))))</f>
        <v>VC Only</v>
      </c>
    </row>
    <row r="49" spans="2:21" x14ac:dyDescent="0.35">
      <c r="B49" s="4">
        <f t="shared" si="2"/>
        <v>47</v>
      </c>
      <c r="C49" s="4" t="str">
        <f>IFERROR(_xlfn.XLOOKUP($B49,Raw_Data!$A$3:$A$273,Raw_Data!$B$3:$B$273),"")</f>
        <v>Clean Hydrogen Technologies</v>
      </c>
      <c r="D49" s="4" t="str">
        <f>IFERROR(_xlfn.XLOOKUP($B49,Raw_Data!$A$3:$A$273,Raw_Data!$C$3:$C$273),"")</f>
        <v>New York, NY</v>
      </c>
      <c r="E49" s="4">
        <f>IFERROR(_xlfn.XLOOKUP($B49,Raw_Data!$A$3:$A$273,Raw_Data!$D$3:$D$273),"")</f>
        <v>2021</v>
      </c>
      <c r="F49" s="4" t="str">
        <f>IFERROR(_xlfn.XLOOKUP($B49,Raw_Data!$A$3:$A$273,Raw_Data!$F$3:$F$273),"")</f>
        <v>Hydrogen</v>
      </c>
      <c r="G49" s="35">
        <f>IFERROR(_xlfn.XLOOKUP($B49,Raw_Data!$A$3:$A$273,Raw_Data!$J$3:$J$273),"")</f>
        <v>44531</v>
      </c>
      <c r="H49" s="4" t="s">
        <v>75</v>
      </c>
      <c r="I49" s="36">
        <f>IFERROR(_xlfn.XLOOKUP($B49,Raw_Data!$A$3:$A$273,Raw_Data!$I$3:$I$273),"")</f>
        <v>0.68</v>
      </c>
      <c r="J49" s="36">
        <f>IFERROR(_xlfn.XLOOKUP($B49,Raw_Data!$A$3:$A$273,Raw_Data!$L$3:$L$273),"")</f>
        <v>0.68</v>
      </c>
      <c r="K49" s="36">
        <f>IFERROR(_xlfn.XLOOKUP($B49,Raw_Data!$A$3:$A$273,Raw_Data!$M$3:$M$273),"")</f>
        <v>4.18</v>
      </c>
      <c r="L49" s="15">
        <f>IFERROR(_xlfn.XLOOKUP($B49,Raw_Data!$A$3:$A$273,Raw_Data!$Q$3:$Q$273),"")</f>
        <v>0</v>
      </c>
      <c r="M49" s="34" t="str">
        <f>IFERROR(_xlfn.XLOOKUP($B49,Raw_Data!$A$3:$A$273,Raw_Data!$R$3:$R$273),"")</f>
        <v xml:space="preserve">BPH Energy </v>
      </c>
      <c r="N49" s="16" cm="1">
        <f t="array" ref="N49">IF(M49="",0,COUNTA(_xlfn._xlws.FILTER(_xlfn.TEXTSPLIT(M49,";"), _xlfn.TEXTSPLIT(M49,";")&lt;&gt;"")))</f>
        <v>1</v>
      </c>
      <c r="O49" s="16" t="str">
        <f t="shared" si="0"/>
        <v>N</v>
      </c>
      <c r="P49" s="19">
        <f>IFERROR(_xlfn.XLOOKUP($B49,Raw_Data!$A$3:$A$273,Raw_Data!$V$3:$V$273),"")</f>
        <v>0</v>
      </c>
      <c r="Q49" s="16" t="str">
        <f t="shared" si="1"/>
        <v>Y</v>
      </c>
      <c r="R49" s="32">
        <f>IFERROR(_xlfn.XLOOKUP($B49,Raw_Data!$A$3:$A$273,Raw_Data!$Y$3:$Y$273),"")</f>
        <v>1</v>
      </c>
      <c r="S49" s="4" t="str" cm="1">
        <f t="array" ref="S49">_xlfn.LET(_xlpm.s, Raw_Data!W49,_xlpm.strat, _xlfn._xlws.FILTER(REF_Setup!$B$3:$B$40, REF_Setup!$B$3:$B$40&lt;&gt;""),IF(OR(_xlpm.s="",_xlpm.s=0),"Unclassified",IF(SUM(--ISNUMBER(SEARCH(_xlpm.strat, _xlpm.s)))&gt;0, "Y", "N"))
)</f>
        <v>N</v>
      </c>
      <c r="T49" s="4" t="str" cm="1">
        <f t="array" ref="T49">_xlfn.LET(_xlpm.s,M49,_xlpm.phil, _xlfn._xlws.FILTER(REF_Setup!$D$3:$D$5, REF_Setup!$D$3:$D$5&lt;&gt;""),IF(OR(_xlpm.s="", _xlpm.s=0),"Unclassified",IF(SUM(--ISNUMBER(SEARCH(_xlpm.phil, _xlpm.s)))&gt;0, "Y", "N")))</f>
        <v>N</v>
      </c>
      <c r="U49" s="4" t="str" cm="1">
        <f t="array" ref="U49">IF(M49="", "Unclassified", IF(AND(SUMPRODUCT(--ISNUMBER(SEARCH(REF_Setup!$B$3:$B$40,M49)))&gt;0,SUMPRODUCT(--ISNUMBER(SEARCH(REF_Setup!$F$3:$F$15,M49)))&gt;0),"Mixed",IF(SUMPRODUCT(--ISNUMBER(SEARCH(REF_Setup!$B$3:$B$40,M49)))&gt;0,"Strategic Only",IF(SUMPRODUCT(--ISNUMBER(SEARCH(REF_Setup!$F$3:$F$15,M49)))&gt;0,"VC Only","Unclassified"))))</f>
        <v>Unclassified</v>
      </c>
    </row>
    <row r="50" spans="2:21" x14ac:dyDescent="0.35">
      <c r="B50" s="4">
        <f t="shared" si="2"/>
        <v>48</v>
      </c>
      <c r="C50" s="4" t="str">
        <f>IFERROR(_xlfn.XLOOKUP($B50,Raw_Data!$A$3:$A$273,Raw_Data!$B$3:$B$273),"")</f>
        <v>Clean Hydrogen Technologies</v>
      </c>
      <c r="D50" s="4" t="str">
        <f>IFERROR(_xlfn.XLOOKUP($B50,Raw_Data!$A$3:$A$273,Raw_Data!$C$3:$C$273),"")</f>
        <v>New York, NY</v>
      </c>
      <c r="E50" s="4">
        <f>IFERROR(_xlfn.XLOOKUP($B50,Raw_Data!$A$3:$A$273,Raw_Data!$D$3:$D$273),"")</f>
        <v>2021</v>
      </c>
      <c r="F50" s="4" t="str">
        <f>IFERROR(_xlfn.XLOOKUP($B50,Raw_Data!$A$3:$A$273,Raw_Data!$F$3:$F$273),"")</f>
        <v>Hydrogen</v>
      </c>
      <c r="G50" s="35">
        <f>IFERROR(_xlfn.XLOOKUP($B50,Raw_Data!$A$3:$A$273,Raw_Data!$J$3:$J$273),"")</f>
        <v>45596</v>
      </c>
      <c r="H50" s="4" t="s">
        <v>75</v>
      </c>
      <c r="I50" s="36">
        <f>IFERROR(_xlfn.XLOOKUP($B50,Raw_Data!$A$3:$A$273,Raw_Data!$I$3:$I$273),"")</f>
        <v>16.88</v>
      </c>
      <c r="J50" s="36">
        <f>IFERROR(_xlfn.XLOOKUP($B50,Raw_Data!$A$3:$A$273,Raw_Data!$L$3:$L$273),"")</f>
        <v>16.2</v>
      </c>
      <c r="K50" s="36">
        <f>IFERROR(_xlfn.XLOOKUP($B50,Raw_Data!$A$3:$A$273,Raw_Data!$M$3:$M$273),"")</f>
        <v>38.880000000000003</v>
      </c>
      <c r="L50" s="15">
        <f>IFERROR(_xlfn.XLOOKUP($B50,Raw_Data!$A$3:$A$273,Raw_Data!$Q$3:$Q$273),"")</f>
        <v>0.60000000000000009</v>
      </c>
      <c r="M50" s="34"/>
      <c r="N50" s="16" cm="1">
        <f t="array" ref="N50">IF(M50="",0,COUNTA(_xlfn._xlws.FILTER(_xlfn.TEXTSPLIT(M50,";"), _xlfn.TEXTSPLIT(M50,";")&lt;&gt;"")))</f>
        <v>0</v>
      </c>
      <c r="O50" s="16" t="str">
        <f t="shared" si="0"/>
        <v>Y</v>
      </c>
      <c r="P50" s="19" t="str">
        <f>IFERROR(_xlfn.XLOOKUP($B50,Raw_Data!$A$3:$A$273,Raw_Data!$V$3:$V$273),"")</f>
        <v>N/A</v>
      </c>
      <c r="Q50" s="16" t="str">
        <f t="shared" si="1"/>
        <v>Y</v>
      </c>
      <c r="R50" s="32" t="str">
        <f>IFERROR(_xlfn.XLOOKUP($B50,Raw_Data!$A$3:$A$273,Raw_Data!$Y$3:$Y$273),"")</f>
        <v>N/A</v>
      </c>
      <c r="S50" s="4" t="str" cm="1">
        <f t="array" ref="S50">_xlfn.LET(_xlpm.s, Raw_Data!W50,_xlpm.strat, _xlfn._xlws.FILTER(REF_Setup!$B$3:$B$40, REF_Setup!$B$3:$B$40&lt;&gt;""),IF(OR(_xlpm.s="",_xlpm.s=0),"Unclassified",IF(SUM(--ISNUMBER(SEARCH(_xlpm.strat, _xlpm.s)))&gt;0, "Y", "N"))
)</f>
        <v>Unclassified</v>
      </c>
      <c r="T50" s="4" t="str" cm="1">
        <f t="array" ref="T50">_xlfn.LET(_xlpm.s,M50,_xlpm.phil, _xlfn._xlws.FILTER(REF_Setup!$D$3:$D$5, REF_Setup!$D$3:$D$5&lt;&gt;""),IF(OR(_xlpm.s="", _xlpm.s=0),"Unclassified",IF(SUM(--ISNUMBER(SEARCH(_xlpm.phil, _xlpm.s)))&gt;0, "Y", "N")))</f>
        <v>Unclassified</v>
      </c>
      <c r="U50" s="4" t="str" cm="1">
        <f t="array" ref="U50">IF(M50="", "Unclassified", IF(AND(SUMPRODUCT(--ISNUMBER(SEARCH(REF_Setup!$B$3:$B$40,M50)))&gt;0,SUMPRODUCT(--ISNUMBER(SEARCH(REF_Setup!$F$3:$F$15,M50)))&gt;0),"Mixed",IF(SUMPRODUCT(--ISNUMBER(SEARCH(REF_Setup!$B$3:$B$40,M50)))&gt;0,"Strategic Only",IF(SUMPRODUCT(--ISNUMBER(SEARCH(REF_Setup!$F$3:$F$15,M50)))&gt;0,"VC Only","Unclassified"))))</f>
        <v>Unclassified</v>
      </c>
    </row>
    <row r="51" spans="2:21" x14ac:dyDescent="0.35">
      <c r="B51" s="4">
        <f t="shared" si="2"/>
        <v>49</v>
      </c>
      <c r="C51" s="4" t="str">
        <f>IFERROR(_xlfn.XLOOKUP($B51,Raw_Data!$A$3:$A$273,Raw_Data!$B$3:$B$273),"")</f>
        <v>Clean Fiber</v>
      </c>
      <c r="D51" s="4" t="str">
        <f>IFERROR(_xlfn.XLOOKUP($B51,Raw_Data!$A$3:$A$273,Raw_Data!$C$3:$C$273),"")</f>
        <v>Blasdell, NY</v>
      </c>
      <c r="E51" s="4">
        <f>IFERROR(_xlfn.XLOOKUP($B51,Raw_Data!$A$3:$A$273,Raw_Data!$D$3:$D$273),"")</f>
        <v>2013</v>
      </c>
      <c r="F51" s="4" t="str">
        <f>IFERROR(_xlfn.XLOOKUP($B51,Raw_Data!$A$3:$A$273,Raw_Data!$F$3:$F$273),"")</f>
        <v>Buildings</v>
      </c>
      <c r="G51" s="35">
        <f>IFERROR(_xlfn.XLOOKUP($B51,Raw_Data!$A$3:$A$273,Raw_Data!$J$3:$J$273),"")</f>
        <v>45047</v>
      </c>
      <c r="H51" s="16" t="s">
        <v>1465</v>
      </c>
      <c r="I51" s="36">
        <f>IFERROR(_xlfn.XLOOKUP($B51,Raw_Data!$A$3:$A$273,Raw_Data!$I$3:$I$273),"")</f>
        <v>62.28</v>
      </c>
      <c r="J51" s="36">
        <f>IFERROR(_xlfn.XLOOKUP($B51,Raw_Data!$A$3:$A$273,Raw_Data!$L$3:$L$273),"")</f>
        <v>6.7</v>
      </c>
      <c r="K51" s="36">
        <f>IFERROR(_xlfn.XLOOKUP($B51,Raw_Data!$A$3:$A$273,Raw_Data!$M$3:$M$273),"")</f>
        <v>33</v>
      </c>
      <c r="L51" s="15">
        <f>IFERROR(_xlfn.XLOOKUP($B51,Raw_Data!$A$3:$A$273,Raw_Data!$Q$3:$Q$273),"")</f>
        <v>0</v>
      </c>
      <c r="M51" s="34" t="str">
        <f>IFERROR(_xlfn.XLOOKUP($B51,Raw_Data!$A$3:$A$273,Raw_Data!$R$3:$R$273),"")</f>
        <v xml:space="preserve">WNY Impact Investment Fund </v>
      </c>
      <c r="N51" s="16" cm="1">
        <f t="array" ref="N51">IF(M51="",0,COUNTA(_xlfn._xlws.FILTER(_xlfn.TEXTSPLIT(M51,";"), _xlfn.TEXTSPLIT(M51,";")&lt;&gt;"")))</f>
        <v>1</v>
      </c>
      <c r="O51" s="16" t="str">
        <f t="shared" si="0"/>
        <v>Y</v>
      </c>
      <c r="P51" s="19">
        <f>IFERROR(_xlfn.XLOOKUP($B51,Raw_Data!$A$3:$A$273,Raw_Data!$V$3:$V$273),"")</f>
        <v>1</v>
      </c>
      <c r="Q51" s="16" t="str">
        <f t="shared" si="1"/>
        <v>Y</v>
      </c>
      <c r="R51" s="32" t="str">
        <f>IFERROR(_xlfn.XLOOKUP($B51,Raw_Data!$A$3:$A$273,Raw_Data!$Y$3:$Y$273),"")</f>
        <v>N/A</v>
      </c>
      <c r="S51" s="4" t="str" cm="1">
        <f t="array" ref="S51">_xlfn.LET(_xlpm.s, Raw_Data!W51,_xlpm.strat, _xlfn._xlws.FILTER(REF_Setup!$B$3:$B$40, REF_Setup!$B$3:$B$40&lt;&gt;""),IF(OR(_xlpm.s="",_xlpm.s=0),"Unclassified",IF(SUM(--ISNUMBER(SEARCH(_xlpm.strat, _xlpm.s)))&gt;0, "Y", "N"))
)</f>
        <v>Unclassified</v>
      </c>
      <c r="T51" s="4" t="str" cm="1">
        <f t="array" ref="T51">_xlfn.LET(_xlpm.s,M51,_xlpm.phil, _xlfn._xlws.FILTER(REF_Setup!$D$3:$D$5, REF_Setup!$D$3:$D$5&lt;&gt;""),IF(OR(_xlpm.s="", _xlpm.s=0),"Unclassified",IF(SUM(--ISNUMBER(SEARCH(_xlpm.phil, _xlpm.s)))&gt;0, "Y", "N")))</f>
        <v>N</v>
      </c>
      <c r="U51" s="4" t="str" cm="1">
        <f t="array" ref="U51">IF(M51="", "Unclassified", IF(AND(SUMPRODUCT(--ISNUMBER(SEARCH(REF_Setup!$B$3:$B$40,M51)))&gt;0,SUMPRODUCT(--ISNUMBER(SEARCH(REF_Setup!$F$3:$F$15,M51)))&gt;0),"Mixed",IF(SUMPRODUCT(--ISNUMBER(SEARCH(REF_Setup!$B$3:$B$40,M51)))&gt;0,"Strategic Only",IF(SUMPRODUCT(--ISNUMBER(SEARCH(REF_Setup!$F$3:$F$15,M51)))&gt;0,"VC Only","Unclassified"))))</f>
        <v>VC Only</v>
      </c>
    </row>
    <row r="52" spans="2:21" x14ac:dyDescent="0.35">
      <c r="B52" s="4">
        <f t="shared" si="2"/>
        <v>50</v>
      </c>
      <c r="C52" s="4" t="str">
        <f>IFERROR(_xlfn.XLOOKUP($B52,Raw_Data!$A$3:$A$273,Raw_Data!$B$3:$B$273),"")</f>
        <v>Clear Energy Hydro</v>
      </c>
      <c r="D52" s="4" t="str">
        <f>IFERROR(_xlfn.XLOOKUP($B52,Raw_Data!$A$3:$A$273,Raw_Data!$C$3:$C$273),"")</f>
        <v>Castle Rock, CO</v>
      </c>
      <c r="E52" s="4">
        <f>IFERROR(_xlfn.XLOOKUP($B52,Raw_Data!$A$3:$A$273,Raw_Data!$D$3:$D$273),"")</f>
        <v>2018</v>
      </c>
      <c r="F52" s="4" t="str">
        <f>IFERROR(_xlfn.XLOOKUP($B52,Raw_Data!$A$3:$A$273,Raw_Data!$F$3:$F$273),"")</f>
        <v>Renewables</v>
      </c>
      <c r="G52" s="35">
        <f>IFERROR(_xlfn.XLOOKUP($B52,Raw_Data!$A$3:$A$273,Raw_Data!$J$3:$J$273),"")</f>
        <v>44215</v>
      </c>
      <c r="H52" s="4" t="s">
        <v>75</v>
      </c>
      <c r="I52" s="36">
        <f>IFERROR(_xlfn.XLOOKUP($B52,Raw_Data!$A$3:$A$273,Raw_Data!$I$3:$I$273),"")</f>
        <v>0</v>
      </c>
      <c r="J52" s="36">
        <f>IFERROR(_xlfn.XLOOKUP($B52,Raw_Data!$A$3:$A$273,Raw_Data!$L$3:$L$273),"")</f>
        <v>0</v>
      </c>
      <c r="K52" s="36">
        <f>IFERROR(_xlfn.XLOOKUP($B52,Raw_Data!$A$3:$A$273,Raw_Data!$M$3:$M$273),"")</f>
        <v>0</v>
      </c>
      <c r="L52" s="15" t="str">
        <f>IFERROR(_xlfn.XLOOKUP($B52,Raw_Data!$A$3:$A$273,Raw_Data!$Q$3:$Q$273),"")</f>
        <v>N/A</v>
      </c>
      <c r="M52" s="34" t="str">
        <f>IFERROR(_xlfn.XLOOKUP($B52,Raw_Data!$A$3:$A$273,Raw_Data!$R$3:$R$273),"")</f>
        <v>Greenbacker Capital Management</v>
      </c>
      <c r="N52" s="16" cm="1">
        <f t="array" ref="N52">IF(M52="",0,COUNTA(_xlfn._xlws.FILTER(_xlfn.TEXTSPLIT(M52,";"), _xlfn.TEXTSPLIT(M52,";")&lt;&gt;"")))</f>
        <v>1</v>
      </c>
      <c r="O52" s="16" t="str">
        <f t="shared" si="0"/>
        <v>N</v>
      </c>
      <c r="P52" s="19">
        <f>IFERROR(_xlfn.XLOOKUP($B52,Raw_Data!$A$3:$A$273,Raw_Data!$V$3:$V$273),"")</f>
        <v>0</v>
      </c>
      <c r="Q52" s="16" t="str">
        <f t="shared" si="1"/>
        <v>Y</v>
      </c>
      <c r="R52" s="32">
        <f>IFERROR(_xlfn.XLOOKUP($B52,Raw_Data!$A$3:$A$273,Raw_Data!$Y$3:$Y$273),"")</f>
        <v>1</v>
      </c>
      <c r="S52" s="4" t="str" cm="1">
        <f t="array" ref="S52">_xlfn.LET(_xlpm.s, Raw_Data!W52,_xlpm.strat, _xlfn._xlws.FILTER(REF_Setup!$B$3:$B$40, REF_Setup!$B$3:$B$40&lt;&gt;""),IF(OR(_xlpm.s="",_xlpm.s=0),"Unclassified",IF(SUM(--ISNUMBER(SEARCH(_xlpm.strat, _xlpm.s)))&gt;0, "Y", "N"))
)</f>
        <v>N</v>
      </c>
      <c r="T52" s="4" t="str" cm="1">
        <f t="array" ref="T52">_xlfn.LET(_xlpm.s,M52,_xlpm.phil, _xlfn._xlws.FILTER(REF_Setup!$D$3:$D$5, REF_Setup!$D$3:$D$5&lt;&gt;""),IF(OR(_xlpm.s="", _xlpm.s=0),"Unclassified",IF(SUM(--ISNUMBER(SEARCH(_xlpm.phil, _xlpm.s)))&gt;0, "Y", "N")))</f>
        <v>N</v>
      </c>
      <c r="U52" s="4" t="str" cm="1">
        <f t="array" ref="U52">IF(M52="", "Unclassified", IF(AND(SUMPRODUCT(--ISNUMBER(SEARCH(REF_Setup!$B$3:$B$40,M52)))&gt;0,SUMPRODUCT(--ISNUMBER(SEARCH(REF_Setup!$F$3:$F$15,M52)))&gt;0),"Mixed",IF(SUMPRODUCT(--ISNUMBER(SEARCH(REF_Setup!$B$3:$B$40,M52)))&gt;0,"Strategic Only",IF(SUMPRODUCT(--ISNUMBER(SEARCH(REF_Setup!$F$3:$F$15,M52)))&gt;0,"VC Only","Unclassified"))))</f>
        <v>VC Only</v>
      </c>
    </row>
    <row r="53" spans="2:21" x14ac:dyDescent="0.35">
      <c r="B53" s="4">
        <f t="shared" si="2"/>
        <v>51</v>
      </c>
      <c r="C53" s="4" t="str">
        <f>IFERROR(_xlfn.XLOOKUP($B53,Raw_Data!$A$3:$A$273,Raw_Data!$B$3:$B$273),"")</f>
        <v>ClearShift</v>
      </c>
      <c r="D53" s="4" t="str">
        <f>IFERROR(_xlfn.XLOOKUP($B53,Raw_Data!$A$3:$A$273,Raw_Data!$C$3:$C$273),"")</f>
        <v>Dallas, TX</v>
      </c>
      <c r="E53" s="4">
        <f>IFERROR(_xlfn.XLOOKUP($B53,Raw_Data!$A$3:$A$273,Raw_Data!$D$3:$D$273),"")</f>
        <v>2017</v>
      </c>
      <c r="F53" s="4" t="str">
        <f>IFERROR(_xlfn.XLOOKUP($B53,Raw_Data!$A$3:$A$273,Raw_Data!$F$3:$F$273),"")</f>
        <v>Industrial Decarbonization</v>
      </c>
      <c r="G53" s="35">
        <f>IFERROR(_xlfn.XLOOKUP($B53,Raw_Data!$A$3:$A$273,Raw_Data!$J$3:$J$273),"")</f>
        <v>43003</v>
      </c>
      <c r="H53" s="4" t="s">
        <v>75</v>
      </c>
      <c r="I53" s="36">
        <f>IFERROR(_xlfn.XLOOKUP($B53,Raw_Data!$A$3:$A$273,Raw_Data!$I$3:$I$273),"")</f>
        <v>0</v>
      </c>
      <c r="J53" s="36">
        <f>IFERROR(_xlfn.XLOOKUP($B53,Raw_Data!$A$3:$A$273,Raw_Data!$L$3:$L$273),"")</f>
        <v>0</v>
      </c>
      <c r="K53" s="36">
        <f>IFERROR(_xlfn.XLOOKUP($B53,Raw_Data!$A$3:$A$273,Raw_Data!$M$3:$M$273),"")</f>
        <v>0</v>
      </c>
      <c r="L53" s="15" t="str">
        <f>IFERROR(_xlfn.XLOOKUP($B53,Raw_Data!$A$3:$A$273,Raw_Data!$Q$3:$Q$273),"")</f>
        <v>N/A</v>
      </c>
      <c r="M53" s="34" t="str">
        <f>IFERROR(_xlfn.XLOOKUP($B53,Raw_Data!$A$3:$A$273,Raw_Data!$R$3:$R$273),"")</f>
        <v xml:space="preserve">Castlelake </v>
      </c>
      <c r="N53" s="16" cm="1">
        <f t="array" ref="N53">IF(M53="",0,COUNTA(_xlfn._xlws.FILTER(_xlfn.TEXTSPLIT(M53,";"), _xlfn.TEXTSPLIT(M53,";")&lt;&gt;"")))</f>
        <v>1</v>
      </c>
      <c r="O53" s="16" t="str">
        <f t="shared" si="0"/>
        <v>N</v>
      </c>
      <c r="P53" s="19">
        <f>IFERROR(_xlfn.XLOOKUP($B53,Raw_Data!$A$3:$A$273,Raw_Data!$V$3:$V$273),"")</f>
        <v>0</v>
      </c>
      <c r="Q53" s="16" t="str">
        <f t="shared" si="1"/>
        <v>Y</v>
      </c>
      <c r="R53" s="32">
        <f>IFERROR(_xlfn.XLOOKUP($B53,Raw_Data!$A$3:$A$273,Raw_Data!$Y$3:$Y$273),"")</f>
        <v>1</v>
      </c>
      <c r="S53" s="4" t="str" cm="1">
        <f t="array" ref="S53">_xlfn.LET(_xlpm.s, Raw_Data!W53,_xlpm.strat, _xlfn._xlws.FILTER(REF_Setup!$B$3:$B$40, REF_Setup!$B$3:$B$40&lt;&gt;""),IF(OR(_xlpm.s="",_xlpm.s=0),"Unclassified",IF(SUM(--ISNUMBER(SEARCH(_xlpm.strat, _xlpm.s)))&gt;0, "Y", "N"))
)</f>
        <v>N</v>
      </c>
      <c r="T53" s="4" t="str" cm="1">
        <f t="array" ref="T53">_xlfn.LET(_xlpm.s,M53,_xlpm.phil, _xlfn._xlws.FILTER(REF_Setup!$D$3:$D$5, REF_Setup!$D$3:$D$5&lt;&gt;""),IF(OR(_xlpm.s="", _xlpm.s=0),"Unclassified",IF(SUM(--ISNUMBER(SEARCH(_xlpm.phil, _xlpm.s)))&gt;0, "Y", "N")))</f>
        <v>N</v>
      </c>
      <c r="U53" s="4" t="str" cm="1">
        <f t="array" ref="U53">IF(M53="", "Unclassified", IF(AND(SUMPRODUCT(--ISNUMBER(SEARCH(REF_Setup!$B$3:$B$40,M53)))&gt;0,SUMPRODUCT(--ISNUMBER(SEARCH(REF_Setup!$F$3:$F$15,M53)))&gt;0),"Mixed",IF(SUMPRODUCT(--ISNUMBER(SEARCH(REF_Setup!$B$3:$B$40,M53)))&gt;0,"Strategic Only",IF(SUMPRODUCT(--ISNUMBER(SEARCH(REF_Setup!$F$3:$F$15,M53)))&gt;0,"VC Only","Unclassified"))))</f>
        <v>Unclassified</v>
      </c>
    </row>
    <row r="54" spans="2:21" ht="72.5" x14ac:dyDescent="0.35">
      <c r="B54" s="4">
        <f t="shared" si="2"/>
        <v>52</v>
      </c>
      <c r="C54" s="4" t="str">
        <f>IFERROR(_xlfn.XLOOKUP($B54,Raw_Data!$A$3:$A$273,Raw_Data!$B$3:$B$273),"")</f>
        <v>Commonwealth Fusion Systems</v>
      </c>
      <c r="D54" s="4" t="str">
        <f>IFERROR(_xlfn.XLOOKUP($B54,Raw_Data!$A$3:$A$273,Raw_Data!$C$3:$C$273),"")</f>
        <v>Devens, MA</v>
      </c>
      <c r="E54" s="4">
        <f>IFERROR(_xlfn.XLOOKUP($B54,Raw_Data!$A$3:$A$273,Raw_Data!$D$3:$D$273),"")</f>
        <v>2018</v>
      </c>
      <c r="F54" s="4" t="str">
        <f>IFERROR(_xlfn.XLOOKUP($B54,Raw_Data!$A$3:$A$273,Raw_Data!$F$3:$F$273),"")</f>
        <v>Renewables</v>
      </c>
      <c r="G54" s="35">
        <f>IFERROR(_xlfn.XLOOKUP($B54,Raw_Data!$A$3:$A$273,Raw_Data!$J$3:$J$273),"")</f>
        <v>43977</v>
      </c>
      <c r="H54" s="16" t="s">
        <v>1465</v>
      </c>
      <c r="I54" s="36">
        <f>IFERROR(_xlfn.XLOOKUP($B54,Raw_Data!$A$3:$A$273,Raw_Data!$I$3:$I$273),"")</f>
        <v>199</v>
      </c>
      <c r="J54" s="36">
        <f>IFERROR(_xlfn.XLOOKUP($B54,Raw_Data!$A$3:$A$273,Raw_Data!$L$3:$L$273),"")</f>
        <v>84</v>
      </c>
      <c r="K54" s="36">
        <f>IFERROR(_xlfn.XLOOKUP($B54,Raw_Data!$A$3:$A$273,Raw_Data!$M$3:$M$273),"")</f>
        <v>0</v>
      </c>
      <c r="L54" s="15">
        <f>IFERROR(_xlfn.XLOOKUP($B54,Raw_Data!$A$3:$A$273,Raw_Data!$Q$3:$Q$273),"")</f>
        <v>0</v>
      </c>
      <c r="M54" s="34" t="str">
        <f>IFERROR(_xlfn.XLOOKUP($B54,Raw_Data!$A$3:$A$273,Raw_Data!$R$3:$R$273),"")</f>
        <v>Artfo Holdings; Beni Venture Capital; Breakthrough Energy; Devonshire Investors; Engine Ventures; Equinor Venturses; Futures Ventures; Hostplus Superannuation Fund; Khosla Ventures; Lowercarbon Capital; Moore Strategic Ventures; Prime Movers Lab; Safar Partners; Schooner Capital; Starlight Ventures; Temasek Holdings; Yild Capital Partners</v>
      </c>
      <c r="N54" s="16" cm="1">
        <f t="array" ref="N54">IF(M54="",0,COUNTA(_xlfn._xlws.FILTER(_xlfn.TEXTSPLIT(M54,";"), _xlfn.TEXTSPLIT(M54,";")&lt;&gt;"")))</f>
        <v>17</v>
      </c>
      <c r="O54" s="16" t="str">
        <f t="shared" si="0"/>
        <v>Y</v>
      </c>
      <c r="P54" s="19">
        <f>IFERROR(_xlfn.XLOOKUP($B54,Raw_Data!$A$3:$A$273,Raw_Data!$V$3:$V$273),"")</f>
        <v>0.47058823529411764</v>
      </c>
      <c r="Q54" s="16" t="str">
        <f t="shared" si="1"/>
        <v>Y</v>
      </c>
      <c r="R54" s="32">
        <f>IFERROR(_xlfn.XLOOKUP($B54,Raw_Data!$A$3:$A$273,Raw_Data!$Y$3:$Y$273),"")</f>
        <v>0.70588235294117652</v>
      </c>
      <c r="S54" s="4" t="str" cm="1">
        <f t="array" ref="S54">_xlfn.LET(_xlpm.s, Raw_Data!W54,_xlpm.strat, _xlfn._xlws.FILTER(REF_Setup!$B$3:$B$40, REF_Setup!$B$3:$B$40&lt;&gt;""),IF(OR(_xlpm.s="",_xlpm.s=0),"Unclassified",IF(SUM(--ISNUMBER(SEARCH(_xlpm.strat, _xlpm.s)))&gt;0, "Y", "N"))
)</f>
        <v>N</v>
      </c>
      <c r="T54" s="4" t="str" cm="1">
        <f t="array" ref="T54">_xlfn.LET(_xlpm.s,M54,_xlpm.phil, _xlfn._xlws.FILTER(REF_Setup!$D$3:$D$5, REF_Setup!$D$3:$D$5&lt;&gt;""),IF(OR(_xlpm.s="", _xlpm.s=0),"Unclassified",IF(SUM(--ISNUMBER(SEARCH(_xlpm.phil, _xlpm.s)))&gt;0, "Y", "N")))</f>
        <v>N</v>
      </c>
      <c r="U54" s="4" t="str" cm="1">
        <f t="array" ref="U54">IF(M54="", "Unclassified", IF(AND(SUMPRODUCT(--ISNUMBER(SEARCH(REF_Setup!$B$3:$B$40,M54)))&gt;0,SUMPRODUCT(--ISNUMBER(SEARCH(REF_Setup!$F$3:$F$15,M54)))&gt;0),"Mixed",IF(SUMPRODUCT(--ISNUMBER(SEARCH(REF_Setup!$B$3:$B$40,M54)))&gt;0,"Strategic Only",IF(SUMPRODUCT(--ISNUMBER(SEARCH(REF_Setup!$F$3:$F$15,M54)))&gt;0,"VC Only","Unclassified"))))</f>
        <v>VC Only</v>
      </c>
    </row>
    <row r="55" spans="2:21" ht="174" x14ac:dyDescent="0.35">
      <c r="B55" s="4">
        <f t="shared" si="2"/>
        <v>53</v>
      </c>
      <c r="C55" s="4" t="str">
        <f>IFERROR(_xlfn.XLOOKUP($B55,Raw_Data!$A$3:$A$273,Raw_Data!$B$3:$B$273),"")</f>
        <v>Commonwealth Fusion Systems</v>
      </c>
      <c r="D55" s="4" t="str">
        <f>IFERROR(_xlfn.XLOOKUP($B55,Raw_Data!$A$3:$A$273,Raw_Data!$C$3:$C$273),"")</f>
        <v>Devens, MA</v>
      </c>
      <c r="E55" s="4">
        <f>IFERROR(_xlfn.XLOOKUP($B55,Raw_Data!$A$3:$A$273,Raw_Data!$D$3:$D$273),"")</f>
        <v>2018</v>
      </c>
      <c r="F55" s="4" t="str">
        <f>IFERROR(_xlfn.XLOOKUP($B55,Raw_Data!$A$3:$A$273,Raw_Data!$F$3:$F$273),"")</f>
        <v>Renewables</v>
      </c>
      <c r="G55" s="35">
        <f>IFERROR(_xlfn.XLOOKUP($B55,Raw_Data!$A$3:$A$273,Raw_Data!$J$3:$J$273),"")</f>
        <v>45834</v>
      </c>
      <c r="H55" s="16" t="s">
        <v>1467</v>
      </c>
      <c r="I55" s="36">
        <f>IFERROR(_xlfn.XLOOKUP($B55,Raw_Data!$A$3:$A$273,Raw_Data!$I$3:$I$273),"")</f>
        <v>2862</v>
      </c>
      <c r="J55" s="36">
        <f>IFERROR(_xlfn.XLOOKUP($B55,Raw_Data!$A$3:$A$273,Raw_Data!$L$3:$L$273),"")</f>
        <v>863</v>
      </c>
      <c r="K55" s="36">
        <f>IFERROR(_xlfn.XLOOKUP($B55,Raw_Data!$A$3:$A$273,Raw_Data!$M$3:$M$273),"")</f>
        <v>0</v>
      </c>
      <c r="L55" s="15">
        <f>IFERROR(_xlfn.XLOOKUP($B55,Raw_Data!$A$3:$A$273,Raw_Data!$Q$3:$Q$273),"")</f>
        <v>0.11587485515643106</v>
      </c>
      <c r="M55" s="34" t="str">
        <f>IFERROR(_xlfn.XLOOKUP($B55,Raw_Data!$A$3:$A$273,Raw_Data!$R$3:$R$273),"")</f>
        <v>31Ventures; Breakthrough Energy;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Gigascale Capital; NEVA SGR; Standish Spring Investments; Khosla Ventures; Future Ventures; Safar Partners; Starlight Ventures; Lowercarbon Capital; Tiger Global Management; Global Brain; Galaxy Interactive; Gates Frontier; Stanley F. Druckenmiller; Eric Schmidt; Sumitomo Mitsui Trust Bank; Sumitomo Mitsui Banking; JGC Holdings; Brightwing Capital; One Madison Group; Emerson Collective; Google Foundation; Hostplus Superannuation Fund; Ripple Impact Investments; Doorga Capital; Counterpoint Global</v>
      </c>
      <c r="N55" s="16" cm="1">
        <f t="array" ref="N55">IF(M55="",0,COUNTA(_xlfn._xlws.FILTER(_xlfn.TEXTSPLIT(M55,";"), _xlfn.TEXTSPLIT(M55,";")&lt;&gt;"")))</f>
        <v>45</v>
      </c>
      <c r="O55" s="16" t="str">
        <f t="shared" si="0"/>
        <v>Y</v>
      </c>
      <c r="P55" s="19">
        <f>IFERROR(_xlfn.XLOOKUP($B55,Raw_Data!$A$3:$A$273,Raw_Data!$V$3:$V$273),"")</f>
        <v>0.28888888888888886</v>
      </c>
      <c r="Q55" s="16" t="str">
        <f t="shared" si="1"/>
        <v>Y</v>
      </c>
      <c r="R55" s="32">
        <f>IFERROR(_xlfn.XLOOKUP($B55,Raw_Data!$A$3:$A$273,Raw_Data!$Y$3:$Y$273),"")</f>
        <v>0.73333333333333328</v>
      </c>
      <c r="S55" s="4" t="str" cm="1">
        <f t="array" ref="S55">_xlfn.LET(_xlpm.s, Raw_Data!W55,_xlpm.strat, _xlfn._xlws.FILTER(REF_Setup!$B$3:$B$40, REF_Setup!$B$3:$B$40&lt;&gt;""),IF(OR(_xlpm.s="",_xlpm.s=0),"Unclassified",IF(SUM(--ISNUMBER(SEARCH(_xlpm.strat, _xlpm.s)))&gt;0, "Y", "N"))
)</f>
        <v>Y</v>
      </c>
      <c r="T55" s="4" t="str" cm="1">
        <f t="array" ref="T55">_xlfn.LET(_xlpm.s,M55,_xlpm.phil, _xlfn._xlws.FILTER(REF_Setup!$D$3:$D$5, REF_Setup!$D$3:$D$5&lt;&gt;""),IF(OR(_xlpm.s="", _xlpm.s=0),"Unclassified",IF(SUM(--ISNUMBER(SEARCH(_xlpm.phil, _xlpm.s)))&gt;0, "Y", "N")))</f>
        <v>Y</v>
      </c>
      <c r="U55" s="4" t="str" cm="1">
        <f t="array" ref="U55">IF(M55="", "Unclassified", IF(AND(SUMPRODUCT(--ISNUMBER(SEARCH(REF_Setup!$B$3:$B$40,M55)))&gt;0,SUMPRODUCT(--ISNUMBER(SEARCH(REF_Setup!$F$3:$F$15,M55)))&gt;0),"Mixed",IF(SUMPRODUCT(--ISNUMBER(SEARCH(REF_Setup!$B$3:$B$40,M55)))&gt;0,"Strategic Only",IF(SUMPRODUCT(--ISNUMBER(SEARCH(REF_Setup!$F$3:$F$15,M55)))&gt;0,"VC Only","Unclassified"))))</f>
        <v>Mixed</v>
      </c>
    </row>
    <row r="56" spans="2:21" x14ac:dyDescent="0.35">
      <c r="B56" s="4">
        <f t="shared" si="2"/>
        <v>54</v>
      </c>
      <c r="C56" s="4" t="str">
        <f>IFERROR(_xlfn.XLOOKUP($B56,Raw_Data!$A$3:$A$273,Raw_Data!$B$3:$B$273),"")</f>
        <v>Conamix</v>
      </c>
      <c r="D56" s="4" t="str">
        <f>IFERROR(_xlfn.XLOOKUP($B56,Raw_Data!$A$3:$A$273,Raw_Data!$C$3:$C$273),"")</f>
        <v>Ithaca, NY</v>
      </c>
      <c r="E56" s="4">
        <f>IFERROR(_xlfn.XLOOKUP($B56,Raw_Data!$A$3:$A$273,Raw_Data!$D$3:$D$273),"")</f>
        <v>2014</v>
      </c>
      <c r="F56" s="4" t="str">
        <f>IFERROR(_xlfn.XLOOKUP($B56,Raw_Data!$A$3:$A$273,Raw_Data!$F$3:$F$273),"")</f>
        <v>LDES</v>
      </c>
      <c r="G56" s="35">
        <f>IFERROR(_xlfn.XLOOKUP($B56,Raw_Data!$A$3:$A$273,Raw_Data!$J$3:$J$273),"")</f>
        <v>44524</v>
      </c>
      <c r="H56" s="16" t="s">
        <v>1465</v>
      </c>
      <c r="I56" s="36">
        <f>IFERROR(_xlfn.XLOOKUP($B56,Raw_Data!$A$3:$A$273,Raw_Data!$I$3:$I$273),"")</f>
        <v>10.84</v>
      </c>
      <c r="J56" s="36">
        <f>IFERROR(_xlfn.XLOOKUP($B56,Raw_Data!$A$3:$A$273,Raw_Data!$L$3:$L$273),"")</f>
        <v>4</v>
      </c>
      <c r="K56" s="36">
        <f>IFERROR(_xlfn.XLOOKUP($B56,Raw_Data!$A$3:$A$273,Raw_Data!$M$3:$M$273),"")</f>
        <v>34</v>
      </c>
      <c r="L56" s="15">
        <f>IFERROR(_xlfn.XLOOKUP($B56,Raw_Data!$A$3:$A$273,Raw_Data!$Q$3:$Q$273),"")</f>
        <v>0</v>
      </c>
      <c r="M56" s="34" t="str">
        <f>IFERROR(_xlfn.XLOOKUP($B56,Raw_Data!$A$3:$A$273,Raw_Data!$R$3:$R$273),"")</f>
        <v>Catalus Capital Management (Saif Qazi); Plug and Play Tech Center</v>
      </c>
      <c r="N56" s="16" cm="1">
        <f t="array" ref="N56">IF(M56="",0,COUNTA(_xlfn._xlws.FILTER(_xlfn.TEXTSPLIT(M56,";"), _xlfn.TEXTSPLIT(M56,";")&lt;&gt;"")))</f>
        <v>2</v>
      </c>
      <c r="O56" s="16" t="str">
        <f t="shared" si="0"/>
        <v>N</v>
      </c>
      <c r="P56" s="19">
        <f>IFERROR(_xlfn.XLOOKUP($B56,Raw_Data!$A$3:$A$273,Raw_Data!$V$3:$V$273),"")</f>
        <v>0</v>
      </c>
      <c r="Q56" s="16" t="str">
        <f t="shared" si="1"/>
        <v>Y</v>
      </c>
      <c r="R56" s="32">
        <f>IFERROR(_xlfn.XLOOKUP($B56,Raw_Data!$A$3:$A$273,Raw_Data!$Y$3:$Y$273),"")</f>
        <v>1</v>
      </c>
      <c r="S56" s="4" t="str" cm="1">
        <f t="array" ref="S56">_xlfn.LET(_xlpm.s, Raw_Data!W56,_xlpm.strat, _xlfn._xlws.FILTER(REF_Setup!$B$3:$B$40, REF_Setup!$B$3:$B$40&lt;&gt;""),IF(OR(_xlpm.s="",_xlpm.s=0),"Unclassified",IF(SUM(--ISNUMBER(SEARCH(_xlpm.strat, _xlpm.s)))&gt;0, "Y", "N"))
)</f>
        <v>N</v>
      </c>
      <c r="T56" s="4" t="str" cm="1">
        <f t="array" ref="T56">_xlfn.LET(_xlpm.s,M56,_xlpm.phil, _xlfn._xlws.FILTER(REF_Setup!$D$3:$D$5, REF_Setup!$D$3:$D$5&lt;&gt;""),IF(OR(_xlpm.s="", _xlpm.s=0),"Unclassified",IF(SUM(--ISNUMBER(SEARCH(_xlpm.phil, _xlpm.s)))&gt;0, "Y", "N")))</f>
        <v>N</v>
      </c>
      <c r="U56" s="4" t="str" cm="1">
        <f t="array" ref="U56">IF(M56="", "Unclassified", IF(AND(SUMPRODUCT(--ISNUMBER(SEARCH(REF_Setup!$B$3:$B$40,M56)))&gt;0,SUMPRODUCT(--ISNUMBER(SEARCH(REF_Setup!$F$3:$F$15,M56)))&gt;0),"Mixed",IF(SUMPRODUCT(--ISNUMBER(SEARCH(REF_Setup!$B$3:$B$40,M56)))&gt;0,"Strategic Only",IF(SUMPRODUCT(--ISNUMBER(SEARCH(REF_Setup!$F$3:$F$15,M56)))&gt;0,"VC Only","Unclassified"))))</f>
        <v>VC Only</v>
      </c>
    </row>
    <row r="57" spans="2:21" x14ac:dyDescent="0.35">
      <c r="B57" s="4">
        <f t="shared" si="2"/>
        <v>55</v>
      </c>
      <c r="C57" s="4" t="str">
        <f>IFERROR(_xlfn.XLOOKUP($B57,Raw_Data!$A$3:$A$273,Raw_Data!$B$3:$B$273),"")</f>
        <v>Cool Energy</v>
      </c>
      <c r="D57" s="4" t="str">
        <f>IFERROR(_xlfn.XLOOKUP($B57,Raw_Data!$A$3:$A$273,Raw_Data!$C$3:$C$273),"")</f>
        <v>Boulder, CO</v>
      </c>
      <c r="E57" s="4">
        <f>IFERROR(_xlfn.XLOOKUP($B57,Raw_Data!$A$3:$A$273,Raw_Data!$D$3:$D$273),"")</f>
        <v>2006</v>
      </c>
      <c r="F57" s="4" t="str">
        <f>IFERROR(_xlfn.XLOOKUP($B57,Raw_Data!$A$3:$A$273,Raw_Data!$F$3:$F$273),"")</f>
        <v>Industrial Decarbonization</v>
      </c>
      <c r="G57" s="35">
        <f>IFERROR(_xlfn.XLOOKUP($B57,Raw_Data!$A$3:$A$273,Raw_Data!$J$3:$J$273),"")</f>
        <v>44774</v>
      </c>
      <c r="H57" s="4" t="s">
        <v>75</v>
      </c>
      <c r="I57" s="36">
        <f>IFERROR(_xlfn.XLOOKUP($B57,Raw_Data!$A$3:$A$273,Raw_Data!$I$3:$I$273),"")</f>
        <v>2.4700000000000002</v>
      </c>
      <c r="J57" s="36">
        <f>IFERROR(_xlfn.XLOOKUP($B57,Raw_Data!$A$3:$A$273,Raw_Data!$L$3:$L$273),"")</f>
        <v>0</v>
      </c>
      <c r="K57" s="36">
        <f>IFERROR(_xlfn.XLOOKUP($B57,Raw_Data!$A$3:$A$273,Raw_Data!$M$3:$M$273),"")</f>
        <v>0</v>
      </c>
      <c r="L57" s="15" t="str">
        <f>IFERROR(_xlfn.XLOOKUP($B57,Raw_Data!$A$3:$A$273,Raw_Data!$Q$3:$Q$273),"")</f>
        <v>N/A</v>
      </c>
      <c r="M57" s="34" t="str">
        <f>IFERROR(_xlfn.XLOOKUP($B57,Raw_Data!$A$3:$A$273,Raw_Data!$R$3:$R$273),"")</f>
        <v xml:space="preserve">Highland Ventures Group </v>
      </c>
      <c r="N57" s="16" cm="1">
        <f t="array" ref="N57">IF(M57="",0,COUNTA(_xlfn._xlws.FILTER(_xlfn.TEXTSPLIT(M57,";"), _xlfn.TEXTSPLIT(M57,";")&lt;&gt;"")))</f>
        <v>1</v>
      </c>
      <c r="O57" s="16" t="str">
        <f t="shared" si="0"/>
        <v>N</v>
      </c>
      <c r="P57" s="19">
        <f>IFERROR(_xlfn.XLOOKUP($B57,Raw_Data!$A$3:$A$273,Raw_Data!$V$3:$V$273),"")</f>
        <v>0</v>
      </c>
      <c r="Q57" s="16" t="str">
        <f t="shared" si="1"/>
        <v>Y</v>
      </c>
      <c r="R57" s="32">
        <f>IFERROR(_xlfn.XLOOKUP($B57,Raw_Data!$A$3:$A$273,Raw_Data!$Y$3:$Y$273),"")</f>
        <v>1</v>
      </c>
      <c r="S57" s="4" t="str" cm="1">
        <f t="array" ref="S57">_xlfn.LET(_xlpm.s, Raw_Data!W57,_xlpm.strat, _xlfn._xlws.FILTER(REF_Setup!$B$3:$B$40, REF_Setup!$B$3:$B$40&lt;&gt;""),IF(OR(_xlpm.s="",_xlpm.s=0),"Unclassified",IF(SUM(--ISNUMBER(SEARCH(_xlpm.strat, _xlpm.s)))&gt;0, "Y", "N"))
)</f>
        <v>N</v>
      </c>
      <c r="T57" s="4" t="str" cm="1">
        <f t="array" ref="T57">_xlfn.LET(_xlpm.s,M57,_xlpm.phil, _xlfn._xlws.FILTER(REF_Setup!$D$3:$D$5, REF_Setup!$D$3:$D$5&lt;&gt;""),IF(OR(_xlpm.s="", _xlpm.s=0),"Unclassified",IF(SUM(--ISNUMBER(SEARCH(_xlpm.phil, _xlpm.s)))&gt;0, "Y", "N")))</f>
        <v>N</v>
      </c>
      <c r="U57" s="4" t="str" cm="1">
        <f t="array" ref="U57">IF(M57="", "Unclassified", IF(AND(SUMPRODUCT(--ISNUMBER(SEARCH(REF_Setup!$B$3:$B$40,M57)))&gt;0,SUMPRODUCT(--ISNUMBER(SEARCH(REF_Setup!$F$3:$F$15,M57)))&gt;0),"Mixed",IF(SUMPRODUCT(--ISNUMBER(SEARCH(REF_Setup!$B$3:$B$40,M57)))&gt;0,"Strategic Only",IF(SUMPRODUCT(--ISNUMBER(SEARCH(REF_Setup!$F$3:$F$15,M57)))&gt;0,"VC Only","Unclassified"))))</f>
        <v>VC Only</v>
      </c>
    </row>
    <row r="58" spans="2:21" ht="29" x14ac:dyDescent="0.35">
      <c r="B58" s="4">
        <f t="shared" si="2"/>
        <v>56</v>
      </c>
      <c r="C58" s="4" t="str">
        <f>IFERROR(_xlfn.XLOOKUP($B58,Raw_Data!$A$3:$A$273,Raw_Data!$B$3:$B$273),"")</f>
        <v>Dandelion Energy</v>
      </c>
      <c r="D58" s="4" t="str">
        <f>IFERROR(_xlfn.XLOOKUP($B58,Raw_Data!$A$3:$A$273,Raw_Data!$C$3:$C$273),"")</f>
        <v>Mount Kisco, NY</v>
      </c>
      <c r="E58" s="4">
        <f>IFERROR(_xlfn.XLOOKUP($B58,Raw_Data!$A$3:$A$273,Raw_Data!$D$3:$D$273),"")</f>
        <v>2017</v>
      </c>
      <c r="F58" s="4" t="str">
        <f>IFERROR(_xlfn.XLOOKUP($B58,Raw_Data!$A$3:$A$273,Raw_Data!$F$3:$F$273),"")</f>
        <v>Buildings</v>
      </c>
      <c r="G58" s="35">
        <f>IFERROR(_xlfn.XLOOKUP($B58,Raw_Data!$A$3:$A$273,Raw_Data!$J$3:$J$273),"")</f>
        <v>43845</v>
      </c>
      <c r="H58" s="16" t="s">
        <v>1465</v>
      </c>
      <c r="I58" s="36">
        <f>IFERROR(_xlfn.XLOOKUP($B58,Raw_Data!$A$3:$A$273,Raw_Data!$I$3:$I$273),"")</f>
        <v>34.96</v>
      </c>
      <c r="J58" s="36">
        <f>IFERROR(_xlfn.XLOOKUP($B58,Raw_Data!$A$3:$A$273,Raw_Data!$L$3:$L$273),"")</f>
        <v>12</v>
      </c>
      <c r="K58" s="36">
        <f>IFERROR(_xlfn.XLOOKUP($B58,Raw_Data!$A$3:$A$273,Raw_Data!$M$3:$M$273),"")</f>
        <v>109.99</v>
      </c>
      <c r="L58" s="15">
        <f>IFERROR(_xlfn.XLOOKUP($B58,Raw_Data!$A$3:$A$273,Raw_Data!$Q$3:$Q$273),"")</f>
        <v>0</v>
      </c>
      <c r="M58" s="34" t="str">
        <f>IFERROR(_xlfn.XLOOKUP($B58,Raw_Data!$A$3:$A$273,Raw_Data!$R$3:$R$273),"")</f>
        <v>Catchlight Ventures; Collaborative Fund; Comcast Ventures; Ground Up Ventures; GV; Lennar Ventures; New Enterprise Associates</v>
      </c>
      <c r="N58" s="16" cm="1">
        <f t="array" ref="N58">IF(M58="",0,COUNTA(_xlfn._xlws.FILTER(_xlfn.TEXTSPLIT(M58,";"), _xlfn.TEXTSPLIT(M58,";")&lt;&gt;"")))</f>
        <v>7</v>
      </c>
      <c r="O58" s="16" t="str">
        <f t="shared" si="0"/>
        <v>Y</v>
      </c>
      <c r="P58" s="19">
        <f>IFERROR(_xlfn.XLOOKUP($B58,Raw_Data!$A$3:$A$273,Raw_Data!$V$3:$V$273),"")</f>
        <v>0.8571428571428571</v>
      </c>
      <c r="Q58" s="16" t="str">
        <f t="shared" si="1"/>
        <v>Y</v>
      </c>
      <c r="R58" s="32">
        <f>IFERROR(_xlfn.XLOOKUP($B58,Raw_Data!$A$3:$A$273,Raw_Data!$Y$3:$Y$273),"")</f>
        <v>0.14285714285714285</v>
      </c>
      <c r="S58" s="4" t="str" cm="1">
        <f t="array" ref="S58">_xlfn.LET(_xlpm.s, Raw_Data!W58,_xlpm.strat, _xlfn._xlws.FILTER(REF_Setup!$B$3:$B$40, REF_Setup!$B$3:$B$40&lt;&gt;""),IF(OR(_xlpm.s="",_xlpm.s=0),"Unclassified",IF(SUM(--ISNUMBER(SEARCH(_xlpm.strat, _xlpm.s)))&gt;0, "Y", "N"))
)</f>
        <v>N</v>
      </c>
      <c r="T58" s="4" t="str" cm="1">
        <f t="array" ref="T58">_xlfn.LET(_xlpm.s,M58,_xlpm.phil, _xlfn._xlws.FILTER(REF_Setup!$D$3:$D$5, REF_Setup!$D$3:$D$5&lt;&gt;""),IF(OR(_xlpm.s="", _xlpm.s=0),"Unclassified",IF(SUM(--ISNUMBER(SEARCH(_xlpm.phil, _xlpm.s)))&gt;0, "Y", "N")))</f>
        <v>N</v>
      </c>
      <c r="U58" s="4" t="str" cm="1">
        <f t="array" ref="U58">IF(M58="", "Unclassified", IF(AND(SUMPRODUCT(--ISNUMBER(SEARCH(REF_Setup!$B$3:$B$40,M58)))&gt;0,SUMPRODUCT(--ISNUMBER(SEARCH(REF_Setup!$F$3:$F$15,M58)))&gt;0),"Mixed",IF(SUMPRODUCT(--ISNUMBER(SEARCH(REF_Setup!$B$3:$B$40,M58)))&gt;0,"Strategic Only",IF(SUMPRODUCT(--ISNUMBER(SEARCH(REF_Setup!$F$3:$F$15,M58)))&gt;0,"VC Only","Unclassified"))))</f>
        <v>Mixed</v>
      </c>
    </row>
    <row r="59" spans="2:21" ht="58" x14ac:dyDescent="0.35">
      <c r="B59" s="4">
        <f t="shared" si="2"/>
        <v>57</v>
      </c>
      <c r="C59" s="4" t="str">
        <f>IFERROR(_xlfn.XLOOKUP($B59,Raw_Data!$A$3:$A$273,Raw_Data!$B$3:$B$273),"")</f>
        <v>Dandelion Energy</v>
      </c>
      <c r="D59" s="4" t="str">
        <f>IFERROR(_xlfn.XLOOKUP($B59,Raw_Data!$A$3:$A$273,Raw_Data!$C$3:$C$273),"")</f>
        <v>Mount Kisco, NY</v>
      </c>
      <c r="E59" s="4">
        <f>IFERROR(_xlfn.XLOOKUP($B59,Raw_Data!$A$3:$A$273,Raw_Data!$D$3:$D$273),"")</f>
        <v>2017</v>
      </c>
      <c r="F59" s="4" t="str">
        <f>IFERROR(_xlfn.XLOOKUP($B59,Raw_Data!$A$3:$A$273,Raw_Data!$F$3:$F$273),"")</f>
        <v>Buildings</v>
      </c>
      <c r="G59" s="35">
        <f>IFERROR(_xlfn.XLOOKUP($B59,Raw_Data!$A$3:$A$273,Raw_Data!$J$3:$J$273),"")</f>
        <v>44880</v>
      </c>
      <c r="H59" s="16" t="s">
        <v>1467</v>
      </c>
      <c r="I59" s="36">
        <f>IFERROR(_xlfn.XLOOKUP($B59,Raw_Data!$A$3:$A$273,Raw_Data!$I$3:$I$273),"")</f>
        <v>135.66</v>
      </c>
      <c r="J59" s="36">
        <f>IFERROR(_xlfn.XLOOKUP($B59,Raw_Data!$A$3:$A$273,Raw_Data!$L$3:$L$273),"")</f>
        <v>69.7</v>
      </c>
      <c r="K59" s="36">
        <f>IFERROR(_xlfn.XLOOKUP($B59,Raw_Data!$A$3:$A$273,Raw_Data!$M$3:$M$273),"")</f>
        <v>299.7</v>
      </c>
      <c r="L59" s="15">
        <f>IFERROR(_xlfn.XLOOKUP($B59,Raw_Data!$A$3:$A$273,Raw_Data!$Q$3:$Q$273),"")</f>
        <v>0</v>
      </c>
      <c r="M59" s="34" t="str">
        <f>IFERROR(_xlfn.XLOOKUP($B59,Raw_Data!$A$3:$A$273,Raw_Data!$R$3:$R$273),"")</f>
        <v>Breakthrough Energy; Building Ventures; Collaborative Fund;  David Stark; GV; HiJoJo Partners; Lennar Ventures; Michael Sachse; New Enterprise Associates; NGP Energy Capital Management; NGP Energy Technology Partners; OurCrowd; Sam Landman; Tim Krebs; Travis Connors</v>
      </c>
      <c r="N59" s="16" cm="1">
        <f t="array" ref="N59">IF(M59="",0,COUNTA(_xlfn._xlws.FILTER(_xlfn.TEXTSPLIT(M59,";"), _xlfn.TEXTSPLIT(M59,";")&lt;&gt;"")))</f>
        <v>15</v>
      </c>
      <c r="O59" s="16" t="str">
        <f t="shared" si="0"/>
        <v>Y</v>
      </c>
      <c r="P59" s="19">
        <f>IFERROR(_xlfn.XLOOKUP($B59,Raw_Data!$A$3:$A$273,Raw_Data!$V$3:$V$273),"")</f>
        <v>0.4</v>
      </c>
      <c r="Q59" s="16" t="str">
        <f t="shared" si="1"/>
        <v>Y</v>
      </c>
      <c r="R59" s="32">
        <f>IFERROR(_xlfn.XLOOKUP($B59,Raw_Data!$A$3:$A$273,Raw_Data!$Y$3:$Y$273),"")</f>
        <v>0.6</v>
      </c>
      <c r="S59" s="4" t="str" cm="1">
        <f t="array" ref="S59">_xlfn.LET(_xlpm.s, Raw_Data!W59,_xlpm.strat, _xlfn._xlws.FILTER(REF_Setup!$B$3:$B$40, REF_Setup!$B$3:$B$40&lt;&gt;""),IF(OR(_xlpm.s="",_xlpm.s=0),"Unclassified",IF(SUM(--ISNUMBER(SEARCH(_xlpm.strat, _xlpm.s)))&gt;0, "Y", "N"))
)</f>
        <v>N</v>
      </c>
      <c r="T59" s="4" t="str" cm="1">
        <f t="array" ref="T59">_xlfn.LET(_xlpm.s,M59,_xlpm.phil, _xlfn._xlws.FILTER(REF_Setup!$D$3:$D$5, REF_Setup!$D$3:$D$5&lt;&gt;""),IF(OR(_xlpm.s="", _xlpm.s=0),"Unclassified",IF(SUM(--ISNUMBER(SEARCH(_xlpm.phil, _xlpm.s)))&gt;0, "Y", "N")))</f>
        <v>N</v>
      </c>
      <c r="U59" s="4" t="str" cm="1">
        <f t="array" ref="U59">IF(M59="", "Unclassified", IF(AND(SUMPRODUCT(--ISNUMBER(SEARCH(REF_Setup!$B$3:$B$40,M59)))&gt;0,SUMPRODUCT(--ISNUMBER(SEARCH(REF_Setup!$F$3:$F$15,M59)))&gt;0),"Mixed",IF(SUMPRODUCT(--ISNUMBER(SEARCH(REF_Setup!$B$3:$B$40,M59)))&gt;0,"Strategic Only",IF(SUMPRODUCT(--ISNUMBER(SEARCH(REF_Setup!$F$3:$F$15,M59)))&gt;0,"VC Only","Unclassified"))))</f>
        <v>Mixed</v>
      </c>
    </row>
    <row r="60" spans="2:21" x14ac:dyDescent="0.35">
      <c r="B60" s="4">
        <f t="shared" si="2"/>
        <v>58</v>
      </c>
      <c r="C60" s="4" t="str">
        <f>IFERROR(_xlfn.XLOOKUP($B60,Raw_Data!$A$3:$A$273,Raw_Data!$B$3:$B$273),"")</f>
        <v>Digital Power Optimization</v>
      </c>
      <c r="D60" s="4" t="str">
        <f>IFERROR(_xlfn.XLOOKUP($B60,Raw_Data!$A$3:$A$273,Raw_Data!$C$3:$C$273),"")</f>
        <v>New York, NY</v>
      </c>
      <c r="E60" s="4">
        <f>IFERROR(_xlfn.XLOOKUP($B60,Raw_Data!$A$3:$A$273,Raw_Data!$D$3:$D$273),"")</f>
        <v>2020</v>
      </c>
      <c r="F60" s="4" t="str">
        <f>IFERROR(_xlfn.XLOOKUP($B60,Raw_Data!$A$3:$A$273,Raw_Data!$F$3:$F$273),"")</f>
        <v>Renewables</v>
      </c>
      <c r="G60" s="35">
        <f>IFERROR(_xlfn.XLOOKUP($B60,Raw_Data!$A$3:$A$273,Raw_Data!$J$3:$J$273),"")</f>
        <v>44223</v>
      </c>
      <c r="H60" s="16" t="s">
        <v>1466</v>
      </c>
      <c r="I60" s="36">
        <f>IFERROR(_xlfn.XLOOKUP($B60,Raw_Data!$A$3:$A$273,Raw_Data!$I$3:$I$273),"")</f>
        <v>0.54</v>
      </c>
      <c r="J60" s="36">
        <f>IFERROR(_xlfn.XLOOKUP($B60,Raw_Data!$A$3:$A$273,Raw_Data!$L$3:$L$273),"")</f>
        <v>0.44</v>
      </c>
      <c r="K60" s="36">
        <f>IFERROR(_xlfn.XLOOKUP($B60,Raw_Data!$A$3:$A$273,Raw_Data!$M$3:$M$273),"")</f>
        <v>4</v>
      </c>
      <c r="L60" s="15">
        <f>IFERROR(_xlfn.XLOOKUP($B60,Raw_Data!$A$3:$A$273,Raw_Data!$Q$3:$Q$273),"")</f>
        <v>0</v>
      </c>
      <c r="M60" s="34" t="str">
        <f>IFERROR(_xlfn.XLOOKUP($B60,Raw_Data!$A$3:$A$273,Raw_Data!$R$3:$R$273),"")</f>
        <v>Salutem Capital</v>
      </c>
      <c r="N60" s="16" cm="1">
        <f t="array" ref="N60">IF(M60="",0,COUNTA(_xlfn._xlws.FILTER(_xlfn.TEXTSPLIT(M60,";"), _xlfn.TEXTSPLIT(M60,";")&lt;&gt;"")))</f>
        <v>1</v>
      </c>
      <c r="O60" s="16" t="str">
        <f t="shared" si="0"/>
        <v>N</v>
      </c>
      <c r="P60" s="19">
        <f>IFERROR(_xlfn.XLOOKUP($B60,Raw_Data!$A$3:$A$273,Raw_Data!$V$3:$V$273),"")</f>
        <v>0</v>
      </c>
      <c r="Q60" s="16" t="str">
        <f t="shared" si="1"/>
        <v>Y</v>
      </c>
      <c r="R60" s="32">
        <f>IFERROR(_xlfn.XLOOKUP($B60,Raw_Data!$A$3:$A$273,Raw_Data!$Y$3:$Y$273),"")</f>
        <v>1</v>
      </c>
      <c r="S60" s="4" t="str" cm="1">
        <f t="array" ref="S60">_xlfn.LET(_xlpm.s, Raw_Data!W60,_xlpm.strat, _xlfn._xlws.FILTER(REF_Setup!$B$3:$B$40, REF_Setup!$B$3:$B$40&lt;&gt;""),IF(OR(_xlpm.s="",_xlpm.s=0),"Unclassified",IF(SUM(--ISNUMBER(SEARCH(_xlpm.strat, _xlpm.s)))&gt;0, "Y", "N"))
)</f>
        <v>N</v>
      </c>
      <c r="T60" s="4" t="str" cm="1">
        <f t="array" ref="T60">_xlfn.LET(_xlpm.s,M60,_xlpm.phil, _xlfn._xlws.FILTER(REF_Setup!$D$3:$D$5, REF_Setup!$D$3:$D$5&lt;&gt;""),IF(OR(_xlpm.s="", _xlpm.s=0),"Unclassified",IF(SUM(--ISNUMBER(SEARCH(_xlpm.phil, _xlpm.s)))&gt;0, "Y", "N")))</f>
        <v>N</v>
      </c>
      <c r="U60" s="4" t="str" cm="1">
        <f t="array" ref="U60">IF(M60="", "Unclassified", IF(AND(SUMPRODUCT(--ISNUMBER(SEARCH(REF_Setup!$B$3:$B$40,M60)))&gt;0,SUMPRODUCT(--ISNUMBER(SEARCH(REF_Setup!$F$3:$F$15,M60)))&gt;0),"Mixed",IF(SUMPRODUCT(--ISNUMBER(SEARCH(REF_Setup!$B$3:$B$40,M60)))&gt;0,"Strategic Only",IF(SUMPRODUCT(--ISNUMBER(SEARCH(REF_Setup!$F$3:$F$15,M60)))&gt;0,"VC Only","Unclassified"))))</f>
        <v>VC Only</v>
      </c>
    </row>
    <row r="61" spans="2:21" ht="29" x14ac:dyDescent="0.35">
      <c r="B61" s="4">
        <f t="shared" si="2"/>
        <v>59</v>
      </c>
      <c r="C61" s="4" t="str">
        <f>IFERROR(_xlfn.XLOOKUP($B61,Raw_Data!$A$3:$A$273,Raw_Data!$B$3:$B$273),"")</f>
        <v>Dimensional Energy</v>
      </c>
      <c r="D61" s="4" t="str">
        <f>IFERROR(_xlfn.XLOOKUP($B61,Raw_Data!$A$3:$A$273,Raw_Data!$C$3:$C$273),"")</f>
        <v>Ithaca, NY</v>
      </c>
      <c r="E61" s="4">
        <f>IFERROR(_xlfn.XLOOKUP($B61,Raw_Data!$A$3:$A$273,Raw_Data!$D$3:$D$273),"")</f>
        <v>2014</v>
      </c>
      <c r="F61" s="4" t="str">
        <f>IFERROR(_xlfn.XLOOKUP($B61,Raw_Data!$A$3:$A$273,Raw_Data!$F$3:$F$273),"")</f>
        <v>Mobility</v>
      </c>
      <c r="G61" s="35">
        <f>IFERROR(_xlfn.XLOOKUP($B61,Raw_Data!$A$3:$A$273,Raw_Data!$J$3:$J$273),"")</f>
        <v>44561</v>
      </c>
      <c r="I61" s="36">
        <f>IFERROR(_xlfn.XLOOKUP($B61,Raw_Data!$A$3:$A$273,Raw_Data!$I$3:$I$273),"")</f>
        <v>6.3</v>
      </c>
      <c r="J61" s="36">
        <f>IFERROR(_xlfn.XLOOKUP($B61,Raw_Data!$A$3:$A$273,Raw_Data!$L$3:$L$273),"")</f>
        <v>0</v>
      </c>
      <c r="K61" s="36">
        <f>IFERROR(_xlfn.XLOOKUP($B61,Raw_Data!$A$3:$A$273,Raw_Data!$M$3:$M$273),"")</f>
        <v>0</v>
      </c>
      <c r="L61" s="15" t="str">
        <f>IFERROR(_xlfn.XLOOKUP($B61,Raw_Data!$A$3:$A$273,Raw_Data!$Q$3:$Q$273),"")</f>
        <v>N/A</v>
      </c>
      <c r="M61" s="34" t="str">
        <f>IFERROR(_xlfn.XLOOKUP($B61,Raw_Data!$A$3:$A$273,Raw_Data!$R$3:$R$273),"")</f>
        <v>Beni Venture Capital; Demos Capital; Ithaca Area Economic Development; New Climate Ventures; New York Ventures; United Airlines Ventures</v>
      </c>
      <c r="N61" s="16" cm="1">
        <f t="array" ref="N61">IF(M61="",0,COUNTA(_xlfn._xlws.FILTER(_xlfn.TEXTSPLIT(M61,";"), _xlfn.TEXTSPLIT(M61,";")&lt;&gt;"")))</f>
        <v>6</v>
      </c>
      <c r="O61" s="16" t="str">
        <f t="shared" si="0"/>
        <v>Y</v>
      </c>
      <c r="P61" s="19">
        <f>IFERROR(_xlfn.XLOOKUP($B61,Raw_Data!$A$3:$A$273,Raw_Data!$V$3:$V$273),"")</f>
        <v>0.16666666666666666</v>
      </c>
      <c r="Q61" s="16" t="str">
        <f t="shared" si="1"/>
        <v>Y</v>
      </c>
      <c r="R61" s="32">
        <f>IFERROR(_xlfn.XLOOKUP($B61,Raw_Data!$A$3:$A$273,Raw_Data!$Y$3:$Y$273),"")</f>
        <v>0.83333333333333337</v>
      </c>
      <c r="S61" s="4" t="str" cm="1">
        <f t="array" ref="S61">_xlfn.LET(_xlpm.s, Raw_Data!W61,_xlpm.strat, _xlfn._xlws.FILTER(REF_Setup!$B$3:$B$40, REF_Setup!$B$3:$B$40&lt;&gt;""),IF(OR(_xlpm.s="",_xlpm.s=0),"Unclassified",IF(SUM(--ISNUMBER(SEARCH(_xlpm.strat, _xlpm.s)))&gt;0, "Y", "N"))
)</f>
        <v>Y</v>
      </c>
      <c r="T61" s="4" t="str" cm="1">
        <f t="array" ref="T61">_xlfn.LET(_xlpm.s,M61,_xlpm.phil, _xlfn._xlws.FILTER(REF_Setup!$D$3:$D$5, REF_Setup!$D$3:$D$5&lt;&gt;""),IF(OR(_xlpm.s="", _xlpm.s=0),"Unclassified",IF(SUM(--ISNUMBER(SEARCH(_xlpm.phil, _xlpm.s)))&gt;0, "Y", "N")))</f>
        <v>N</v>
      </c>
      <c r="U61" s="4" t="str" cm="1">
        <f t="array" ref="U61">IF(M61="", "Unclassified", IF(AND(SUMPRODUCT(--ISNUMBER(SEARCH(REF_Setup!$B$3:$B$40,M61)))&gt;0,SUMPRODUCT(--ISNUMBER(SEARCH(REF_Setup!$F$3:$F$15,M61)))&gt;0),"Mixed",IF(SUMPRODUCT(--ISNUMBER(SEARCH(REF_Setup!$B$3:$B$40,M61)))&gt;0,"Strategic Only",IF(SUMPRODUCT(--ISNUMBER(SEARCH(REF_Setup!$F$3:$F$15,M61)))&gt;0,"VC Only","Unclassified"))))</f>
        <v>Mixed</v>
      </c>
    </row>
    <row r="62" spans="2:21" ht="29" x14ac:dyDescent="0.35">
      <c r="B62" s="4">
        <f t="shared" si="2"/>
        <v>60</v>
      </c>
      <c r="C62" s="4" t="str">
        <f>IFERROR(_xlfn.XLOOKUP($B62,Raw_Data!$A$3:$A$273,Raw_Data!$B$3:$B$273),"")</f>
        <v>Disa Technologies</v>
      </c>
      <c r="D62" s="4" t="str">
        <f>IFERROR(_xlfn.XLOOKUP($B62,Raw_Data!$A$3:$A$273,Raw_Data!$C$3:$C$273),"")</f>
        <v>Casper, WY</v>
      </c>
      <c r="E62" s="4">
        <f>IFERROR(_xlfn.XLOOKUP($B62,Raw_Data!$A$3:$A$273,Raw_Data!$D$3:$D$273),"")</f>
        <v>0</v>
      </c>
      <c r="F62" s="4" t="str">
        <f>IFERROR(_xlfn.XLOOKUP($B62,Raw_Data!$A$3:$A$273,Raw_Data!$F$3:$F$273),"")</f>
        <v>Industrial Decarbonization</v>
      </c>
      <c r="G62" s="35">
        <f>IFERROR(_xlfn.XLOOKUP($B62,Raw_Data!$A$3:$A$273,Raw_Data!$J$3:$J$273),"")</f>
        <v>45845</v>
      </c>
      <c r="H62" s="16" t="s">
        <v>1465</v>
      </c>
      <c r="I62" s="36">
        <f>IFERROR(_xlfn.XLOOKUP($B62,Raw_Data!$A$3:$A$273,Raw_Data!$I$3:$I$273),"")</f>
        <v>49.53</v>
      </c>
      <c r="J62" s="36">
        <f>IFERROR(_xlfn.XLOOKUP($B62,Raw_Data!$A$3:$A$273,Raw_Data!$L$3:$L$273),"")</f>
        <v>30</v>
      </c>
      <c r="K62" s="36">
        <f>IFERROR(_xlfn.XLOOKUP($B62,Raw_Data!$A$3:$A$273,Raw_Data!$M$3:$M$273),"")</f>
        <v>149</v>
      </c>
      <c r="L62" s="15">
        <f>IFERROR(_xlfn.XLOOKUP($B62,Raw_Data!$A$3:$A$273,Raw_Data!$Q$3:$Q$273),"")</f>
        <v>0</v>
      </c>
      <c r="M62" s="34" t="str">
        <f>IFERROR(_xlfn.XLOOKUP($B62,Raw_Data!$A$3:$A$273,Raw_Data!$R$3:$R$273),"")</f>
        <v>Bacchus Venture Capital; Constellation Technology Ventures; Evok Innovations; Halliburton Labs; The Think &amp; Act Differently; Valor Equity Partners; Veriten</v>
      </c>
      <c r="N62" s="16" cm="1">
        <f t="array" ref="N62">IF(M62="",0,COUNTA(_xlfn._xlws.FILTER(_xlfn.TEXTSPLIT(M62,";"), _xlfn.TEXTSPLIT(M62,";")&lt;&gt;"")))</f>
        <v>7</v>
      </c>
      <c r="O62" s="16" t="str">
        <f t="shared" si="0"/>
        <v>Y</v>
      </c>
      <c r="P62" s="19">
        <f>IFERROR(_xlfn.XLOOKUP($B62,Raw_Data!$A$3:$A$273,Raw_Data!$V$3:$V$273),"")</f>
        <v>0.2857142857142857</v>
      </c>
      <c r="Q62" s="16" t="str">
        <f t="shared" si="1"/>
        <v>Y</v>
      </c>
      <c r="R62" s="32">
        <f>IFERROR(_xlfn.XLOOKUP($B62,Raw_Data!$A$3:$A$273,Raw_Data!$Y$3:$Y$273),"")</f>
        <v>0.8571428571428571</v>
      </c>
      <c r="S62" s="4" t="str" cm="1">
        <f t="array" ref="S62">_xlfn.LET(_xlpm.s, Raw_Data!W62,_xlpm.strat, _xlfn._xlws.FILTER(REF_Setup!$B$3:$B$40, REF_Setup!$B$3:$B$40&lt;&gt;""),IF(OR(_xlpm.s="",_xlpm.s=0),"Unclassified",IF(SUM(--ISNUMBER(SEARCH(_xlpm.strat, _xlpm.s)))&gt;0, "Y", "N"))
)</f>
        <v>N</v>
      </c>
      <c r="T62" s="4" t="str" cm="1">
        <f t="array" ref="T62">_xlfn.LET(_xlpm.s,M62,_xlpm.phil, _xlfn._xlws.FILTER(REF_Setup!$D$3:$D$5, REF_Setup!$D$3:$D$5&lt;&gt;""),IF(OR(_xlpm.s="", _xlpm.s=0),"Unclassified",IF(SUM(--ISNUMBER(SEARCH(_xlpm.phil, _xlpm.s)))&gt;0, "Y", "N")))</f>
        <v>N</v>
      </c>
      <c r="U62" s="4" t="str" cm="1">
        <f t="array" ref="U62">IF(M62="", "Unclassified", IF(AND(SUMPRODUCT(--ISNUMBER(SEARCH(REF_Setup!$B$3:$B$40,M62)))&gt;0,SUMPRODUCT(--ISNUMBER(SEARCH(REF_Setup!$F$3:$F$15,M62)))&gt;0),"Mixed",IF(SUMPRODUCT(--ISNUMBER(SEARCH(REF_Setup!$B$3:$B$40,M62)))&gt;0,"Strategic Only",IF(SUMPRODUCT(--ISNUMBER(SEARCH(REF_Setup!$F$3:$F$15,M62)))&gt;0,"VC Only","Unclassified"))))</f>
        <v>VC Only</v>
      </c>
    </row>
    <row r="63" spans="2:21" x14ac:dyDescent="0.35">
      <c r="B63" s="4">
        <f t="shared" si="2"/>
        <v>61</v>
      </c>
      <c r="C63" s="4" t="str">
        <f>IFERROR(_xlfn.XLOOKUP($B63,Raw_Data!$A$3:$A$273,Raw_Data!$B$3:$B$273),"")</f>
        <v>DTG Recycle</v>
      </c>
      <c r="D63" s="4" t="str">
        <f>IFERROR(_xlfn.XLOOKUP($B63,Raw_Data!$A$3:$A$273,Raw_Data!$C$3:$C$273),"")</f>
        <v>Bothell, WA</v>
      </c>
      <c r="E63" s="4">
        <f>IFERROR(_xlfn.XLOOKUP($B63,Raw_Data!$A$3:$A$273,Raw_Data!$D$3:$D$273),"")</f>
        <v>1999</v>
      </c>
      <c r="F63" s="4" t="str">
        <f>IFERROR(_xlfn.XLOOKUP($B63,Raw_Data!$A$3:$A$273,Raw_Data!$F$3:$F$273),"")</f>
        <v>Industrial Decarbonization</v>
      </c>
      <c r="G63" s="35">
        <f>IFERROR(_xlfn.XLOOKUP($B63,Raw_Data!$A$3:$A$273,Raw_Data!$J$3:$J$273),"")</f>
        <v>43850</v>
      </c>
      <c r="H63" s="4" t="s">
        <v>75</v>
      </c>
      <c r="I63" s="36">
        <f>IFERROR(_xlfn.XLOOKUP($B63,Raw_Data!$A$3:$A$273,Raw_Data!$I$3:$I$273),"")</f>
        <v>32</v>
      </c>
      <c r="J63" s="36">
        <f>IFERROR(_xlfn.XLOOKUP($B63,Raw_Data!$A$3:$A$273,Raw_Data!$L$3:$L$273),"")</f>
        <v>32</v>
      </c>
      <c r="K63" s="36">
        <f>IFERROR(_xlfn.XLOOKUP($B63,Raw_Data!$A$3:$A$273,Raw_Data!$M$3:$M$273),"")</f>
        <v>0</v>
      </c>
      <c r="L63" s="15">
        <f>IFERROR(_xlfn.XLOOKUP($B63,Raw_Data!$A$3:$A$273,Raw_Data!$Q$3:$Q$273),"")</f>
        <v>0</v>
      </c>
      <c r="M63" s="34" t="str">
        <f>IFERROR(_xlfn.XLOOKUP($B63,Raw_Data!$A$3:$A$273,Raw_Data!$R$3:$R$273),"")</f>
        <v xml:space="preserve">Clair-vest Group </v>
      </c>
      <c r="N63" s="16" cm="1">
        <f t="array" ref="N63">IF(M63="",0,COUNTA(_xlfn._xlws.FILTER(_xlfn.TEXTSPLIT(M63,";"), _xlfn.TEXTSPLIT(M63,";")&lt;&gt;"")))</f>
        <v>1</v>
      </c>
      <c r="O63" s="16" t="str">
        <f t="shared" si="0"/>
        <v>N</v>
      </c>
      <c r="P63" s="19">
        <f>IFERROR(_xlfn.XLOOKUP($B63,Raw_Data!$A$3:$A$273,Raw_Data!$V$3:$V$273),"")</f>
        <v>0</v>
      </c>
      <c r="Q63" s="16" t="str">
        <f t="shared" si="1"/>
        <v>Y</v>
      </c>
      <c r="R63" s="32">
        <f>IFERROR(_xlfn.XLOOKUP($B63,Raw_Data!$A$3:$A$273,Raw_Data!$Y$3:$Y$273),"")</f>
        <v>1</v>
      </c>
      <c r="S63" s="4" t="str" cm="1">
        <f t="array" ref="S63">_xlfn.LET(_xlpm.s, Raw_Data!W63,_xlpm.strat, _xlfn._xlws.FILTER(REF_Setup!$B$3:$B$40, REF_Setup!$B$3:$B$40&lt;&gt;""),IF(OR(_xlpm.s="",_xlpm.s=0),"Unclassified",IF(SUM(--ISNUMBER(SEARCH(_xlpm.strat, _xlpm.s)))&gt;0, "Y", "N"))
)</f>
        <v>N</v>
      </c>
      <c r="T63" s="4" t="str" cm="1">
        <f t="array" ref="T63">_xlfn.LET(_xlpm.s,M63,_xlpm.phil, _xlfn._xlws.FILTER(REF_Setup!$D$3:$D$5, REF_Setup!$D$3:$D$5&lt;&gt;""),IF(OR(_xlpm.s="", _xlpm.s=0),"Unclassified",IF(SUM(--ISNUMBER(SEARCH(_xlpm.phil, _xlpm.s)))&gt;0, "Y", "N")))</f>
        <v>N</v>
      </c>
      <c r="U63" s="4" t="str" cm="1">
        <f t="array" ref="U63">IF(M63="", "Unclassified", IF(AND(SUMPRODUCT(--ISNUMBER(SEARCH(REF_Setup!$B$3:$B$40,M63)))&gt;0,SUMPRODUCT(--ISNUMBER(SEARCH(REF_Setup!$F$3:$F$15,M63)))&gt;0),"Mixed",IF(SUMPRODUCT(--ISNUMBER(SEARCH(REF_Setup!$B$3:$B$40,M63)))&gt;0,"Strategic Only",IF(SUMPRODUCT(--ISNUMBER(SEARCH(REF_Setup!$F$3:$F$15,M63)))&gt;0,"VC Only","Unclassified"))))</f>
        <v>VC Only</v>
      </c>
    </row>
    <row r="64" spans="2:21" ht="43.5" x14ac:dyDescent="0.35">
      <c r="B64" s="4">
        <f t="shared" si="2"/>
        <v>62</v>
      </c>
      <c r="C64" s="4" t="str">
        <f>IFERROR(_xlfn.XLOOKUP($B64,Raw_Data!$A$3:$A$273,Raw_Data!$B$3:$B$273),"")</f>
        <v>Dynami</v>
      </c>
      <c r="D64" s="4" t="str">
        <f>IFERROR(_xlfn.XLOOKUP($B64,Raw_Data!$A$3:$A$273,Raw_Data!$C$3:$C$273),"")</f>
        <v>Binghamton, NY</v>
      </c>
      <c r="E64" s="4">
        <f>IFERROR(_xlfn.XLOOKUP($B64,Raw_Data!$A$3:$A$273,Raw_Data!$D$3:$D$273),"")</f>
        <v>2019</v>
      </c>
      <c r="F64" s="4" t="str">
        <f>IFERROR(_xlfn.XLOOKUP($B64,Raw_Data!$A$3:$A$273,Raw_Data!$F$3:$F$273),"")</f>
        <v>LDES</v>
      </c>
      <c r="G64" s="35">
        <f>IFERROR(_xlfn.XLOOKUP($B64,Raw_Data!$A$3:$A$273,Raw_Data!$J$3:$J$273),"")</f>
        <v>44769</v>
      </c>
      <c r="H64" s="16" t="s">
        <v>1466</v>
      </c>
      <c r="I64" s="36">
        <f>IFERROR(_xlfn.XLOOKUP($B64,Raw_Data!$A$3:$A$273,Raw_Data!$I$3:$I$273),"")</f>
        <v>1.1599999999999999</v>
      </c>
      <c r="J64" s="36">
        <f>IFERROR(_xlfn.XLOOKUP($B64,Raw_Data!$A$3:$A$273,Raw_Data!$L$3:$L$273),"")</f>
        <v>1</v>
      </c>
      <c r="K64" s="36">
        <f>IFERROR(_xlfn.XLOOKUP($B64,Raw_Data!$A$3:$A$273,Raw_Data!$M$3:$M$273),"")</f>
        <v>5.5</v>
      </c>
      <c r="L64" s="15">
        <f>IFERROR(_xlfn.XLOOKUP($B64,Raw_Data!$A$3:$A$273,Raw_Data!$Q$3:$Q$273),"")</f>
        <v>0</v>
      </c>
      <c r="M64" s="34" t="str">
        <f>IFERROR(_xlfn.XLOOKUP($B64,Raw_Data!$A$3:$A$273,Raw_Data!$R$3:$R$273),"")</f>
        <v>Beresford Ventures; Draper Cygnus; Ecosphere Ventures; Globalive Capital; Murchison Capital Partners; Murchison Ventures; Threshold Impact; William Tunstall-Pedoe</v>
      </c>
      <c r="N64" s="16" cm="1">
        <f t="array" ref="N64">IF(M64="",0,COUNTA(_xlfn._xlws.FILTER(_xlfn.TEXTSPLIT(M64,";"), _xlfn.TEXTSPLIT(M64,";")&lt;&gt;"")))</f>
        <v>8</v>
      </c>
      <c r="O64" s="16" t="str">
        <f t="shared" si="0"/>
        <v>Y</v>
      </c>
      <c r="P64" s="19">
        <f>IFERROR(_xlfn.XLOOKUP($B64,Raw_Data!$A$3:$A$273,Raw_Data!$V$3:$V$273),"")</f>
        <v>0.125</v>
      </c>
      <c r="Q64" s="16" t="str">
        <f t="shared" si="1"/>
        <v>Y</v>
      </c>
      <c r="R64" s="32">
        <f>IFERROR(_xlfn.XLOOKUP($B64,Raw_Data!$A$3:$A$273,Raw_Data!$Y$3:$Y$273),"")</f>
        <v>0.875</v>
      </c>
      <c r="S64" s="4" t="str" cm="1">
        <f t="array" ref="S64">_xlfn.LET(_xlpm.s, Raw_Data!W64,_xlpm.strat, _xlfn._xlws.FILTER(REF_Setup!$B$3:$B$40, REF_Setup!$B$3:$B$40&lt;&gt;""),IF(OR(_xlpm.s="",_xlpm.s=0),"Unclassified",IF(SUM(--ISNUMBER(SEARCH(_xlpm.strat, _xlpm.s)))&gt;0, "Y", "N"))
)</f>
        <v>N</v>
      </c>
      <c r="T64" s="4" t="str" cm="1">
        <f t="array" ref="T64">_xlfn.LET(_xlpm.s,M64,_xlpm.phil, _xlfn._xlws.FILTER(REF_Setup!$D$3:$D$5, REF_Setup!$D$3:$D$5&lt;&gt;""),IF(OR(_xlpm.s="", _xlpm.s=0),"Unclassified",IF(SUM(--ISNUMBER(SEARCH(_xlpm.phil, _xlpm.s)))&gt;0, "Y", "N")))</f>
        <v>N</v>
      </c>
      <c r="U64" s="4" t="str" cm="1">
        <f t="array" ref="U64">IF(M64="", "Unclassified", IF(AND(SUMPRODUCT(--ISNUMBER(SEARCH(REF_Setup!$B$3:$B$40,M64)))&gt;0,SUMPRODUCT(--ISNUMBER(SEARCH(REF_Setup!$F$3:$F$15,M64)))&gt;0),"Mixed",IF(SUMPRODUCT(--ISNUMBER(SEARCH(REF_Setup!$B$3:$B$40,M64)))&gt;0,"Strategic Only",IF(SUMPRODUCT(--ISNUMBER(SEARCH(REF_Setup!$F$3:$F$15,M64)))&gt;0,"VC Only","Unclassified"))))</f>
        <v>VC Only</v>
      </c>
    </row>
    <row r="65" spans="2:21" ht="29" x14ac:dyDescent="0.35">
      <c r="B65" s="4">
        <f t="shared" si="2"/>
        <v>63</v>
      </c>
      <c r="C65" s="4" t="str">
        <f>IFERROR(_xlfn.XLOOKUP($B65,Raw_Data!$A$3:$A$273,Raw_Data!$B$3:$B$273),"")</f>
        <v>e-Zinc</v>
      </c>
      <c r="D65" s="4" t="str">
        <f>IFERROR(_xlfn.XLOOKUP($B65,Raw_Data!$A$3:$A$273,Raw_Data!$C$3:$C$273),"")</f>
        <v>Mississauga, Canada</v>
      </c>
      <c r="E65" s="4">
        <f>IFERROR(_xlfn.XLOOKUP($B65,Raw_Data!$A$3:$A$273,Raw_Data!$D$3:$D$273),"")</f>
        <v>2012</v>
      </c>
      <c r="F65" s="4" t="str">
        <f>IFERROR(_xlfn.XLOOKUP($B65,Raw_Data!$A$3:$A$273,Raw_Data!$F$3:$F$273),"")</f>
        <v>LDES</v>
      </c>
      <c r="G65" s="35">
        <f>IFERROR(_xlfn.XLOOKUP($B65,Raw_Data!$A$3:$A$273,Raw_Data!$J$3:$J$273),"")</f>
        <v>44974</v>
      </c>
      <c r="H65" s="16" t="s">
        <v>1465</v>
      </c>
      <c r="I65" s="36">
        <f>IFERROR(_xlfn.XLOOKUP($B65,Raw_Data!$A$3:$A$273,Raw_Data!$I$3:$I$273),"")</f>
        <v>27.73</v>
      </c>
      <c r="J65" s="36">
        <f>IFERROR(_xlfn.XLOOKUP($B65,Raw_Data!$A$3:$A$273,Raw_Data!$L$3:$L$273),"")</f>
        <v>10</v>
      </c>
      <c r="K65" s="36">
        <f>IFERROR(_xlfn.XLOOKUP($B65,Raw_Data!$A$3:$A$273,Raw_Data!$M$3:$M$273),"")</f>
        <v>0</v>
      </c>
      <c r="L65" s="15">
        <f>IFERROR(_xlfn.XLOOKUP($B65,Raw_Data!$A$3:$A$273,Raw_Data!$Q$3:$Q$273),"")</f>
        <v>0</v>
      </c>
      <c r="M65" s="34" t="str">
        <f>IFERROR(_xlfn.XLOOKUP($B65,Raw_Data!$A$3:$A$273,Raw_Data!$R$3:$R$273),"")</f>
        <v>EDC Investments; Evok Innovations; Graphite Ventures; Mitsubishi Heavy Industries; Ultratech Capital Partners</v>
      </c>
      <c r="N65" s="16" cm="1">
        <f t="array" ref="N65">IF(M65="",0,COUNTA(_xlfn._xlws.FILTER(_xlfn.TEXTSPLIT(M65,";"), _xlfn.TEXTSPLIT(M65,";")&lt;&gt;"")))</f>
        <v>5</v>
      </c>
      <c r="O65" s="16" t="str">
        <f t="shared" si="0"/>
        <v>N</v>
      </c>
      <c r="P65" s="19">
        <f>IFERROR(_xlfn.XLOOKUP($B65,Raw_Data!$A$3:$A$273,Raw_Data!$V$3:$V$273),"")</f>
        <v>0</v>
      </c>
      <c r="Q65" s="16" t="str">
        <f t="shared" si="1"/>
        <v>Y</v>
      </c>
      <c r="R65" s="32">
        <f>IFERROR(_xlfn.XLOOKUP($B65,Raw_Data!$A$3:$A$273,Raw_Data!$Y$3:$Y$273),"")</f>
        <v>1</v>
      </c>
      <c r="S65" s="4" t="str" cm="1">
        <f t="array" ref="S65">_xlfn.LET(_xlpm.s, Raw_Data!W65,_xlpm.strat, _xlfn._xlws.FILTER(REF_Setup!$B$3:$B$40, REF_Setup!$B$3:$B$40&lt;&gt;""),IF(OR(_xlpm.s="",_xlpm.s=0),"Unclassified",IF(SUM(--ISNUMBER(SEARCH(_xlpm.strat, _xlpm.s)))&gt;0, "Y", "N"))
)</f>
        <v>Y</v>
      </c>
      <c r="T65" s="4" t="str" cm="1">
        <f t="array" ref="T65">_xlfn.LET(_xlpm.s,M65,_xlpm.phil, _xlfn._xlws.FILTER(REF_Setup!$D$3:$D$5, REF_Setup!$D$3:$D$5&lt;&gt;""),IF(OR(_xlpm.s="", _xlpm.s=0),"Unclassified",IF(SUM(--ISNUMBER(SEARCH(_xlpm.phil, _xlpm.s)))&gt;0, "Y", "N")))</f>
        <v>N</v>
      </c>
      <c r="U65" s="4" t="str" cm="1">
        <f t="array" ref="U65">IF(M65="", "Unclassified", IF(AND(SUMPRODUCT(--ISNUMBER(SEARCH(REF_Setup!$B$3:$B$40,M65)))&gt;0,SUMPRODUCT(--ISNUMBER(SEARCH(REF_Setup!$F$3:$F$15,M65)))&gt;0),"Mixed",IF(SUMPRODUCT(--ISNUMBER(SEARCH(REF_Setup!$B$3:$B$40,M65)))&gt;0,"Strategic Only",IF(SUMPRODUCT(--ISNUMBER(SEARCH(REF_Setup!$F$3:$F$15,M65)))&gt;0,"VC Only","Unclassified"))))</f>
        <v>Mixed</v>
      </c>
    </row>
    <row r="66" spans="2:21" x14ac:dyDescent="0.35">
      <c r="B66" s="4">
        <f t="shared" si="2"/>
        <v>64</v>
      </c>
      <c r="C66" s="4" t="str">
        <f>IFERROR(_xlfn.XLOOKUP($B66,Raw_Data!$A$3:$A$273,Raw_Data!$B$3:$B$273),"")</f>
        <v>EarthGrid</v>
      </c>
      <c r="D66" s="4" t="str">
        <f>IFERROR(_xlfn.XLOOKUP($B66,Raw_Data!$A$3:$A$273,Raw_Data!$C$3:$C$273),"")</f>
        <v>Richmond, CA</v>
      </c>
      <c r="E66" s="4">
        <f>IFERROR(_xlfn.XLOOKUP($B66,Raw_Data!$A$3:$A$273,Raw_Data!$D$3:$D$273),"")</f>
        <v>2016</v>
      </c>
      <c r="F66" s="4" t="str">
        <f>IFERROR(_xlfn.XLOOKUP($B66,Raw_Data!$A$3:$A$273,Raw_Data!$F$3:$F$273),"")</f>
        <v>Renewables</v>
      </c>
      <c r="G66" s="35">
        <f>IFERROR(_xlfn.XLOOKUP($B66,Raw_Data!$A$3:$A$273,Raw_Data!$J$3:$J$273),"")</f>
        <v>44196</v>
      </c>
      <c r="I66" s="36">
        <f>IFERROR(_xlfn.XLOOKUP($B66,Raw_Data!$A$3:$A$273,Raw_Data!$I$3:$I$273),"")</f>
        <v>63</v>
      </c>
      <c r="J66" s="36">
        <f>IFERROR(_xlfn.XLOOKUP($B66,Raw_Data!$A$3:$A$273,Raw_Data!$L$3:$L$273),"")</f>
        <v>63</v>
      </c>
      <c r="K66" s="36">
        <f>IFERROR(_xlfn.XLOOKUP($B66,Raw_Data!$A$3:$A$273,Raw_Data!$M$3:$M$273),"")</f>
        <v>90</v>
      </c>
      <c r="L66" s="15">
        <f>IFERROR(_xlfn.XLOOKUP($B66,Raw_Data!$A$3:$A$273,Raw_Data!$Q$3:$Q$273),"")</f>
        <v>0</v>
      </c>
      <c r="M66" s="34" t="str">
        <f>IFERROR(_xlfn.XLOOKUP($B66,Raw_Data!$A$3:$A$273,Raw_Data!$R$3:$R$273),"")</f>
        <v>Green Reach</v>
      </c>
      <c r="N66" s="16" cm="1">
        <f t="array" ref="N66">IF(M66="",0,COUNTA(_xlfn._xlws.FILTER(_xlfn.TEXTSPLIT(M66,";"), _xlfn.TEXTSPLIT(M66,";")&lt;&gt;"")))</f>
        <v>1</v>
      </c>
      <c r="O66" s="16" t="str">
        <f t="shared" si="0"/>
        <v>N</v>
      </c>
      <c r="P66" s="19">
        <f>IFERROR(_xlfn.XLOOKUP($B66,Raw_Data!$A$3:$A$273,Raw_Data!$V$3:$V$273),"")</f>
        <v>0</v>
      </c>
      <c r="Q66" s="16" t="str">
        <f t="shared" si="1"/>
        <v>Y</v>
      </c>
      <c r="R66" s="32">
        <f>IFERROR(_xlfn.XLOOKUP($B66,Raw_Data!$A$3:$A$273,Raw_Data!$Y$3:$Y$273),"")</f>
        <v>1</v>
      </c>
      <c r="S66" s="4" t="str" cm="1">
        <f t="array" ref="S66">_xlfn.LET(_xlpm.s, Raw_Data!W66,_xlpm.strat, _xlfn._xlws.FILTER(REF_Setup!$B$3:$B$40, REF_Setup!$B$3:$B$40&lt;&gt;""),IF(OR(_xlpm.s="",_xlpm.s=0),"Unclassified",IF(SUM(--ISNUMBER(SEARCH(_xlpm.strat, _xlpm.s)))&gt;0, "Y", "N"))
)</f>
        <v>N</v>
      </c>
      <c r="T66" s="4" t="str" cm="1">
        <f t="array" ref="T66">_xlfn.LET(_xlpm.s,M66,_xlpm.phil, _xlfn._xlws.FILTER(REF_Setup!$D$3:$D$5, REF_Setup!$D$3:$D$5&lt;&gt;""),IF(OR(_xlpm.s="", _xlpm.s=0),"Unclassified",IF(SUM(--ISNUMBER(SEARCH(_xlpm.phil, _xlpm.s)))&gt;0, "Y", "N")))</f>
        <v>N</v>
      </c>
      <c r="U66" s="4" t="str" cm="1">
        <f t="array" ref="U66">IF(M66="", "Unclassified", IF(AND(SUMPRODUCT(--ISNUMBER(SEARCH(REF_Setup!$B$3:$B$40,M66)))&gt;0,SUMPRODUCT(--ISNUMBER(SEARCH(REF_Setup!$F$3:$F$15,M66)))&gt;0),"Mixed",IF(SUMPRODUCT(--ISNUMBER(SEARCH(REF_Setup!$B$3:$B$40,M66)))&gt;0,"Strategic Only",IF(SUMPRODUCT(--ISNUMBER(SEARCH(REF_Setup!$F$3:$F$15,M66)))&gt;0,"VC Only","Unclassified"))))</f>
        <v>Unclassified</v>
      </c>
    </row>
    <row r="67" spans="2:21" ht="58" x14ac:dyDescent="0.35">
      <c r="B67" s="4">
        <f t="shared" si="2"/>
        <v>65</v>
      </c>
      <c r="C67" s="4" t="str">
        <f>IFERROR(_xlfn.XLOOKUP($B67,Raw_Data!$A$3:$A$273,Raw_Data!$B$3:$B$273),"")</f>
        <v>Ebb Carbon</v>
      </c>
      <c r="D67" s="4" t="str">
        <f>IFERROR(_xlfn.XLOOKUP($B67,Raw_Data!$A$3:$A$273,Raw_Data!$C$3:$C$273),"")</f>
        <v>South San Francisco, CA</v>
      </c>
      <c r="E67" s="4">
        <f>IFERROR(_xlfn.XLOOKUP($B67,Raw_Data!$A$3:$A$273,Raw_Data!$D$3:$D$273),"")</f>
        <v>2021</v>
      </c>
      <c r="F67" s="4" t="str">
        <f>IFERROR(_xlfn.XLOOKUP($B67,Raw_Data!$A$3:$A$273,Raw_Data!$F$3:$F$273),"")</f>
        <v>CDR</v>
      </c>
      <c r="G67" s="35">
        <f>IFERROR(_xlfn.XLOOKUP($B67,Raw_Data!$A$3:$A$273,Raw_Data!$J$3:$J$273),"")</f>
        <v>45595</v>
      </c>
      <c r="H67" s="16" t="s">
        <v>1465</v>
      </c>
      <c r="I67" s="36">
        <f>IFERROR(_xlfn.XLOOKUP($B67,Raw_Data!$A$3:$A$273,Raw_Data!$I$3:$I$273),"")</f>
        <v>24.75</v>
      </c>
      <c r="J67" s="36">
        <f>IFERROR(_xlfn.XLOOKUP($B67,Raw_Data!$A$3:$A$273,Raw_Data!$L$3:$L$273),"")</f>
        <v>11</v>
      </c>
      <c r="K67" s="36">
        <f>IFERROR(_xlfn.XLOOKUP($B67,Raw_Data!$A$3:$A$273,Raw_Data!$M$3:$M$273),"")</f>
        <v>85</v>
      </c>
      <c r="L67" s="15">
        <f>IFERROR(_xlfn.XLOOKUP($B67,Raw_Data!$A$3:$A$273,Raw_Data!$Q$3:$Q$273),"")</f>
        <v>0</v>
      </c>
      <c r="M67" s="34" t="str">
        <f>IFERROR(_xlfn.XLOOKUP($B67,Raw_Data!$A$3:$A$273,Raw_Data!$R$3:$R$273),"")</f>
        <v>Chan Zuckerberg Initiative; Cisco Foundation; Congruent Ventures; Course Correction Capital; Elemental Impact; Evok Innovations; Neglected Climate Opportunities; Prelude Ventures; PRIME Coalition; Propeller; The Grantham Foundation</v>
      </c>
      <c r="N67" s="16" cm="1">
        <f t="array" ref="N67">IF(M67="",0,COUNTA(_xlfn._xlws.FILTER(_xlfn.TEXTSPLIT(M67,";"), _xlfn.TEXTSPLIT(M67,";")&lt;&gt;"")))</f>
        <v>11</v>
      </c>
      <c r="O67" s="16" t="str">
        <f t="shared" si="0"/>
        <v>Y</v>
      </c>
      <c r="P67" s="19">
        <f>IFERROR(_xlfn.XLOOKUP($B67,Raw_Data!$A$3:$A$273,Raw_Data!$V$3:$V$273),"")</f>
        <v>0.45454545454545453</v>
      </c>
      <c r="Q67" s="16" t="str">
        <f t="shared" si="1"/>
        <v>Y</v>
      </c>
      <c r="R67" s="32">
        <f>IFERROR(_xlfn.XLOOKUP($B67,Raw_Data!$A$3:$A$273,Raw_Data!$Y$3:$Y$273),"")</f>
        <v>0.63636363636363635</v>
      </c>
      <c r="S67" s="4" t="str" cm="1">
        <f t="array" ref="S67">_xlfn.LET(_xlpm.s, Raw_Data!W67,_xlpm.strat, _xlfn._xlws.FILTER(REF_Setup!$B$3:$B$40, REF_Setup!$B$3:$B$40&lt;&gt;""),IF(OR(_xlpm.s="",_xlpm.s=0),"Unclassified",IF(SUM(--ISNUMBER(SEARCH(_xlpm.strat, _xlpm.s)))&gt;0, "Y", "N"))
)</f>
        <v>N</v>
      </c>
      <c r="T67" s="4" t="str" cm="1">
        <f t="array" ref="T67">_xlfn.LET(_xlpm.s,M67,_xlpm.phil, _xlfn._xlws.FILTER(REF_Setup!$D$3:$D$5, REF_Setup!$D$3:$D$5&lt;&gt;""),IF(OR(_xlpm.s="", _xlpm.s=0),"Unclassified",IF(SUM(--ISNUMBER(SEARCH(_xlpm.phil, _xlpm.s)))&gt;0, "Y", "N")))</f>
        <v>Y</v>
      </c>
      <c r="U67" s="4" t="str" cm="1">
        <f t="array" ref="U67">IF(M67="", "Unclassified", IF(AND(SUMPRODUCT(--ISNUMBER(SEARCH(REF_Setup!$B$3:$B$40,M67)))&gt;0,SUMPRODUCT(--ISNUMBER(SEARCH(REF_Setup!$F$3:$F$15,M67)))&gt;0),"Mixed",IF(SUMPRODUCT(--ISNUMBER(SEARCH(REF_Setup!$B$3:$B$40,M67)))&gt;0,"Strategic Only",IF(SUMPRODUCT(--ISNUMBER(SEARCH(REF_Setup!$F$3:$F$15,M67)))&gt;0,"VC Only","Unclassified"))))</f>
        <v>VC Only</v>
      </c>
    </row>
    <row r="68" spans="2:21" x14ac:dyDescent="0.35">
      <c r="B68" s="4">
        <f t="shared" si="2"/>
        <v>66</v>
      </c>
      <c r="C68" s="4" t="str">
        <f>IFERROR(_xlfn.XLOOKUP($B68,Raw_Data!$A$3:$A$273,Raw_Data!$B$3:$B$273),"")</f>
        <v>Eco Carbon</v>
      </c>
      <c r="D68" s="4" t="str">
        <f>IFERROR(_xlfn.XLOOKUP($B68,Raw_Data!$A$3:$A$273,Raw_Data!$C$3:$C$273),"")</f>
        <v>Bala Cynwyd, PA</v>
      </c>
      <c r="E68" s="4">
        <f>IFERROR(_xlfn.XLOOKUP($B68,Raw_Data!$A$3:$A$273,Raw_Data!$D$3:$D$273),"")</f>
        <v>2022</v>
      </c>
      <c r="F68" s="4" t="str">
        <f>IFERROR(_xlfn.XLOOKUP($B68,Raw_Data!$A$3:$A$273,Raw_Data!$F$3:$F$273),"")</f>
        <v>Industrial Decarbonization</v>
      </c>
      <c r="G68" s="35">
        <f>IFERROR(_xlfn.XLOOKUP($B68,Raw_Data!$A$3:$A$273,Raw_Data!$J$3:$J$273),"")</f>
        <v>45292</v>
      </c>
      <c r="H68" s="16" t="s">
        <v>1468</v>
      </c>
      <c r="I68" s="36">
        <f>IFERROR(_xlfn.XLOOKUP($B68,Raw_Data!$A$3:$A$273,Raw_Data!$I$3:$I$273),"")</f>
        <v>1.32</v>
      </c>
      <c r="J68" s="36">
        <f>IFERROR(_xlfn.XLOOKUP($B68,Raw_Data!$A$3:$A$273,Raw_Data!$L$3:$L$273),"")</f>
        <v>1.32</v>
      </c>
      <c r="K68" s="36">
        <f>IFERROR(_xlfn.XLOOKUP($B68,Raw_Data!$A$3:$A$273,Raw_Data!$M$3:$M$273),"")</f>
        <v>10</v>
      </c>
      <c r="L68" s="15">
        <f>IFERROR(_xlfn.XLOOKUP($B68,Raw_Data!$A$3:$A$273,Raw_Data!$Q$3:$Q$273),"")</f>
        <v>0</v>
      </c>
      <c r="M68" s="34"/>
      <c r="N68" s="16" cm="1">
        <f t="array" ref="N68">IF(M68="",0,COUNTA(_xlfn._xlws.FILTER(_xlfn.TEXTSPLIT(M68,";"), _xlfn.TEXTSPLIT(M68,";")&lt;&gt;"")))</f>
        <v>0</v>
      </c>
      <c r="O68" s="16" t="str">
        <f t="shared" ref="O68:O131" si="3">IF(P68&gt;0,"Y","N")</f>
        <v>Y</v>
      </c>
      <c r="P68" s="19" t="str">
        <f>IFERROR(_xlfn.XLOOKUP($B68,Raw_Data!$A$3:$A$273,Raw_Data!$V$3:$V$273),"")</f>
        <v>N/A</v>
      </c>
      <c r="Q68" s="16" t="str">
        <f t="shared" ref="Q68:Q131" si="4">IF(R68&gt;0,"Y","N")</f>
        <v>Y</v>
      </c>
      <c r="R68" s="32" t="str">
        <f>IFERROR(_xlfn.XLOOKUP($B68,Raw_Data!$A$3:$A$273,Raw_Data!$Y$3:$Y$273),"")</f>
        <v>N/A</v>
      </c>
      <c r="S68" s="4" t="str" cm="1">
        <f t="array" ref="S68">_xlfn.LET(_xlpm.s, Raw_Data!W68,_xlpm.strat, _xlfn._xlws.FILTER(REF_Setup!$B$3:$B$40, REF_Setup!$B$3:$B$40&lt;&gt;""),IF(OR(_xlpm.s="",_xlpm.s=0),"Unclassified",IF(SUM(--ISNUMBER(SEARCH(_xlpm.strat, _xlpm.s)))&gt;0, "Y", "N"))
)</f>
        <v>Unclassified</v>
      </c>
      <c r="T68" s="4" t="str" cm="1">
        <f t="array" ref="T68">_xlfn.LET(_xlpm.s,M68,_xlpm.phil, _xlfn._xlws.FILTER(REF_Setup!$D$3:$D$5, REF_Setup!$D$3:$D$5&lt;&gt;""),IF(OR(_xlpm.s="", _xlpm.s=0),"Unclassified",IF(SUM(--ISNUMBER(SEARCH(_xlpm.phil, _xlpm.s)))&gt;0, "Y", "N")))</f>
        <v>Unclassified</v>
      </c>
      <c r="U68" s="4" t="str" cm="1">
        <f t="array" ref="U68">IF(M68="", "Unclassified", IF(AND(SUMPRODUCT(--ISNUMBER(SEARCH(REF_Setup!$B$3:$B$40,M68)))&gt;0,SUMPRODUCT(--ISNUMBER(SEARCH(REF_Setup!$F$3:$F$15,M68)))&gt;0),"Mixed",IF(SUMPRODUCT(--ISNUMBER(SEARCH(REF_Setup!$B$3:$B$40,M68)))&gt;0,"Strategic Only",IF(SUMPRODUCT(--ISNUMBER(SEARCH(REF_Setup!$F$3:$F$15,M68)))&gt;0,"VC Only","Unclassified"))))</f>
        <v>Unclassified</v>
      </c>
    </row>
    <row r="69" spans="2:21" ht="29" x14ac:dyDescent="0.35">
      <c r="B69" s="4">
        <f t="shared" ref="B69:B132" si="5">B68+1</f>
        <v>67</v>
      </c>
      <c r="C69" s="4" t="str">
        <f>IFERROR(_xlfn.XLOOKUP($B69,Raw_Data!$A$3:$A$273,Raw_Data!$B$3:$B$273),"")</f>
        <v>EGI Battery</v>
      </c>
      <c r="D69" s="4" t="str">
        <f>IFERROR(_xlfn.XLOOKUP($B69,Raw_Data!$A$3:$A$273,Raw_Data!$C$3:$C$273),"")</f>
        <v>Ann Arbor, MI</v>
      </c>
      <c r="E69" s="4">
        <f>IFERROR(_xlfn.XLOOKUP($B69,Raw_Data!$A$3:$A$273,Raw_Data!$D$3:$D$273),"")</f>
        <v>2012</v>
      </c>
      <c r="F69" s="4" t="str">
        <f>IFERROR(_xlfn.XLOOKUP($B69,Raw_Data!$A$3:$A$273,Raw_Data!$F$3:$F$273),"")</f>
        <v>LDES</v>
      </c>
      <c r="G69" s="35">
        <f>IFERROR(_xlfn.XLOOKUP($B69,Raw_Data!$A$3:$A$273,Raw_Data!$J$3:$J$273),"")</f>
        <v>44749</v>
      </c>
      <c r="H69" s="16" t="s">
        <v>1465</v>
      </c>
      <c r="I69" s="36">
        <f>IFERROR(_xlfn.XLOOKUP($B69,Raw_Data!$A$3:$A$273,Raw_Data!$I$3:$I$273),"")</f>
        <v>50.72</v>
      </c>
      <c r="J69" s="36">
        <f>IFERROR(_xlfn.XLOOKUP($B69,Raw_Data!$A$3:$A$273,Raw_Data!$L$3:$L$273),"")</f>
        <v>35</v>
      </c>
      <c r="K69" s="36">
        <f>IFERROR(_xlfn.XLOOKUP($B69,Raw_Data!$A$3:$A$273,Raw_Data!$M$3:$M$273),"")</f>
        <v>0</v>
      </c>
      <c r="L69" s="15">
        <f>IFERROR(_xlfn.XLOOKUP($B69,Raw_Data!$A$3:$A$273,Raw_Data!$Q$3:$Q$273),"")</f>
        <v>0</v>
      </c>
      <c r="M69" s="34" t="str">
        <f>IFERROR(_xlfn.XLOOKUP($B69,Raw_Data!$A$3:$A$273,Raw_Data!$R$3:$R$273),"")</f>
        <v>Borun Capital (Xiamen); BR Capital; Dayone Capital; GAC Capital; Hongshan Capital Group; Niuli Venture; Tianqi Capital; Unreasonable Impact</v>
      </c>
      <c r="N69" s="16" cm="1">
        <f t="array" ref="N69">IF(M69="",0,COUNTA(_xlfn._xlws.FILTER(_xlfn.TEXTSPLIT(M69,";"), _xlfn.TEXTSPLIT(M69,";")&lt;&gt;"")))</f>
        <v>8</v>
      </c>
      <c r="O69" s="16" t="str">
        <f t="shared" si="3"/>
        <v>Y</v>
      </c>
      <c r="P69" s="19">
        <f>IFERROR(_xlfn.XLOOKUP($B69,Raw_Data!$A$3:$A$273,Raw_Data!$V$3:$V$273),"")</f>
        <v>0.125</v>
      </c>
      <c r="Q69" s="16" t="str">
        <f t="shared" si="4"/>
        <v>Y</v>
      </c>
      <c r="R69" s="32">
        <f>IFERROR(_xlfn.XLOOKUP($B69,Raw_Data!$A$3:$A$273,Raw_Data!$Y$3:$Y$273),"")</f>
        <v>1</v>
      </c>
      <c r="S69" s="4" t="str" cm="1">
        <f t="array" ref="S69">_xlfn.LET(_xlpm.s, Raw_Data!W69,_xlpm.strat, _xlfn._xlws.FILTER(REF_Setup!$B$3:$B$40, REF_Setup!$B$3:$B$40&lt;&gt;""),IF(OR(_xlpm.s="",_xlpm.s=0),"Unclassified",IF(SUM(--ISNUMBER(SEARCH(_xlpm.strat, _xlpm.s)))&gt;0, "Y", "N"))
)</f>
        <v>N</v>
      </c>
      <c r="T69" s="4" t="str" cm="1">
        <f t="array" ref="T69">_xlfn.LET(_xlpm.s,M69,_xlpm.phil, _xlfn._xlws.FILTER(REF_Setup!$D$3:$D$5, REF_Setup!$D$3:$D$5&lt;&gt;""),IF(OR(_xlpm.s="", _xlpm.s=0),"Unclassified",IF(SUM(--ISNUMBER(SEARCH(_xlpm.phil, _xlpm.s)))&gt;0, "Y", "N")))</f>
        <v>N</v>
      </c>
      <c r="U69" s="4" t="str" cm="1">
        <f t="array" ref="U69">IF(M69="", "Unclassified", IF(AND(SUMPRODUCT(--ISNUMBER(SEARCH(REF_Setup!$B$3:$B$40,M69)))&gt;0,SUMPRODUCT(--ISNUMBER(SEARCH(REF_Setup!$F$3:$F$15,M69)))&gt;0),"Mixed",IF(SUMPRODUCT(--ISNUMBER(SEARCH(REF_Setup!$B$3:$B$40,M69)))&gt;0,"Strategic Only",IF(SUMPRODUCT(--ISNUMBER(SEARCH(REF_Setup!$F$3:$F$15,M69)))&gt;0,"VC Only","Unclassified"))))</f>
        <v>VC Only</v>
      </c>
    </row>
    <row r="70" spans="2:21" x14ac:dyDescent="0.35">
      <c r="B70" s="4">
        <f t="shared" si="5"/>
        <v>68</v>
      </c>
      <c r="C70" s="4" t="str">
        <f>IFERROR(_xlfn.XLOOKUP($B70,Raw_Data!$A$3:$A$273,Raw_Data!$B$3:$B$273),"")</f>
        <v>Emission Free Generators</v>
      </c>
      <c r="D70" s="4" t="str">
        <f>IFERROR(_xlfn.XLOOKUP($B70,Raw_Data!$A$3:$A$273,Raw_Data!$C$3:$C$273),"")</f>
        <v>San Diego, CA</v>
      </c>
      <c r="E70" s="4">
        <f>IFERROR(_xlfn.XLOOKUP($B70,Raw_Data!$A$3:$A$273,Raw_Data!$D$3:$D$273),"")</f>
        <v>2022</v>
      </c>
      <c r="F70" s="4" t="str">
        <f>IFERROR(_xlfn.XLOOKUP($B70,Raw_Data!$A$3:$A$273,Raw_Data!$F$3:$F$273),"")</f>
        <v>Hydrogen</v>
      </c>
      <c r="G70" s="35">
        <f>IFERROR(_xlfn.XLOOKUP($B70,Raw_Data!$A$3:$A$273,Raw_Data!$J$3:$J$273),"")</f>
        <v>45473</v>
      </c>
      <c r="H70" s="16" t="s">
        <v>1466</v>
      </c>
      <c r="I70" s="36">
        <f>IFERROR(_xlfn.XLOOKUP($B70,Raw_Data!$A$3:$A$273,Raw_Data!$I$3:$I$273),"")</f>
        <v>0.43</v>
      </c>
      <c r="J70" s="36">
        <f>IFERROR(_xlfn.XLOOKUP($B70,Raw_Data!$A$3:$A$273,Raw_Data!$L$3:$L$273),"")</f>
        <v>0.18</v>
      </c>
      <c r="K70" s="36">
        <f>IFERROR(_xlfn.XLOOKUP($B70,Raw_Data!$A$3:$A$273,Raw_Data!$M$3:$M$273),"")</f>
        <v>0</v>
      </c>
      <c r="L70" s="15">
        <f>IFERROR(_xlfn.XLOOKUP($B70,Raw_Data!$A$3:$A$273,Raw_Data!$Q$3:$Q$273),"")</f>
        <v>0</v>
      </c>
      <c r="M70" s="34"/>
      <c r="N70" s="16" cm="1">
        <f t="array" ref="N70">IF(M70="",0,COUNTA(_xlfn._xlws.FILTER(_xlfn.TEXTSPLIT(M70,";"), _xlfn.TEXTSPLIT(M70,";")&lt;&gt;"")))</f>
        <v>0</v>
      </c>
      <c r="O70" s="16" t="str">
        <f t="shared" si="3"/>
        <v>Y</v>
      </c>
      <c r="P70" s="19" t="str">
        <f>IFERROR(_xlfn.XLOOKUP($B70,Raw_Data!$A$3:$A$273,Raw_Data!$V$3:$V$273),"")</f>
        <v>N/A</v>
      </c>
      <c r="Q70" s="16" t="str">
        <f t="shared" si="4"/>
        <v>Y</v>
      </c>
      <c r="R70" s="32" t="str">
        <f>IFERROR(_xlfn.XLOOKUP($B70,Raw_Data!$A$3:$A$273,Raw_Data!$Y$3:$Y$273),"")</f>
        <v>N/A</v>
      </c>
      <c r="S70" s="4" t="str" cm="1">
        <f t="array" ref="S70">_xlfn.LET(_xlpm.s, Raw_Data!W70,_xlpm.strat, _xlfn._xlws.FILTER(REF_Setup!$B$3:$B$40, REF_Setup!$B$3:$B$40&lt;&gt;""),IF(OR(_xlpm.s="",_xlpm.s=0),"Unclassified",IF(SUM(--ISNUMBER(SEARCH(_xlpm.strat, _xlpm.s)))&gt;0, "Y", "N"))
)</f>
        <v>Unclassified</v>
      </c>
      <c r="T70" s="4" t="str" cm="1">
        <f t="array" ref="T70">_xlfn.LET(_xlpm.s,M70,_xlpm.phil, _xlfn._xlws.FILTER(REF_Setup!$D$3:$D$5, REF_Setup!$D$3:$D$5&lt;&gt;""),IF(OR(_xlpm.s="", _xlpm.s=0),"Unclassified",IF(SUM(--ISNUMBER(SEARCH(_xlpm.phil, _xlpm.s)))&gt;0, "Y", "N")))</f>
        <v>Unclassified</v>
      </c>
      <c r="U70" s="4" t="str" cm="1">
        <f t="array" ref="U70">IF(M70="", "Unclassified", IF(AND(SUMPRODUCT(--ISNUMBER(SEARCH(REF_Setup!$B$3:$B$40,M70)))&gt;0,SUMPRODUCT(--ISNUMBER(SEARCH(REF_Setup!$F$3:$F$15,M70)))&gt;0),"Mixed",IF(SUMPRODUCT(--ISNUMBER(SEARCH(REF_Setup!$B$3:$B$40,M70)))&gt;0,"Strategic Only",IF(SUMPRODUCT(--ISNUMBER(SEARCH(REF_Setup!$F$3:$F$15,M70)))&gt;0,"VC Only","Unclassified"))))</f>
        <v>Unclassified</v>
      </c>
    </row>
    <row r="71" spans="2:21" x14ac:dyDescent="0.35">
      <c r="B71" s="4">
        <f t="shared" si="5"/>
        <v>69</v>
      </c>
      <c r="C71" s="4" t="str">
        <f>IFERROR(_xlfn.XLOOKUP($B71,Raw_Data!$A$3:$A$273,Raw_Data!$B$3:$B$273),"")</f>
        <v>Emrgy</v>
      </c>
      <c r="D71" s="4" t="str">
        <f>IFERROR(_xlfn.XLOOKUP($B71,Raw_Data!$A$3:$A$273,Raw_Data!$C$3:$C$273),"")</f>
        <v>Atlanta, GA</v>
      </c>
      <c r="E71" s="4">
        <f>IFERROR(_xlfn.XLOOKUP($B71,Raw_Data!$A$3:$A$273,Raw_Data!$D$3:$D$273),"")</f>
        <v>2014</v>
      </c>
      <c r="F71" s="4" t="str">
        <f>IFERROR(_xlfn.XLOOKUP($B71,Raw_Data!$A$3:$A$273,Raw_Data!$F$3:$F$273),"")</f>
        <v>Renewables</v>
      </c>
      <c r="G71" s="35">
        <f>IFERROR(_xlfn.XLOOKUP($B71,Raw_Data!$A$3:$A$273,Raw_Data!$J$3:$J$273),"")</f>
        <v>45261</v>
      </c>
      <c r="H71" s="4" t="s">
        <v>75</v>
      </c>
      <c r="I71" s="36">
        <f>IFERROR(_xlfn.XLOOKUP($B71,Raw_Data!$A$3:$A$273,Raw_Data!$I$3:$I$273),"")</f>
        <v>36.67</v>
      </c>
      <c r="J71" s="36">
        <f>IFERROR(_xlfn.XLOOKUP($B71,Raw_Data!$A$3:$A$273,Raw_Data!$L$3:$L$273),"")</f>
        <v>0</v>
      </c>
      <c r="K71" s="36">
        <f>IFERROR(_xlfn.XLOOKUP($B71,Raw_Data!$A$3:$A$273,Raw_Data!$M$3:$M$273),"")</f>
        <v>0</v>
      </c>
      <c r="L71" s="15" t="str">
        <f>IFERROR(_xlfn.XLOOKUP($B71,Raw_Data!$A$3:$A$273,Raw_Data!$Q$3:$Q$273),"")</f>
        <v>N/A</v>
      </c>
      <c r="M71" s="34" t="str">
        <f>IFERROR(_xlfn.XLOOKUP($B71,Raw_Data!$A$3:$A$273,Raw_Data!$R$3:$R$273),"")</f>
        <v xml:space="preserve">KRF capital </v>
      </c>
      <c r="N71" s="16" cm="1">
        <f t="array" ref="N71">IF(M71="",0,COUNTA(_xlfn._xlws.FILTER(_xlfn.TEXTSPLIT(M71,";"), _xlfn.TEXTSPLIT(M71,";")&lt;&gt;"")))</f>
        <v>1</v>
      </c>
      <c r="O71" s="16" t="str">
        <f t="shared" si="3"/>
        <v>N</v>
      </c>
      <c r="P71" s="19">
        <f>IFERROR(_xlfn.XLOOKUP($B71,Raw_Data!$A$3:$A$273,Raw_Data!$V$3:$V$273),"")</f>
        <v>0</v>
      </c>
      <c r="Q71" s="16" t="str">
        <f t="shared" si="4"/>
        <v>Y</v>
      </c>
      <c r="R71" s="32">
        <f>IFERROR(_xlfn.XLOOKUP($B71,Raw_Data!$A$3:$A$273,Raw_Data!$Y$3:$Y$273),"")</f>
        <v>1</v>
      </c>
      <c r="S71" s="4" t="str" cm="1">
        <f t="array" ref="S71">_xlfn.LET(_xlpm.s, Raw_Data!W71,_xlpm.strat, _xlfn._xlws.FILTER(REF_Setup!$B$3:$B$40, REF_Setup!$B$3:$B$40&lt;&gt;""),IF(OR(_xlpm.s="",_xlpm.s=0),"Unclassified",IF(SUM(--ISNUMBER(SEARCH(_xlpm.strat, _xlpm.s)))&gt;0, "Y", "N"))
)</f>
        <v>N</v>
      </c>
      <c r="T71" s="4" t="str" cm="1">
        <f t="array" ref="T71">_xlfn.LET(_xlpm.s,M71,_xlpm.phil, _xlfn._xlws.FILTER(REF_Setup!$D$3:$D$5, REF_Setup!$D$3:$D$5&lt;&gt;""),IF(OR(_xlpm.s="", _xlpm.s=0),"Unclassified",IF(SUM(--ISNUMBER(SEARCH(_xlpm.phil, _xlpm.s)))&gt;0, "Y", "N")))</f>
        <v>N</v>
      </c>
      <c r="U71" s="4" t="str" cm="1">
        <f t="array" ref="U71">IF(M71="", "Unclassified", IF(AND(SUMPRODUCT(--ISNUMBER(SEARCH(REF_Setup!$B$3:$B$40,M71)))&gt;0,SUMPRODUCT(--ISNUMBER(SEARCH(REF_Setup!$F$3:$F$15,M71)))&gt;0),"Mixed",IF(SUMPRODUCT(--ISNUMBER(SEARCH(REF_Setup!$B$3:$B$40,M71)))&gt;0,"Strategic Only",IF(SUMPRODUCT(--ISNUMBER(SEARCH(REF_Setup!$F$3:$F$15,M71)))&gt;0,"VC Only","Unclassified"))))</f>
        <v>VC Only</v>
      </c>
    </row>
    <row r="72" spans="2:21" x14ac:dyDescent="0.35">
      <c r="B72" s="4">
        <f t="shared" si="5"/>
        <v>70</v>
      </c>
      <c r="C72" s="4" t="str">
        <f>IFERROR(_xlfn.XLOOKUP($B72,Raw_Data!$A$3:$A$273,Raw_Data!$B$3:$B$273),"")</f>
        <v>Emrgy</v>
      </c>
      <c r="D72" s="4" t="str">
        <f>IFERROR(_xlfn.XLOOKUP($B72,Raw_Data!$A$3:$A$273,Raw_Data!$C$3:$C$273),"")</f>
        <v>Atlanta, GA</v>
      </c>
      <c r="E72" s="4">
        <f>IFERROR(_xlfn.XLOOKUP($B72,Raw_Data!$A$3:$A$273,Raw_Data!$D$3:$D$273),"")</f>
        <v>2014</v>
      </c>
      <c r="F72" s="4" t="str">
        <f>IFERROR(_xlfn.XLOOKUP($B72,Raw_Data!$A$3:$A$273,Raw_Data!$F$3:$F$273),"")</f>
        <v>Renewables</v>
      </c>
      <c r="G72" s="35">
        <f>IFERROR(_xlfn.XLOOKUP($B72,Raw_Data!$A$3:$A$273,Raw_Data!$J$3:$J$273),"")</f>
        <v>45657</v>
      </c>
      <c r="H72" s="4" t="s">
        <v>75</v>
      </c>
      <c r="I72" s="36">
        <f>IFERROR(_xlfn.XLOOKUP($B72,Raw_Data!$A$3:$A$273,Raw_Data!$I$3:$I$273),"")</f>
        <v>3771</v>
      </c>
      <c r="J72" s="36">
        <f>IFERROR(_xlfn.XLOOKUP($B72,Raw_Data!$A$3:$A$273,Raw_Data!$L$3:$L$273),"")</f>
        <v>1.04</v>
      </c>
      <c r="K72" s="36">
        <f>IFERROR(_xlfn.XLOOKUP($B72,Raw_Data!$A$3:$A$273,Raw_Data!$M$3:$M$273),"")</f>
        <v>0</v>
      </c>
      <c r="L72" s="15">
        <f>IFERROR(_xlfn.XLOOKUP($B72,Raw_Data!$A$3:$A$273,Raw_Data!$Q$3:$Q$273),"")</f>
        <v>0</v>
      </c>
      <c r="M72" s="34" t="str">
        <f>IFERROR(_xlfn.XLOOKUP($B72,Raw_Data!$A$3:$A$273,Raw_Data!$R$3:$R$273),"")</f>
        <v>Treehouse Investments</v>
      </c>
      <c r="N72" s="16" cm="1">
        <f t="array" ref="N72">IF(M72="",0,COUNTA(_xlfn._xlws.FILTER(_xlfn.TEXTSPLIT(M72,";"), _xlfn.TEXTSPLIT(M72,";")&lt;&gt;"")))</f>
        <v>1</v>
      </c>
      <c r="O72" s="16" t="str">
        <f t="shared" si="3"/>
        <v>N</v>
      </c>
      <c r="P72" s="19">
        <f>IFERROR(_xlfn.XLOOKUP($B72,Raw_Data!$A$3:$A$273,Raw_Data!$V$3:$V$273),"")</f>
        <v>0</v>
      </c>
      <c r="Q72" s="16" t="str">
        <f t="shared" si="4"/>
        <v>Y</v>
      </c>
      <c r="R72" s="32">
        <f>IFERROR(_xlfn.XLOOKUP($B72,Raw_Data!$A$3:$A$273,Raw_Data!$Y$3:$Y$273),"")</f>
        <v>1</v>
      </c>
      <c r="S72" s="4" t="str" cm="1">
        <f t="array" ref="S72">_xlfn.LET(_xlpm.s, Raw_Data!W72,_xlpm.strat, _xlfn._xlws.FILTER(REF_Setup!$B$3:$B$40, REF_Setup!$B$3:$B$40&lt;&gt;""),IF(OR(_xlpm.s="",_xlpm.s=0),"Unclassified",IF(SUM(--ISNUMBER(SEARCH(_xlpm.strat, _xlpm.s)))&gt;0, "Y", "N"))
)</f>
        <v>N</v>
      </c>
      <c r="T72" s="4" t="str" cm="1">
        <f t="array" ref="T72">_xlfn.LET(_xlpm.s,M72,_xlpm.phil, _xlfn._xlws.FILTER(REF_Setup!$D$3:$D$5, REF_Setup!$D$3:$D$5&lt;&gt;""),IF(OR(_xlpm.s="", _xlpm.s=0),"Unclassified",IF(SUM(--ISNUMBER(SEARCH(_xlpm.phil, _xlpm.s)))&gt;0, "Y", "N")))</f>
        <v>N</v>
      </c>
      <c r="U72" s="4" t="str" cm="1">
        <f t="array" ref="U72">IF(M72="", "Unclassified", IF(AND(SUMPRODUCT(--ISNUMBER(SEARCH(REF_Setup!$B$3:$B$40,M72)))&gt;0,SUMPRODUCT(--ISNUMBER(SEARCH(REF_Setup!$F$3:$F$15,M72)))&gt;0),"Mixed",IF(SUMPRODUCT(--ISNUMBER(SEARCH(REF_Setup!$B$3:$B$40,M72)))&gt;0,"Strategic Only",IF(SUMPRODUCT(--ISNUMBER(SEARCH(REF_Setup!$F$3:$F$15,M72)))&gt;0,"VC Only","Unclassified"))))</f>
        <v>Unclassified</v>
      </c>
    </row>
    <row r="73" spans="2:21" x14ac:dyDescent="0.35">
      <c r="B73" s="4">
        <f t="shared" si="5"/>
        <v>71</v>
      </c>
      <c r="C73" s="4" t="str">
        <f>IFERROR(_xlfn.XLOOKUP($B73,Raw_Data!$A$3:$A$273,Raw_Data!$B$3:$B$273),"")</f>
        <v>Energy Dome</v>
      </c>
      <c r="D73" s="4" t="str">
        <f>IFERROR(_xlfn.XLOOKUP($B73,Raw_Data!$A$3:$A$273,Raw_Data!$C$3:$C$273),"")</f>
        <v>Milan, Italy</v>
      </c>
      <c r="E73" s="4">
        <f>IFERROR(_xlfn.XLOOKUP($B73,Raw_Data!$A$3:$A$273,Raw_Data!$D$3:$D$273),"")</f>
        <v>2019</v>
      </c>
      <c r="F73" s="4" t="str">
        <f>IFERROR(_xlfn.XLOOKUP($B73,Raw_Data!$A$3:$A$273,Raw_Data!$F$3:$F$273),"")</f>
        <v>LDES</v>
      </c>
      <c r="G73" s="35">
        <f>IFERROR(_xlfn.XLOOKUP($B73,Raw_Data!$A$3:$A$273,Raw_Data!$J$3:$J$273),"")</f>
        <v>45866</v>
      </c>
      <c r="I73" s="36">
        <f>IFERROR(_xlfn.XLOOKUP($B73,Raw_Data!$A$3:$A$273,Raw_Data!$I$3:$I$273),"")</f>
        <v>120.86</v>
      </c>
      <c r="J73" s="36">
        <f>IFERROR(_xlfn.XLOOKUP($B73,Raw_Data!$A$3:$A$273,Raw_Data!$L$3:$L$273),"")</f>
        <v>0</v>
      </c>
      <c r="K73" s="36">
        <f>IFERROR(_xlfn.XLOOKUP($B73,Raw_Data!$A$3:$A$273,Raw_Data!$M$3:$M$273),"")</f>
        <v>0</v>
      </c>
      <c r="L73" s="15" t="str">
        <f>IFERROR(_xlfn.XLOOKUP($B73,Raw_Data!$A$3:$A$273,Raw_Data!$Q$3:$Q$273),"")</f>
        <v>N/A</v>
      </c>
      <c r="M73" s="34" t="str">
        <f>IFERROR(_xlfn.XLOOKUP($B73,Raw_Data!$A$3:$A$273,Raw_Data!$R$3:$R$273),"")</f>
        <v xml:space="preserve">Alphabet </v>
      </c>
      <c r="N73" s="16" cm="1">
        <f t="array" ref="N73">IF(M73="",0,COUNTA(_xlfn._xlws.FILTER(_xlfn.TEXTSPLIT(M73,";"), _xlfn.TEXTSPLIT(M73,";")&lt;&gt;"")))</f>
        <v>1</v>
      </c>
      <c r="O73" s="16" t="str">
        <f t="shared" si="3"/>
        <v>N</v>
      </c>
      <c r="P73" s="19">
        <f>IFERROR(_xlfn.XLOOKUP($B73,Raw_Data!$A$3:$A$273,Raw_Data!$V$3:$V$273),"")</f>
        <v>0</v>
      </c>
      <c r="Q73" s="16" t="str">
        <f t="shared" si="4"/>
        <v>Y</v>
      </c>
      <c r="R73" s="32">
        <f>IFERROR(_xlfn.XLOOKUP($B73,Raw_Data!$A$3:$A$273,Raw_Data!$Y$3:$Y$273),"")</f>
        <v>1</v>
      </c>
      <c r="S73" s="4" t="str" cm="1">
        <f t="array" ref="S73">_xlfn.LET(_xlpm.s, Raw_Data!W73,_xlpm.strat, _xlfn._xlws.FILTER(REF_Setup!$B$3:$B$40, REF_Setup!$B$3:$B$40&lt;&gt;""),IF(OR(_xlpm.s="",_xlpm.s=0),"Unclassified",IF(SUM(--ISNUMBER(SEARCH(_xlpm.strat, _xlpm.s)))&gt;0, "Y", "N"))
)</f>
        <v>Y</v>
      </c>
      <c r="T73" s="4" t="str" cm="1">
        <f t="array" ref="T73">_xlfn.LET(_xlpm.s,M73,_xlpm.phil, _xlfn._xlws.FILTER(REF_Setup!$D$3:$D$5, REF_Setup!$D$3:$D$5&lt;&gt;""),IF(OR(_xlpm.s="", _xlpm.s=0),"Unclassified",IF(SUM(--ISNUMBER(SEARCH(_xlpm.phil, _xlpm.s)))&gt;0, "Y", "N")))</f>
        <v>N</v>
      </c>
      <c r="U73" s="4" t="str" cm="1">
        <f t="array" ref="U73">IF(M73="", "Unclassified", IF(AND(SUMPRODUCT(--ISNUMBER(SEARCH(REF_Setup!$B$3:$B$40,M73)))&gt;0,SUMPRODUCT(--ISNUMBER(SEARCH(REF_Setup!$F$3:$F$15,M73)))&gt;0),"Mixed",IF(SUMPRODUCT(--ISNUMBER(SEARCH(REF_Setup!$B$3:$B$40,M73)))&gt;0,"Strategic Only",IF(SUMPRODUCT(--ISNUMBER(SEARCH(REF_Setup!$F$3:$F$15,M73)))&gt;0,"VC Only","Unclassified"))))</f>
        <v>Strategic Only</v>
      </c>
    </row>
    <row r="74" spans="2:21" x14ac:dyDescent="0.35">
      <c r="B74" s="4">
        <f t="shared" si="5"/>
        <v>72</v>
      </c>
      <c r="C74" s="4" t="str">
        <f>IFERROR(_xlfn.XLOOKUP($B74,Raw_Data!$A$3:$A$273,Raw_Data!$B$3:$B$273),"")</f>
        <v>EnGoPIanet Energy Solutions</v>
      </c>
      <c r="D74" s="4" t="str">
        <f>IFERROR(_xlfn.XLOOKUP($B74,Raw_Data!$A$3:$A$273,Raw_Data!$C$3:$C$273),"")</f>
        <v>Houston, TX</v>
      </c>
      <c r="E74" s="4">
        <f>IFERROR(_xlfn.XLOOKUP($B74,Raw_Data!$A$3:$A$273,Raw_Data!$D$3:$D$273),"")</f>
        <v>2019</v>
      </c>
      <c r="F74" s="4" t="str">
        <f>IFERROR(_xlfn.XLOOKUP($B74,Raw_Data!$A$3:$A$273,Raw_Data!$F$3:$F$273),"")</f>
        <v>Renewables</v>
      </c>
      <c r="G74" s="35">
        <f>IFERROR(_xlfn.XLOOKUP($B74,Raw_Data!$A$3:$A$273,Raw_Data!$J$3:$J$273),"")</f>
        <v>45536</v>
      </c>
      <c r="H74" s="4" t="s">
        <v>75</v>
      </c>
      <c r="I74" s="36">
        <f>IFERROR(_xlfn.XLOOKUP($B74,Raw_Data!$A$3:$A$273,Raw_Data!$I$3:$I$273),"")</f>
        <v>0</v>
      </c>
      <c r="J74" s="36">
        <f>IFERROR(_xlfn.XLOOKUP($B74,Raw_Data!$A$3:$A$273,Raw_Data!$L$3:$L$273),"")</f>
        <v>0</v>
      </c>
      <c r="K74" s="36">
        <f>IFERROR(_xlfn.XLOOKUP($B74,Raw_Data!$A$3:$A$273,Raw_Data!$M$3:$M$273),"")</f>
        <v>0</v>
      </c>
      <c r="L74" s="15" t="str">
        <f>IFERROR(_xlfn.XLOOKUP($B74,Raw_Data!$A$3:$A$273,Raw_Data!$Q$3:$Q$273),"")</f>
        <v>N/A</v>
      </c>
      <c r="M74" s="34" t="str">
        <f>IFERROR(_xlfn.XLOOKUP($B74,Raw_Data!$A$3:$A$273,Raw_Data!$R$3:$R$273),"")</f>
        <v xml:space="preserve">Longmont Capital </v>
      </c>
      <c r="N74" s="16" cm="1">
        <f t="array" ref="N74">IF(M74="",0,COUNTA(_xlfn._xlws.FILTER(_xlfn.TEXTSPLIT(M74,";"), _xlfn.TEXTSPLIT(M74,";")&lt;&gt;"")))</f>
        <v>1</v>
      </c>
      <c r="O74" s="16" t="str">
        <f t="shared" si="3"/>
        <v>N</v>
      </c>
      <c r="P74" s="19">
        <f>IFERROR(_xlfn.XLOOKUP($B74,Raw_Data!$A$3:$A$273,Raw_Data!$V$3:$V$273),"")</f>
        <v>0</v>
      </c>
      <c r="Q74" s="16" t="str">
        <f t="shared" si="4"/>
        <v>Y</v>
      </c>
      <c r="R74" s="32">
        <f>IFERROR(_xlfn.XLOOKUP($B74,Raw_Data!$A$3:$A$273,Raw_Data!$Y$3:$Y$273),"")</f>
        <v>1</v>
      </c>
      <c r="S74" s="4" t="str" cm="1">
        <f t="array" ref="S74">_xlfn.LET(_xlpm.s, Raw_Data!W74,_xlpm.strat, _xlfn._xlws.FILTER(REF_Setup!$B$3:$B$40, REF_Setup!$B$3:$B$40&lt;&gt;""),IF(OR(_xlpm.s="",_xlpm.s=0),"Unclassified",IF(SUM(--ISNUMBER(SEARCH(_xlpm.strat, _xlpm.s)))&gt;0, "Y", "N"))
)</f>
        <v>N</v>
      </c>
      <c r="T74" s="4" t="str" cm="1">
        <f t="array" ref="T74">_xlfn.LET(_xlpm.s,M74,_xlpm.phil, _xlfn._xlws.FILTER(REF_Setup!$D$3:$D$5, REF_Setup!$D$3:$D$5&lt;&gt;""),IF(OR(_xlpm.s="", _xlpm.s=0),"Unclassified",IF(SUM(--ISNUMBER(SEARCH(_xlpm.phil, _xlpm.s)))&gt;0, "Y", "N")))</f>
        <v>N</v>
      </c>
      <c r="U74" s="4" t="str" cm="1">
        <f t="array" ref="U74">IF(M74="", "Unclassified", IF(AND(SUMPRODUCT(--ISNUMBER(SEARCH(REF_Setup!$B$3:$B$40,M74)))&gt;0,SUMPRODUCT(--ISNUMBER(SEARCH(REF_Setup!$F$3:$F$15,M74)))&gt;0),"Mixed",IF(SUMPRODUCT(--ISNUMBER(SEARCH(REF_Setup!$B$3:$B$40,M74)))&gt;0,"Strategic Only",IF(SUMPRODUCT(--ISNUMBER(SEARCH(REF_Setup!$F$3:$F$15,M74)))&gt;0,"VC Only","Unclassified"))))</f>
        <v>VC Only</v>
      </c>
    </row>
    <row r="75" spans="2:21" x14ac:dyDescent="0.35">
      <c r="B75" s="4">
        <f t="shared" si="5"/>
        <v>73</v>
      </c>
      <c r="C75" s="4" t="str">
        <f>IFERROR(_xlfn.XLOOKUP($B75,Raw_Data!$A$3:$A$273,Raw_Data!$B$3:$B$273),"")</f>
        <v>Envocore</v>
      </c>
      <c r="D75" s="4" t="str">
        <f>IFERROR(_xlfn.XLOOKUP($B75,Raw_Data!$A$3:$A$273,Raw_Data!$C$3:$C$273),"")</f>
        <v>Gambrills, MD</v>
      </c>
      <c r="E75" s="4">
        <f>IFERROR(_xlfn.XLOOKUP($B75,Raw_Data!$A$3:$A$273,Raw_Data!$D$3:$D$273),"")</f>
        <v>1993</v>
      </c>
      <c r="F75" s="4" t="str">
        <f>IFERROR(_xlfn.XLOOKUP($B75,Raw_Data!$A$3:$A$273,Raw_Data!$F$3:$F$273),"")</f>
        <v>Buildings</v>
      </c>
      <c r="G75" s="35">
        <f>IFERROR(_xlfn.XLOOKUP($B75,Raw_Data!$A$3:$A$273,Raw_Data!$J$3:$J$273),"")</f>
        <v>42641</v>
      </c>
      <c r="H75" s="4" t="s">
        <v>75</v>
      </c>
      <c r="I75" s="36">
        <f>IFERROR(_xlfn.XLOOKUP($B75,Raw_Data!$A$3:$A$273,Raw_Data!$I$3:$I$273),"")</f>
        <v>24</v>
      </c>
      <c r="J75" s="36">
        <f>IFERROR(_xlfn.XLOOKUP($B75,Raw_Data!$A$3:$A$273,Raw_Data!$L$3:$L$273),"")</f>
        <v>0</v>
      </c>
      <c r="K75" s="36">
        <f>IFERROR(_xlfn.XLOOKUP($B75,Raw_Data!$A$3:$A$273,Raw_Data!$M$3:$M$273),"")</f>
        <v>0</v>
      </c>
      <c r="L75" s="15" t="str">
        <f>IFERROR(_xlfn.XLOOKUP($B75,Raw_Data!$A$3:$A$273,Raw_Data!$Q$3:$Q$273),"")</f>
        <v>N/A</v>
      </c>
      <c r="M75" s="34" t="str">
        <f>IFERROR(_xlfn.XLOOKUP($B75,Raw_Data!$A$3:$A$273,Raw_Data!$R$3:$R$273),"")</f>
        <v xml:space="preserve">Arborview Capital; Capital Southwest; DFW Capital Partners </v>
      </c>
      <c r="N75" s="16" cm="1">
        <f t="array" ref="N75">IF(M75="",0,COUNTA(_xlfn._xlws.FILTER(_xlfn.TEXTSPLIT(M75,";"), _xlfn.TEXTSPLIT(M75,";")&lt;&gt;"")))</f>
        <v>3</v>
      </c>
      <c r="O75" s="16" t="str">
        <f t="shared" si="3"/>
        <v>Y</v>
      </c>
      <c r="P75" s="19">
        <f>IFERROR(_xlfn.XLOOKUP($B75,Raw_Data!$A$3:$A$273,Raw_Data!$V$3:$V$273),"")</f>
        <v>0.33333333333333331</v>
      </c>
      <c r="Q75" s="16" t="str">
        <f t="shared" si="4"/>
        <v>Y</v>
      </c>
      <c r="R75" s="32">
        <f>IFERROR(_xlfn.XLOOKUP($B75,Raw_Data!$A$3:$A$273,Raw_Data!$Y$3:$Y$273),"")</f>
        <v>0.66666666666666663</v>
      </c>
      <c r="S75" s="4" t="str" cm="1">
        <f t="array" ref="S75">_xlfn.LET(_xlpm.s, Raw_Data!W75,_xlpm.strat, _xlfn._xlws.FILTER(REF_Setup!$B$3:$B$40, REF_Setup!$B$3:$B$40&lt;&gt;""),IF(OR(_xlpm.s="",_xlpm.s=0),"Unclassified",IF(SUM(--ISNUMBER(SEARCH(_xlpm.strat, _xlpm.s)))&gt;0, "Y", "N"))
)</f>
        <v>N</v>
      </c>
      <c r="T75" s="4" t="str" cm="1">
        <f t="array" ref="T75">_xlfn.LET(_xlpm.s,M75,_xlpm.phil, _xlfn._xlws.FILTER(REF_Setup!$D$3:$D$5, REF_Setup!$D$3:$D$5&lt;&gt;""),IF(OR(_xlpm.s="", _xlpm.s=0),"Unclassified",IF(SUM(--ISNUMBER(SEARCH(_xlpm.phil, _xlpm.s)))&gt;0, "Y", "N")))</f>
        <v>N</v>
      </c>
      <c r="U75" s="4" t="str" cm="1">
        <f t="array" ref="U75">IF(M75="", "Unclassified", IF(AND(SUMPRODUCT(--ISNUMBER(SEARCH(REF_Setup!$B$3:$B$40,M75)))&gt;0,SUMPRODUCT(--ISNUMBER(SEARCH(REF_Setup!$F$3:$F$15,M75)))&gt;0),"Mixed",IF(SUMPRODUCT(--ISNUMBER(SEARCH(REF_Setup!$B$3:$B$40,M75)))&gt;0,"Strategic Only",IF(SUMPRODUCT(--ISNUMBER(SEARCH(REF_Setup!$F$3:$F$15,M75)))&gt;0,"VC Only","Unclassified"))))</f>
        <v>VC Only</v>
      </c>
    </row>
    <row r="76" spans="2:21" x14ac:dyDescent="0.35">
      <c r="B76" s="4">
        <f t="shared" si="5"/>
        <v>74</v>
      </c>
      <c r="C76" s="4" t="str">
        <f>IFERROR(_xlfn.XLOOKUP($B76,Raw_Data!$A$3:$A$273,Raw_Data!$B$3:$B$273),"")</f>
        <v>Envocore</v>
      </c>
      <c r="D76" s="4" t="str">
        <f>IFERROR(_xlfn.XLOOKUP($B76,Raw_Data!$A$3:$A$273,Raw_Data!$C$3:$C$273),"")</f>
        <v>Gambrills, MD</v>
      </c>
      <c r="E76" s="4">
        <f>IFERROR(_xlfn.XLOOKUP($B76,Raw_Data!$A$3:$A$273,Raw_Data!$D$3:$D$273),"")</f>
        <v>1993</v>
      </c>
      <c r="F76" s="4" t="str">
        <f>IFERROR(_xlfn.XLOOKUP($B76,Raw_Data!$A$3:$A$273,Raw_Data!$F$3:$F$273),"")</f>
        <v>Buildings</v>
      </c>
      <c r="G76" s="35">
        <f>IFERROR(_xlfn.XLOOKUP($B76,Raw_Data!$A$3:$A$273,Raw_Data!$J$3:$J$273),"")</f>
        <v>43368</v>
      </c>
      <c r="H76" s="4" t="s">
        <v>75</v>
      </c>
      <c r="I76" s="36">
        <f>IFERROR(_xlfn.XLOOKUP($B76,Raw_Data!$A$3:$A$273,Raw_Data!$I$3:$I$273),"")</f>
        <v>83.33</v>
      </c>
      <c r="J76" s="36">
        <f>IFERROR(_xlfn.XLOOKUP($B76,Raw_Data!$A$3:$A$273,Raw_Data!$L$3:$L$273),"")</f>
        <v>8</v>
      </c>
      <c r="K76" s="36">
        <f>IFERROR(_xlfn.XLOOKUP($B76,Raw_Data!$A$3:$A$273,Raw_Data!$M$3:$M$273),"")</f>
        <v>0</v>
      </c>
      <c r="L76" s="15">
        <f>IFERROR(_xlfn.XLOOKUP($B76,Raw_Data!$A$3:$A$273,Raw_Data!$Q$3:$Q$273),"")</f>
        <v>0.48499999999999999</v>
      </c>
      <c r="M76" s="34" t="str">
        <f>IFERROR(_xlfn.XLOOKUP($B76,Raw_Data!$A$3:$A$273,Raw_Data!$R$3:$R$273),"")</f>
        <v xml:space="preserve">Capital Southwest </v>
      </c>
      <c r="N76" s="16" cm="1">
        <f t="array" ref="N76">IF(M76="",0,COUNTA(_xlfn._xlws.FILTER(_xlfn.TEXTSPLIT(M76,";"), _xlfn.TEXTSPLIT(M76,";")&lt;&gt;"")))</f>
        <v>1</v>
      </c>
      <c r="O76" s="16" t="str">
        <f t="shared" si="3"/>
        <v>Y</v>
      </c>
      <c r="P76" s="19">
        <f>IFERROR(_xlfn.XLOOKUP($B76,Raw_Data!$A$3:$A$273,Raw_Data!$V$3:$V$273),"")</f>
        <v>1</v>
      </c>
      <c r="Q76" s="16" t="str">
        <f t="shared" si="4"/>
        <v>Y</v>
      </c>
      <c r="R76" s="32" t="str">
        <f>IFERROR(_xlfn.XLOOKUP($B76,Raw_Data!$A$3:$A$273,Raw_Data!$Y$3:$Y$273),"")</f>
        <v>N/A</v>
      </c>
      <c r="S76" s="4" t="str" cm="1">
        <f t="array" ref="S76">_xlfn.LET(_xlpm.s, Raw_Data!W76,_xlpm.strat, _xlfn._xlws.FILTER(REF_Setup!$B$3:$B$40, REF_Setup!$B$3:$B$40&lt;&gt;""),IF(OR(_xlpm.s="",_xlpm.s=0),"Unclassified",IF(SUM(--ISNUMBER(SEARCH(_xlpm.strat, _xlpm.s)))&gt;0, "Y", "N"))
)</f>
        <v>Unclassified</v>
      </c>
      <c r="T76" s="4" t="str" cm="1">
        <f t="array" ref="T76">_xlfn.LET(_xlpm.s,M76,_xlpm.phil, _xlfn._xlws.FILTER(REF_Setup!$D$3:$D$5, REF_Setup!$D$3:$D$5&lt;&gt;""),IF(OR(_xlpm.s="", _xlpm.s=0),"Unclassified",IF(SUM(--ISNUMBER(SEARCH(_xlpm.phil, _xlpm.s)))&gt;0, "Y", "N")))</f>
        <v>N</v>
      </c>
      <c r="U76" s="4" t="str" cm="1">
        <f t="array" ref="U76">IF(M76="", "Unclassified", IF(AND(SUMPRODUCT(--ISNUMBER(SEARCH(REF_Setup!$B$3:$B$40,M76)))&gt;0,SUMPRODUCT(--ISNUMBER(SEARCH(REF_Setup!$F$3:$F$15,M76)))&gt;0),"Mixed",IF(SUMPRODUCT(--ISNUMBER(SEARCH(REF_Setup!$B$3:$B$40,M76)))&gt;0,"Strategic Only",IF(SUMPRODUCT(--ISNUMBER(SEARCH(REF_Setup!$F$3:$F$15,M76)))&gt;0,"VC Only","Unclassified"))))</f>
        <v>VC Only</v>
      </c>
    </row>
    <row r="77" spans="2:21" x14ac:dyDescent="0.35">
      <c r="B77" s="4">
        <f t="shared" si="5"/>
        <v>75</v>
      </c>
      <c r="C77" s="4" t="str">
        <f>IFERROR(_xlfn.XLOOKUP($B77,Raw_Data!$A$3:$A$273,Raw_Data!$B$3:$B$273),"")</f>
        <v>EPC Power</v>
      </c>
      <c r="D77" s="4" t="str">
        <f>IFERROR(_xlfn.XLOOKUP($B77,Raw_Data!$A$3:$A$273,Raw_Data!$C$3:$C$273),"")</f>
        <v>Poway, CA</v>
      </c>
      <c r="E77" s="4">
        <f>IFERROR(_xlfn.XLOOKUP($B77,Raw_Data!$A$3:$A$273,Raw_Data!$D$3:$D$273),"")</f>
        <v>2010</v>
      </c>
      <c r="F77" s="4" t="str">
        <f>IFERROR(_xlfn.XLOOKUP($B77,Raw_Data!$A$3:$A$273,Raw_Data!$F$3:$F$273),"")</f>
        <v>Renewables</v>
      </c>
      <c r="G77" s="35">
        <f>IFERROR(_xlfn.XLOOKUP($B77,Raw_Data!$A$3:$A$273,Raw_Data!$J$3:$J$273),"")</f>
        <v>44197</v>
      </c>
      <c r="H77" s="4" t="s">
        <v>75</v>
      </c>
      <c r="I77" s="36">
        <f>IFERROR(_xlfn.XLOOKUP($B77,Raw_Data!$A$3:$A$273,Raw_Data!$I$3:$I$273),"")</f>
        <v>4</v>
      </c>
      <c r="J77" s="36">
        <f>IFERROR(_xlfn.XLOOKUP($B77,Raw_Data!$A$3:$A$273,Raw_Data!$L$3:$L$273),"")</f>
        <v>0</v>
      </c>
      <c r="K77" s="36">
        <f>IFERROR(_xlfn.XLOOKUP($B77,Raw_Data!$A$3:$A$273,Raw_Data!$M$3:$M$273),"")</f>
        <v>0</v>
      </c>
      <c r="L77" s="15" t="str">
        <f>IFERROR(_xlfn.XLOOKUP($B77,Raw_Data!$A$3:$A$273,Raw_Data!$Q$3:$Q$273),"")</f>
        <v>N/A</v>
      </c>
      <c r="M77" s="34" t="str">
        <f>IFERROR(_xlfn.XLOOKUP($B77,Raw_Data!$A$3:$A$273,Raw_Data!$R$3:$R$273),"")</f>
        <v>13Capital; Cleanhill Partners; Goldman Sachs Asset Management</v>
      </c>
      <c r="N77" s="16" cm="1">
        <f t="array" ref="N77">IF(M77="",0,COUNTA(_xlfn._xlws.FILTER(_xlfn.TEXTSPLIT(M77,";"), _xlfn.TEXTSPLIT(M77,";")&lt;&gt;"")))</f>
        <v>3</v>
      </c>
      <c r="O77" s="16" t="str">
        <f t="shared" si="3"/>
        <v>N</v>
      </c>
      <c r="P77" s="19">
        <f>IFERROR(_xlfn.XLOOKUP($B77,Raw_Data!$A$3:$A$273,Raw_Data!$V$3:$V$273),"")</f>
        <v>0</v>
      </c>
      <c r="Q77" s="16" t="str">
        <f t="shared" si="4"/>
        <v>Y</v>
      </c>
      <c r="R77" s="32">
        <f>IFERROR(_xlfn.XLOOKUP($B77,Raw_Data!$A$3:$A$273,Raw_Data!$Y$3:$Y$273),"")</f>
        <v>1</v>
      </c>
      <c r="S77" s="4" t="str" cm="1">
        <f t="array" ref="S77">_xlfn.LET(_xlpm.s, Raw_Data!W77,_xlpm.strat, _xlfn._xlws.FILTER(REF_Setup!$B$3:$B$40, REF_Setup!$B$3:$B$40&lt;&gt;""),IF(OR(_xlpm.s="",_xlpm.s=0),"Unclassified",IF(SUM(--ISNUMBER(SEARCH(_xlpm.strat, _xlpm.s)))&gt;0, "Y", "N"))
)</f>
        <v>N</v>
      </c>
      <c r="T77" s="4" t="str" cm="1">
        <f t="array" ref="T77">_xlfn.LET(_xlpm.s,M77,_xlpm.phil, _xlfn._xlws.FILTER(REF_Setup!$D$3:$D$5, REF_Setup!$D$3:$D$5&lt;&gt;""),IF(OR(_xlpm.s="", _xlpm.s=0),"Unclassified",IF(SUM(--ISNUMBER(SEARCH(_xlpm.phil, _xlpm.s)))&gt;0, "Y", "N")))</f>
        <v>N</v>
      </c>
      <c r="U77" s="4" t="str" cm="1">
        <f t="array" ref="U77">IF(M77="", "Unclassified", IF(AND(SUMPRODUCT(--ISNUMBER(SEARCH(REF_Setup!$B$3:$B$40,M77)))&gt;0,SUMPRODUCT(--ISNUMBER(SEARCH(REF_Setup!$F$3:$F$15,M77)))&gt;0),"Mixed",IF(SUMPRODUCT(--ISNUMBER(SEARCH(REF_Setup!$B$3:$B$40,M77)))&gt;0,"Strategic Only",IF(SUMPRODUCT(--ISNUMBER(SEARCH(REF_Setup!$F$3:$F$15,M77)))&gt;0,"VC Only","Unclassified"))))</f>
        <v>VC Only</v>
      </c>
    </row>
    <row r="78" spans="2:21" x14ac:dyDescent="0.35">
      <c r="B78" s="4">
        <f t="shared" si="5"/>
        <v>76</v>
      </c>
      <c r="C78" s="4" t="str">
        <f>IFERROR(_xlfn.XLOOKUP($B78,Raw_Data!$A$3:$A$273,Raw_Data!$B$3:$B$273),"")</f>
        <v>Evergreen (Other Commercial Products)</v>
      </c>
      <c r="D78" s="4" t="str">
        <f>IFERROR(_xlfn.XLOOKUP($B78,Raw_Data!$A$3:$A$273,Raw_Data!$C$3:$C$273),"")</f>
        <v>Albany, NY</v>
      </c>
      <c r="E78" s="4">
        <f>IFERROR(_xlfn.XLOOKUP($B78,Raw_Data!$A$3:$A$273,Raw_Data!$D$3:$D$273),"")</f>
        <v>1998</v>
      </c>
      <c r="F78" s="4" t="str">
        <f>IFERROR(_xlfn.XLOOKUP($B78,Raw_Data!$A$3:$A$273,Raw_Data!$F$3:$F$273),"")</f>
        <v>Industrial Decarbonization</v>
      </c>
      <c r="G78" s="35">
        <f>IFERROR(_xlfn.XLOOKUP($B78,Raw_Data!$A$3:$A$273,Raw_Data!$J$3:$J$273),"")</f>
        <v>44621</v>
      </c>
      <c r="H78" s="4" t="s">
        <v>75</v>
      </c>
      <c r="I78" s="36">
        <f>IFERROR(_xlfn.XLOOKUP($B78,Raw_Data!$A$3:$A$273,Raw_Data!$I$3:$I$273),"")</f>
        <v>5</v>
      </c>
      <c r="J78" s="36">
        <f>IFERROR(_xlfn.XLOOKUP($B78,Raw_Data!$A$3:$A$273,Raw_Data!$L$3:$L$273),"")</f>
        <v>0</v>
      </c>
      <c r="K78" s="36">
        <f>IFERROR(_xlfn.XLOOKUP($B78,Raw_Data!$A$3:$A$273,Raw_Data!$M$3:$M$273),"")</f>
        <v>0</v>
      </c>
      <c r="L78" s="15" t="str">
        <f>IFERROR(_xlfn.XLOOKUP($B78,Raw_Data!$A$3:$A$273,Raw_Data!$Q$3:$Q$273),"")</f>
        <v>N/A</v>
      </c>
      <c r="M78" s="34" t="str">
        <f>IFERROR(_xlfn.XLOOKUP($B78,Raw_Data!$A$3:$A$273,Raw_Data!$R$3:$R$273),"")</f>
        <v xml:space="preserve">The Sterling Group </v>
      </c>
      <c r="N78" s="16" cm="1">
        <f t="array" ref="N78">IF(M78="",0,COUNTA(_xlfn._xlws.FILTER(_xlfn.TEXTSPLIT(M78,";"), _xlfn.TEXTSPLIT(M78,";")&lt;&gt;"")))</f>
        <v>1</v>
      </c>
      <c r="O78" s="16" t="str">
        <f t="shared" si="3"/>
        <v>N</v>
      </c>
      <c r="P78" s="19">
        <f>IFERROR(_xlfn.XLOOKUP($B78,Raw_Data!$A$3:$A$273,Raw_Data!$V$3:$V$273),"")</f>
        <v>0</v>
      </c>
      <c r="Q78" s="16" t="str">
        <f t="shared" si="4"/>
        <v>Y</v>
      </c>
      <c r="R78" s="32">
        <f>IFERROR(_xlfn.XLOOKUP($B78,Raw_Data!$A$3:$A$273,Raw_Data!$Y$3:$Y$273),"")</f>
        <v>1</v>
      </c>
      <c r="S78" s="4" t="str" cm="1">
        <f t="array" ref="S78">_xlfn.LET(_xlpm.s, Raw_Data!W78,_xlpm.strat, _xlfn._xlws.FILTER(REF_Setup!$B$3:$B$40, REF_Setup!$B$3:$B$40&lt;&gt;""),IF(OR(_xlpm.s="",_xlpm.s=0),"Unclassified",IF(SUM(--ISNUMBER(SEARCH(_xlpm.strat, _xlpm.s)))&gt;0, "Y", "N"))
)</f>
        <v>N</v>
      </c>
      <c r="T78" s="4" t="str" cm="1">
        <f t="array" ref="T78">_xlfn.LET(_xlpm.s,M78,_xlpm.phil, _xlfn._xlws.FILTER(REF_Setup!$D$3:$D$5, REF_Setup!$D$3:$D$5&lt;&gt;""),IF(OR(_xlpm.s="", _xlpm.s=0),"Unclassified",IF(SUM(--ISNUMBER(SEARCH(_xlpm.phil, _xlpm.s)))&gt;0, "Y", "N")))</f>
        <v>N</v>
      </c>
      <c r="U78" s="4" t="str" cm="1">
        <f t="array" ref="U78">IF(M78="", "Unclassified", IF(AND(SUMPRODUCT(--ISNUMBER(SEARCH(REF_Setup!$B$3:$B$40,M78)))&gt;0,SUMPRODUCT(--ISNUMBER(SEARCH(REF_Setup!$F$3:$F$15,M78)))&gt;0),"Mixed",IF(SUMPRODUCT(--ISNUMBER(SEARCH(REF_Setup!$B$3:$B$40,M78)))&gt;0,"Strategic Only",IF(SUMPRODUCT(--ISNUMBER(SEARCH(REF_Setup!$F$3:$F$15,M78)))&gt;0,"VC Only","Unclassified"))))</f>
        <v>VC Only</v>
      </c>
    </row>
    <row r="79" spans="2:21" ht="72.5" x14ac:dyDescent="0.35">
      <c r="B79" s="4">
        <f t="shared" si="5"/>
        <v>77</v>
      </c>
      <c r="C79" s="4" t="str">
        <f>IFERROR(_xlfn.XLOOKUP($B79,Raw_Data!$A$3:$A$273,Raw_Data!$B$3:$B$273),"")</f>
        <v>Exowatt</v>
      </c>
      <c r="D79" s="4" t="str">
        <f>IFERROR(_xlfn.XLOOKUP($B79,Raw_Data!$A$3:$A$273,Raw_Data!$C$3:$C$273),"")</f>
        <v>Miami, FL</v>
      </c>
      <c r="E79" s="4">
        <f>IFERROR(_xlfn.XLOOKUP($B79,Raw_Data!$A$3:$A$273,Raw_Data!$D$3:$D$273),"")</f>
        <v>2023</v>
      </c>
      <c r="F79" s="4" t="str">
        <f>IFERROR(_xlfn.XLOOKUP($B79,Raw_Data!$A$3:$A$273,Raw_Data!$F$3:$F$273),"")</f>
        <v>LDES</v>
      </c>
      <c r="G79" s="35">
        <f>IFERROR(_xlfn.XLOOKUP($B79,Raw_Data!$A$3:$A$273,Raw_Data!$J$3:$J$273),"")</f>
        <v>45974</v>
      </c>
      <c r="H79" s="16" t="s">
        <v>1465</v>
      </c>
      <c r="I79" s="36">
        <f>IFERROR(_xlfn.XLOOKUP($B79,Raw_Data!$A$3:$A$273,Raw_Data!$I$3:$I$273),"")</f>
        <v>140</v>
      </c>
      <c r="J79" s="36">
        <f>IFERROR(_xlfn.XLOOKUP($B79,Raw_Data!$A$3:$A$273,Raw_Data!$L$3:$L$273),"")</f>
        <v>120</v>
      </c>
      <c r="K79" s="36">
        <f>IFERROR(_xlfn.XLOOKUP($B79,Raw_Data!$A$3:$A$273,Raw_Data!$M$3:$M$273),"")</f>
        <v>0</v>
      </c>
      <c r="L79" s="15">
        <f>IFERROR(_xlfn.XLOOKUP($B79,Raw_Data!$A$3:$A$273,Raw_Data!$Q$3:$Q$273),"")</f>
        <v>0</v>
      </c>
      <c r="M79" s="34" t="str">
        <f>IFERROR(_xlfn.XLOOKUP($B79,Raw_Data!$A$3:$A$273,Raw_Data!$R$3:$R$273),"")</f>
        <v>8090 Industries; Felicis; MVP Ventures; Atomic; Dragon Global; New Atlas Capital; Brex Asset Management; Bay Bridge Ventures; Florida Opportunity Fund; Andreessen Horowitz; Deepwork Capital; Protagonist; Overmatch; MCJ; Thrive Capital; Goat Ventures; Massive Capital Partners; Leonardo DiCaprio; Upsher Management Company; Alpen Capital; StepStone Group; Starwood Capital Group</v>
      </c>
      <c r="N79" s="16" cm="1">
        <f t="array" ref="N79">IF(M79="",0,COUNTA(_xlfn._xlws.FILTER(_xlfn.TEXTSPLIT(M79,";"), _xlfn.TEXTSPLIT(M79,";")&lt;&gt;"")))</f>
        <v>22</v>
      </c>
      <c r="O79" s="16" t="str">
        <f t="shared" si="3"/>
        <v>Y</v>
      </c>
      <c r="P79" s="19">
        <f>IFERROR(_xlfn.XLOOKUP($B79,Raw_Data!$A$3:$A$273,Raw_Data!$V$3:$V$273),"")</f>
        <v>0.45454545454545453</v>
      </c>
      <c r="Q79" s="16" t="str">
        <f t="shared" si="4"/>
        <v>Y</v>
      </c>
      <c r="R79" s="32">
        <f>IFERROR(_xlfn.XLOOKUP($B79,Raw_Data!$A$3:$A$273,Raw_Data!$Y$3:$Y$273),"")</f>
        <v>0.59090909090909094</v>
      </c>
      <c r="S79" s="4" t="str" cm="1">
        <f t="array" ref="S79">_xlfn.LET(_xlpm.s, Raw_Data!W79,_xlpm.strat, _xlfn._xlws.FILTER(REF_Setup!$B$3:$B$40, REF_Setup!$B$3:$B$40&lt;&gt;""),IF(OR(_xlpm.s="",_xlpm.s=0),"Unclassified",IF(SUM(--ISNUMBER(SEARCH(_xlpm.strat, _xlpm.s)))&gt;0, "Y", "N"))
)</f>
        <v>N</v>
      </c>
      <c r="T79" s="4" t="str" cm="1">
        <f t="array" ref="T79">_xlfn.LET(_xlpm.s,M79,_xlpm.phil, _xlfn._xlws.FILTER(REF_Setup!$D$3:$D$5, REF_Setup!$D$3:$D$5&lt;&gt;""),IF(OR(_xlpm.s="", _xlpm.s=0),"Unclassified",IF(SUM(--ISNUMBER(SEARCH(_xlpm.phil, _xlpm.s)))&gt;0, "Y", "N")))</f>
        <v>N</v>
      </c>
      <c r="U79" s="4" t="str" cm="1">
        <f t="array" ref="U79">IF(M79="", "Unclassified", IF(AND(SUMPRODUCT(--ISNUMBER(SEARCH(REF_Setup!$B$3:$B$40,M79)))&gt;0,SUMPRODUCT(--ISNUMBER(SEARCH(REF_Setup!$F$3:$F$15,M79)))&gt;0),"Mixed",IF(SUMPRODUCT(--ISNUMBER(SEARCH(REF_Setup!$B$3:$B$40,M79)))&gt;0,"Strategic Only",IF(SUMPRODUCT(--ISNUMBER(SEARCH(REF_Setup!$F$3:$F$15,M79)))&gt;0,"VC Only","Unclassified"))))</f>
        <v>VC Only</v>
      </c>
    </row>
    <row r="80" spans="2:21" x14ac:dyDescent="0.35">
      <c r="B80" s="4">
        <f t="shared" si="5"/>
        <v>78</v>
      </c>
      <c r="C80" s="4" t="str">
        <f>IFERROR(_xlfn.XLOOKUP($B80,Raw_Data!$A$3:$A$273,Raw_Data!$B$3:$B$273),"")</f>
        <v>Faraday Future Intelligent Electric (NAS: FFAI)</v>
      </c>
      <c r="D80" s="4" t="str">
        <f>IFERROR(_xlfn.XLOOKUP($B80,Raw_Data!$A$3:$A$273,Raw_Data!$C$3:$C$273),"")</f>
        <v>Gardena, CA</v>
      </c>
      <c r="E80" s="4">
        <f>IFERROR(_xlfn.XLOOKUP($B80,Raw_Data!$A$3:$A$273,Raw_Data!$D$3:$D$273),"")</f>
        <v>2014</v>
      </c>
      <c r="F80" s="4" t="str">
        <f>IFERROR(_xlfn.XLOOKUP($B80,Raw_Data!$A$3:$A$273,Raw_Data!$F$3:$F$273),"")</f>
        <v>Mobility</v>
      </c>
      <c r="G80" s="35">
        <f>IFERROR(_xlfn.XLOOKUP($B80,Raw_Data!$A$3:$A$273,Raw_Data!$J$3:$J$273),"")</f>
        <v>43584</v>
      </c>
      <c r="H80" s="16" t="s">
        <v>1467</v>
      </c>
      <c r="I80" s="36">
        <f>IFERROR(_xlfn.XLOOKUP($B80,Raw_Data!$A$3:$A$273,Raw_Data!$I$3:$I$273),"")</f>
        <v>4361</v>
      </c>
      <c r="J80" s="36">
        <f>IFERROR(_xlfn.XLOOKUP($B80,Raw_Data!$A$3:$A$273,Raw_Data!$L$3:$L$273),"")</f>
        <v>1250</v>
      </c>
      <c r="K80" s="36">
        <f>IFERROR(_xlfn.XLOOKUP($B80,Raw_Data!$A$3:$A$273,Raw_Data!$M$3:$M$273),"")</f>
        <v>0</v>
      </c>
      <c r="L80" s="15">
        <f>IFERROR(_xlfn.XLOOKUP($B80,Raw_Data!$A$3:$A$273,Raw_Data!$Q$3:$Q$273),"")</f>
        <v>0.18</v>
      </c>
      <c r="M80" s="34"/>
      <c r="N80" s="16" cm="1">
        <f t="array" ref="N80">IF(M80="",0,COUNTA(_xlfn._xlws.FILTER(_xlfn.TEXTSPLIT(M80,";"), _xlfn.TEXTSPLIT(M80,";")&lt;&gt;"")))</f>
        <v>0</v>
      </c>
      <c r="O80" s="16" t="str">
        <f t="shared" si="3"/>
        <v>Y</v>
      </c>
      <c r="P80" s="19" t="str">
        <f>IFERROR(_xlfn.XLOOKUP($B80,Raw_Data!$A$3:$A$273,Raw_Data!$V$3:$V$273),"")</f>
        <v>N/A</v>
      </c>
      <c r="Q80" s="16" t="str">
        <f t="shared" si="4"/>
        <v>Y</v>
      </c>
      <c r="R80" s="32" t="str">
        <f>IFERROR(_xlfn.XLOOKUP($B80,Raw_Data!$A$3:$A$273,Raw_Data!$Y$3:$Y$273),"")</f>
        <v>N/A</v>
      </c>
      <c r="S80" s="4" t="str" cm="1">
        <f t="array" ref="S80">_xlfn.LET(_xlpm.s, Raw_Data!W80,_xlpm.strat, _xlfn._xlws.FILTER(REF_Setup!$B$3:$B$40, REF_Setup!$B$3:$B$40&lt;&gt;""),IF(OR(_xlpm.s="",_xlpm.s=0),"Unclassified",IF(SUM(--ISNUMBER(SEARCH(_xlpm.strat, _xlpm.s)))&gt;0, "Y", "N"))
)</f>
        <v>Unclassified</v>
      </c>
      <c r="T80" s="4" t="str" cm="1">
        <f t="array" ref="T80">_xlfn.LET(_xlpm.s,M80,_xlpm.phil, _xlfn._xlws.FILTER(REF_Setup!$D$3:$D$5, REF_Setup!$D$3:$D$5&lt;&gt;""),IF(OR(_xlpm.s="", _xlpm.s=0),"Unclassified",IF(SUM(--ISNUMBER(SEARCH(_xlpm.phil, _xlpm.s)))&gt;0, "Y", "N")))</f>
        <v>Unclassified</v>
      </c>
      <c r="U80" s="4" t="str" cm="1">
        <f t="array" ref="U80">IF(M80="", "Unclassified", IF(AND(SUMPRODUCT(--ISNUMBER(SEARCH(REF_Setup!$B$3:$B$40,M80)))&gt;0,SUMPRODUCT(--ISNUMBER(SEARCH(REF_Setup!$F$3:$F$15,M80)))&gt;0),"Mixed",IF(SUMPRODUCT(--ISNUMBER(SEARCH(REF_Setup!$B$3:$B$40,M80)))&gt;0,"Strategic Only",IF(SUMPRODUCT(--ISNUMBER(SEARCH(REF_Setup!$F$3:$F$15,M80)))&gt;0,"VC Only","Unclassified"))))</f>
        <v>Unclassified</v>
      </c>
    </row>
    <row r="81" spans="2:21" x14ac:dyDescent="0.35">
      <c r="B81" s="4">
        <f t="shared" si="5"/>
        <v>79</v>
      </c>
      <c r="C81" s="4" t="str">
        <f>IFERROR(_xlfn.XLOOKUP($B81,Raw_Data!$A$3:$A$273,Raw_Data!$B$3:$B$273),"")</f>
        <v>Fermata Energy</v>
      </c>
      <c r="D81" s="4" t="str">
        <f>IFERROR(_xlfn.XLOOKUP($B81,Raw_Data!$A$3:$A$273,Raw_Data!$C$3:$C$273),"")</f>
        <v>Charlottesville, VA</v>
      </c>
      <c r="E81" s="4">
        <f>IFERROR(_xlfn.XLOOKUP($B81,Raw_Data!$A$3:$A$273,Raw_Data!$D$3:$D$273),"")</f>
        <v>2010</v>
      </c>
      <c r="F81" s="4" t="str">
        <f>IFERROR(_xlfn.XLOOKUP($B81,Raw_Data!$A$3:$A$273,Raw_Data!$F$3:$F$273),"")</f>
        <v>Mobility</v>
      </c>
      <c r="G81" s="35">
        <f>IFERROR(_xlfn.XLOOKUP($B81,Raw_Data!$A$3:$A$273,Raw_Data!$J$3:$J$273),"")</f>
        <v>43069</v>
      </c>
      <c r="H81" s="16" t="s">
        <v>1465</v>
      </c>
      <c r="I81" s="36">
        <f>IFERROR(_xlfn.XLOOKUP($B81,Raw_Data!$A$3:$A$273,Raw_Data!$I$3:$I$273),"")</f>
        <v>7.92</v>
      </c>
      <c r="J81" s="36">
        <f>IFERROR(_xlfn.XLOOKUP($B81,Raw_Data!$A$3:$A$273,Raw_Data!$L$3:$L$273),"")</f>
        <v>3.92</v>
      </c>
      <c r="K81" s="36">
        <f>IFERROR(_xlfn.XLOOKUP($B81,Raw_Data!$A$3:$A$273,Raw_Data!$M$3:$M$273),"")</f>
        <v>0</v>
      </c>
      <c r="L81" s="15">
        <f>IFERROR(_xlfn.XLOOKUP($B81,Raw_Data!$A$3:$A$273,Raw_Data!$Q$3:$Q$273),"")</f>
        <v>0</v>
      </c>
      <c r="M81" s="34"/>
      <c r="N81" s="16" cm="1">
        <f t="array" ref="N81">IF(M81="",0,COUNTA(_xlfn._xlws.FILTER(_xlfn.TEXTSPLIT(M81,";"), _xlfn.TEXTSPLIT(M81,";")&lt;&gt;"")))</f>
        <v>0</v>
      </c>
      <c r="O81" s="16" t="str">
        <f t="shared" si="3"/>
        <v>Y</v>
      </c>
      <c r="P81" s="19" t="str">
        <f>IFERROR(_xlfn.XLOOKUP($B81,Raw_Data!$A$3:$A$273,Raw_Data!$V$3:$V$273),"")</f>
        <v>N/A</v>
      </c>
      <c r="Q81" s="16" t="str">
        <f t="shared" si="4"/>
        <v>Y</v>
      </c>
      <c r="R81" s="32" t="str">
        <f>IFERROR(_xlfn.XLOOKUP($B81,Raw_Data!$A$3:$A$273,Raw_Data!$Y$3:$Y$273),"")</f>
        <v>N/A</v>
      </c>
      <c r="S81" s="4" t="str" cm="1">
        <f t="array" ref="S81">_xlfn.LET(_xlpm.s, Raw_Data!W81,_xlpm.strat, _xlfn._xlws.FILTER(REF_Setup!$B$3:$B$40, REF_Setup!$B$3:$B$40&lt;&gt;""),IF(OR(_xlpm.s="",_xlpm.s=0),"Unclassified",IF(SUM(--ISNUMBER(SEARCH(_xlpm.strat, _xlpm.s)))&gt;0, "Y", "N"))
)</f>
        <v>Unclassified</v>
      </c>
      <c r="T81" s="4" t="str" cm="1">
        <f t="array" ref="T81">_xlfn.LET(_xlpm.s,M81,_xlpm.phil, _xlfn._xlws.FILTER(REF_Setup!$D$3:$D$5, REF_Setup!$D$3:$D$5&lt;&gt;""),IF(OR(_xlpm.s="", _xlpm.s=0),"Unclassified",IF(SUM(--ISNUMBER(SEARCH(_xlpm.phil, _xlpm.s)))&gt;0, "Y", "N")))</f>
        <v>Unclassified</v>
      </c>
      <c r="U81" s="4" t="str" cm="1">
        <f t="array" ref="U81">IF(M81="", "Unclassified", IF(AND(SUMPRODUCT(--ISNUMBER(SEARCH(REF_Setup!$B$3:$B$40,M81)))&gt;0,SUMPRODUCT(--ISNUMBER(SEARCH(REF_Setup!$F$3:$F$15,M81)))&gt;0),"Mixed",IF(SUMPRODUCT(--ISNUMBER(SEARCH(REF_Setup!$B$3:$B$40,M81)))&gt;0,"Strategic Only",IF(SUMPRODUCT(--ISNUMBER(SEARCH(REF_Setup!$F$3:$F$15,M81)))&gt;0,"VC Only","Unclassified"))))</f>
        <v>Unclassified</v>
      </c>
    </row>
    <row r="82" spans="2:21" x14ac:dyDescent="0.35">
      <c r="B82" s="4">
        <f t="shared" si="5"/>
        <v>80</v>
      </c>
      <c r="C82" s="4" t="str">
        <f>IFERROR(_xlfn.XLOOKUP($B82,Raw_Data!$A$3:$A$273,Raw_Data!$B$3:$B$273),"")</f>
        <v>Fervo Energy</v>
      </c>
      <c r="D82" s="4" t="str">
        <f>IFERROR(_xlfn.XLOOKUP($B82,Raw_Data!$A$3:$A$273,Raw_Data!$C$3:$C$273),"")</f>
        <v>Houston, TX</v>
      </c>
      <c r="E82" s="4">
        <f>IFERROR(_xlfn.XLOOKUP($B82,Raw_Data!$A$3:$A$273,Raw_Data!$D$3:$D$273),"")</f>
        <v>2017</v>
      </c>
      <c r="F82" s="4" t="str">
        <f>IFERROR(_xlfn.XLOOKUP($B82,Raw_Data!$A$3:$A$273,Raw_Data!$F$3:$F$273),"")</f>
        <v>Renewables</v>
      </c>
      <c r="G82" s="35">
        <f>IFERROR(_xlfn.XLOOKUP($B82,Raw_Data!$A$3:$A$273,Raw_Data!$J$3:$J$273),"")</f>
        <v>45545</v>
      </c>
      <c r="H82" s="16" t="s">
        <v>1469</v>
      </c>
      <c r="I82" s="36">
        <f>IFERROR(_xlfn.XLOOKUP($B82,Raw_Data!$A$3:$A$273,Raw_Data!$I$3:$I$273),"")</f>
        <v>521.47</v>
      </c>
      <c r="J82" s="36">
        <f>IFERROR(_xlfn.XLOOKUP($B82,Raw_Data!$A$3:$A$273,Raw_Data!$L$3:$L$273),"")</f>
        <v>100</v>
      </c>
      <c r="K82" s="36">
        <f>IFERROR(_xlfn.XLOOKUP($B82,Raw_Data!$A$3:$A$273,Raw_Data!$M$3:$M$273),"")</f>
        <v>0</v>
      </c>
      <c r="L82" s="15">
        <f>IFERROR(_xlfn.XLOOKUP($B82,Raw_Data!$A$3:$A$273,Raw_Data!$Q$3:$Q$273),"")</f>
        <v>1</v>
      </c>
      <c r="M82" s="34"/>
      <c r="N82" s="16" cm="1">
        <f t="array" ref="N82">IF(M82="",0,COUNTA(_xlfn._xlws.FILTER(_xlfn.TEXTSPLIT(M82,";"), _xlfn.TEXTSPLIT(M82,";")&lt;&gt;"")))</f>
        <v>0</v>
      </c>
      <c r="O82" s="16" t="str">
        <f t="shared" si="3"/>
        <v>Y</v>
      </c>
      <c r="P82" s="19" t="str">
        <f>IFERROR(_xlfn.XLOOKUP($B82,Raw_Data!$A$3:$A$273,Raw_Data!$V$3:$V$273),"")</f>
        <v>N/A</v>
      </c>
      <c r="Q82" s="16" t="str">
        <f t="shared" si="4"/>
        <v>Y</v>
      </c>
      <c r="R82" s="32" t="str">
        <f>IFERROR(_xlfn.XLOOKUP($B82,Raw_Data!$A$3:$A$273,Raw_Data!$Y$3:$Y$273),"")</f>
        <v>N/A</v>
      </c>
      <c r="S82" s="4" t="str" cm="1">
        <f t="array" ref="S82">_xlfn.LET(_xlpm.s, Raw_Data!W82,_xlpm.strat, _xlfn._xlws.FILTER(REF_Setup!$B$3:$B$40, REF_Setup!$B$3:$B$40&lt;&gt;""),IF(OR(_xlpm.s="",_xlpm.s=0),"Unclassified",IF(SUM(--ISNUMBER(SEARCH(_xlpm.strat, _xlpm.s)))&gt;0, "Y", "N"))
)</f>
        <v>Unclassified</v>
      </c>
      <c r="T82" s="4" t="str" cm="1">
        <f t="array" ref="T82">_xlfn.LET(_xlpm.s,M82,_xlpm.phil, _xlfn._xlws.FILTER(REF_Setup!$D$3:$D$5, REF_Setup!$D$3:$D$5&lt;&gt;""),IF(OR(_xlpm.s="", _xlpm.s=0),"Unclassified",IF(SUM(--ISNUMBER(SEARCH(_xlpm.phil, _xlpm.s)))&gt;0, "Y", "N")))</f>
        <v>Unclassified</v>
      </c>
      <c r="U82" s="4" t="str" cm="1">
        <f t="array" ref="U82">IF(M82="", "Unclassified", IF(AND(SUMPRODUCT(--ISNUMBER(SEARCH(REF_Setup!$B$3:$B$40,M82)))&gt;0,SUMPRODUCT(--ISNUMBER(SEARCH(REF_Setup!$F$3:$F$15,M82)))&gt;0),"Mixed",IF(SUMPRODUCT(--ISNUMBER(SEARCH(REF_Setup!$B$3:$B$40,M82)))&gt;0,"Strategic Only",IF(SUMPRODUCT(--ISNUMBER(SEARCH(REF_Setup!$F$3:$F$15,M82)))&gt;0,"VC Only","Unclassified"))))</f>
        <v>Unclassified</v>
      </c>
    </row>
    <row r="83" spans="2:21" ht="58" x14ac:dyDescent="0.35">
      <c r="B83" s="4">
        <f t="shared" si="5"/>
        <v>81</v>
      </c>
      <c r="C83" s="4" t="str">
        <f>IFERROR(_xlfn.XLOOKUP($B83,Raw_Data!$A$3:$A$273,Raw_Data!$B$3:$B$273),"")</f>
        <v>Finless Foods</v>
      </c>
      <c r="D83" s="4" t="str">
        <f>IFERROR(_xlfn.XLOOKUP($B83,Raw_Data!$A$3:$A$273,Raw_Data!$C$3:$C$273),"")</f>
        <v>San Francisco,CA</v>
      </c>
      <c r="E83" s="4">
        <f>IFERROR(_xlfn.XLOOKUP($B83,Raw_Data!$A$3:$A$273,Raw_Data!$D$3:$D$273),"")</f>
        <v>2017</v>
      </c>
      <c r="F83" s="4" t="str">
        <f>IFERROR(_xlfn.XLOOKUP($B83,Raw_Data!$A$3:$A$273,Raw_Data!$F$3:$F$273),"")</f>
        <v>Food &amp; Ag</v>
      </c>
      <c r="G83" s="35">
        <f>IFERROR(_xlfn.XLOOKUP($B83,Raw_Data!$A$3:$A$273,Raw_Data!$J$3:$J$273),"")</f>
        <v>44085</v>
      </c>
      <c r="H83" s="16" t="s">
        <v>1465</v>
      </c>
      <c r="I83" s="36">
        <f>IFERROR(_xlfn.XLOOKUP($B83,Raw_Data!$A$3:$A$273,Raw_Data!$I$3:$I$273),"")</f>
        <v>14</v>
      </c>
      <c r="J83" s="36">
        <f>IFERROR(_xlfn.XLOOKUP($B83,Raw_Data!$A$3:$A$273,Raw_Data!$L$3:$L$273),"")</f>
        <v>10.23</v>
      </c>
      <c r="K83" s="36">
        <f>IFERROR(_xlfn.XLOOKUP($B83,Raw_Data!$A$3:$A$273,Raw_Data!$M$3:$M$273),"")</f>
        <v>30.23</v>
      </c>
      <c r="L83" s="15">
        <f>IFERROR(_xlfn.XLOOKUP($B83,Raw_Data!$A$3:$A$273,Raw_Data!$Q$3:$Q$273),"")</f>
        <v>0</v>
      </c>
      <c r="M83" s="34" t="str">
        <f>IFERROR(_xlfn.XLOOKUP($B83,Raw_Data!$A$3:$A$273,Raw_Data!$R$3:$R$273),"")</f>
        <v>AiiM Partners; Alecla7; At One Ventures; Cognic Capital; Draper Associates; Emergence Industries; Endurance28; Gaingels; Good Seed Ventures; Hemisphere Ventures; JKS Ventures; Joyance Partners; Magic Hour; Rise Together; Seabird Ventures; Samsarik Capital; SOSV; Synergeticl VU enture Partners</v>
      </c>
      <c r="N83" s="16" cm="1">
        <f t="array" ref="N83">IF(M83="",0,COUNTA(_xlfn._xlws.FILTER(_xlfn.TEXTSPLIT(M83,";"), _xlfn.TEXTSPLIT(M83,";")&lt;&gt;"")))</f>
        <v>18</v>
      </c>
      <c r="O83" s="16" t="str">
        <f t="shared" si="3"/>
        <v>Y</v>
      </c>
      <c r="P83" s="19">
        <f>IFERROR(_xlfn.XLOOKUP($B83,Raw_Data!$A$3:$A$273,Raw_Data!$V$3:$V$273),"")</f>
        <v>0.16666666666666666</v>
      </c>
      <c r="Q83" s="16" t="str">
        <f t="shared" si="4"/>
        <v>Y</v>
      </c>
      <c r="R83" s="32">
        <f>IFERROR(_xlfn.XLOOKUP($B83,Raw_Data!$A$3:$A$273,Raw_Data!$Y$3:$Y$273),"")</f>
        <v>0.88888888888888884</v>
      </c>
      <c r="S83" s="4" t="str" cm="1">
        <f t="array" ref="S83">_xlfn.LET(_xlpm.s, Raw_Data!W83,_xlpm.strat, _xlfn._xlws.FILTER(REF_Setup!$B$3:$B$40, REF_Setup!$B$3:$B$40&lt;&gt;""),IF(OR(_xlpm.s="",_xlpm.s=0),"Unclassified",IF(SUM(--ISNUMBER(SEARCH(_xlpm.strat, _xlpm.s)))&gt;0, "Y", "N"))
)</f>
        <v>N</v>
      </c>
      <c r="T83" s="4" t="str" cm="1">
        <f t="array" ref="T83">_xlfn.LET(_xlpm.s,M83,_xlpm.phil, _xlfn._xlws.FILTER(REF_Setup!$D$3:$D$5, REF_Setup!$D$3:$D$5&lt;&gt;""),IF(OR(_xlpm.s="", _xlpm.s=0),"Unclassified",IF(SUM(--ISNUMBER(SEARCH(_xlpm.phil, _xlpm.s)))&gt;0, "Y", "N")))</f>
        <v>N</v>
      </c>
      <c r="U83" s="4" t="str" cm="1">
        <f t="array" ref="U83">IF(M83="", "Unclassified", IF(AND(SUMPRODUCT(--ISNUMBER(SEARCH(REF_Setup!$B$3:$B$40,M83)))&gt;0,SUMPRODUCT(--ISNUMBER(SEARCH(REF_Setup!$F$3:$F$15,M83)))&gt;0),"Mixed",IF(SUMPRODUCT(--ISNUMBER(SEARCH(REF_Setup!$B$3:$B$40,M83)))&gt;0,"Strategic Only",IF(SUMPRODUCT(--ISNUMBER(SEARCH(REF_Setup!$F$3:$F$15,M83)))&gt;0,"VC Only","Unclassified"))))</f>
        <v>VC Only</v>
      </c>
    </row>
    <row r="84" spans="2:21" x14ac:dyDescent="0.35">
      <c r="B84" s="4">
        <f t="shared" si="5"/>
        <v>82</v>
      </c>
      <c r="C84" s="4" t="str">
        <f>IFERROR(_xlfn.XLOOKUP($B84,Raw_Data!$A$3:$A$273,Raw_Data!$B$3:$B$273),"")</f>
        <v>Finless Foods</v>
      </c>
      <c r="D84" s="4" t="str">
        <f>IFERROR(_xlfn.XLOOKUP($B84,Raw_Data!$A$3:$A$273,Raw_Data!$C$3:$C$273),"")</f>
        <v>San Francisco, CA</v>
      </c>
      <c r="E84" s="4">
        <f>IFERROR(_xlfn.XLOOKUP($B84,Raw_Data!$A$3:$A$273,Raw_Data!$D$3:$D$273),"")</f>
        <v>2017</v>
      </c>
      <c r="F84" s="4" t="str">
        <f>IFERROR(_xlfn.XLOOKUP($B84,Raw_Data!$A$3:$A$273,Raw_Data!$F$3:$F$273),"")</f>
        <v>Food &amp; Ag</v>
      </c>
      <c r="G84" s="35">
        <f>IFERROR(_xlfn.XLOOKUP($B84,Raw_Data!$A$3:$A$273,Raw_Data!$J$3:$J$273),"")</f>
        <v>44505</v>
      </c>
      <c r="H84" s="16" t="s">
        <v>1467</v>
      </c>
      <c r="I84" s="36">
        <f>IFERROR(_xlfn.XLOOKUP($B84,Raw_Data!$A$3:$A$273,Raw_Data!$I$3:$I$273),"")</f>
        <v>14</v>
      </c>
      <c r="J84" s="36">
        <f>IFERROR(_xlfn.XLOOKUP($B84,Raw_Data!$A$3:$A$273,Raw_Data!$L$3:$L$273),"")</f>
        <v>0</v>
      </c>
      <c r="K84" s="36">
        <f>IFERROR(_xlfn.XLOOKUP($B84,Raw_Data!$A$3:$A$273,Raw_Data!$M$3:$M$273),"")</f>
        <v>0</v>
      </c>
      <c r="L84" s="15" t="str">
        <f>IFERROR(_xlfn.XLOOKUP($B84,Raw_Data!$A$3:$A$273,Raw_Data!$Q$3:$Q$273),"")</f>
        <v>N/A</v>
      </c>
      <c r="M84" s="34" t="str">
        <f>IFERROR(_xlfn.XLOOKUP($B84,Raw_Data!$A$3:$A$273,Raw_Data!$R$3:$R$273),"")</f>
        <v>Draper Associates</v>
      </c>
      <c r="N84" s="16" cm="1">
        <f t="array" ref="N84">IF(M84="",0,COUNTA(_xlfn._xlws.FILTER(_xlfn.TEXTSPLIT(M84,";"), _xlfn.TEXTSPLIT(M84,";")&lt;&gt;"")))</f>
        <v>1</v>
      </c>
      <c r="O84" s="16" t="str">
        <f t="shared" si="3"/>
        <v>Y</v>
      </c>
      <c r="P84" s="19">
        <f>IFERROR(_xlfn.XLOOKUP($B84,Raw_Data!$A$3:$A$273,Raw_Data!$V$3:$V$273),"")</f>
        <v>1</v>
      </c>
      <c r="Q84" s="16" t="str">
        <f t="shared" si="4"/>
        <v>Y</v>
      </c>
      <c r="R84" s="32" t="str">
        <f>IFERROR(_xlfn.XLOOKUP($B84,Raw_Data!$A$3:$A$273,Raw_Data!$Y$3:$Y$273),"")</f>
        <v>N/A</v>
      </c>
      <c r="S84" s="4" t="str" cm="1">
        <f t="array" ref="S84">_xlfn.LET(_xlpm.s, Raw_Data!W84,_xlpm.strat, _xlfn._xlws.FILTER(REF_Setup!$B$3:$B$40, REF_Setup!$B$3:$B$40&lt;&gt;""),IF(OR(_xlpm.s="",_xlpm.s=0),"Unclassified",IF(SUM(--ISNUMBER(SEARCH(_xlpm.strat, _xlpm.s)))&gt;0, "Y", "N"))
)</f>
        <v>Unclassified</v>
      </c>
      <c r="T84" s="4" t="str" cm="1">
        <f t="array" ref="T84">_xlfn.LET(_xlpm.s,M84,_xlpm.phil, _xlfn._xlws.FILTER(REF_Setup!$D$3:$D$5, REF_Setup!$D$3:$D$5&lt;&gt;""),IF(OR(_xlpm.s="", _xlpm.s=0),"Unclassified",IF(SUM(--ISNUMBER(SEARCH(_xlpm.phil, _xlpm.s)))&gt;0, "Y", "N")))</f>
        <v>N</v>
      </c>
      <c r="U84" s="4" t="str" cm="1">
        <f t="array" ref="U84">IF(M84="", "Unclassified", IF(AND(SUMPRODUCT(--ISNUMBER(SEARCH(REF_Setup!$B$3:$B$40,M84)))&gt;0,SUMPRODUCT(--ISNUMBER(SEARCH(REF_Setup!$F$3:$F$15,M84)))&gt;0),"Mixed",IF(SUMPRODUCT(--ISNUMBER(SEARCH(REF_Setup!$B$3:$B$40,M84)))&gt;0,"Strategic Only",IF(SUMPRODUCT(--ISNUMBER(SEARCH(REF_Setup!$F$3:$F$15,M84)))&gt;0,"VC Only","Unclassified"))))</f>
        <v>Unclassified</v>
      </c>
    </row>
    <row r="85" spans="2:21" x14ac:dyDescent="0.35">
      <c r="B85" s="4">
        <f t="shared" si="5"/>
        <v>83</v>
      </c>
      <c r="C85" s="4" t="str">
        <f>IFERROR(_xlfn.XLOOKUP($B85,Raw_Data!$A$3:$A$273,Raw_Data!$B$3:$B$273),"")</f>
        <v>Flow Environmental Systems</v>
      </c>
      <c r="D85" s="4" t="str">
        <f>IFERROR(_xlfn.XLOOKUP($B85,Raw_Data!$A$3:$A$273,Raw_Data!$C$3:$C$273),"")</f>
        <v>Rogers, MN</v>
      </c>
      <c r="E85" s="4">
        <f>IFERROR(_xlfn.XLOOKUP($B85,Raw_Data!$A$3:$A$273,Raw_Data!$D$3:$D$273),"")</f>
        <v>2021</v>
      </c>
      <c r="F85" s="4" t="str">
        <f>IFERROR(_xlfn.XLOOKUP($B85,Raw_Data!$A$3:$A$273,Raw_Data!$F$3:$F$273),"")</f>
        <v>Buildings</v>
      </c>
      <c r="G85" s="35">
        <f>IFERROR(_xlfn.XLOOKUP($B85,Raw_Data!$A$3:$A$273,Raw_Data!$J$3:$J$273),"")</f>
        <v>45961</v>
      </c>
      <c r="H85" s="16" t="s">
        <v>1466</v>
      </c>
      <c r="I85" s="36">
        <f>IFERROR(_xlfn.XLOOKUP($B85,Raw_Data!$A$3:$A$273,Raw_Data!$I$3:$I$273),"")</f>
        <v>3.1</v>
      </c>
      <c r="J85" s="36">
        <f>IFERROR(_xlfn.XLOOKUP($B85,Raw_Data!$A$3:$A$273,Raw_Data!$L$3:$L$273),"")</f>
        <v>3.1</v>
      </c>
      <c r="K85" s="36">
        <f>IFERROR(_xlfn.XLOOKUP($B85,Raw_Data!$A$3:$A$273,Raw_Data!$M$3:$M$273),"")</f>
        <v>0</v>
      </c>
      <c r="L85" s="15">
        <f>IFERROR(_xlfn.XLOOKUP($B85,Raw_Data!$A$3:$A$273,Raw_Data!$Q$3:$Q$273),"")</f>
        <v>0</v>
      </c>
      <c r="M85" s="34"/>
      <c r="N85" s="16" cm="1">
        <f t="array" ref="N85">IF(M85="",0,COUNTA(_xlfn._xlws.FILTER(_xlfn.TEXTSPLIT(M85,";"), _xlfn.TEXTSPLIT(M85,";")&lt;&gt;"")))</f>
        <v>0</v>
      </c>
      <c r="O85" s="16" t="str">
        <f t="shared" si="3"/>
        <v>Y</v>
      </c>
      <c r="P85" s="19" t="str">
        <f>IFERROR(_xlfn.XLOOKUP($B85,Raw_Data!$A$3:$A$273,Raw_Data!$V$3:$V$273),"")</f>
        <v>N/A</v>
      </c>
      <c r="Q85" s="16" t="str">
        <f t="shared" si="4"/>
        <v>Y</v>
      </c>
      <c r="R85" s="32" t="str">
        <f>IFERROR(_xlfn.XLOOKUP($B85,Raw_Data!$A$3:$A$273,Raw_Data!$Y$3:$Y$273),"")</f>
        <v>N/A</v>
      </c>
      <c r="S85" s="4" t="str" cm="1">
        <f t="array" ref="S85">_xlfn.LET(_xlpm.s, Raw_Data!W85,_xlpm.strat, _xlfn._xlws.FILTER(REF_Setup!$B$3:$B$40, REF_Setup!$B$3:$B$40&lt;&gt;""),IF(OR(_xlpm.s="",_xlpm.s=0),"Unclassified",IF(SUM(--ISNUMBER(SEARCH(_xlpm.strat, _xlpm.s)))&gt;0, "Y", "N"))
)</f>
        <v>Unclassified</v>
      </c>
      <c r="T85" s="4" t="str" cm="1">
        <f t="array" ref="T85">_xlfn.LET(_xlpm.s,M85,_xlpm.phil, _xlfn._xlws.FILTER(REF_Setup!$D$3:$D$5, REF_Setup!$D$3:$D$5&lt;&gt;""),IF(OR(_xlpm.s="", _xlpm.s=0),"Unclassified",IF(SUM(--ISNUMBER(SEARCH(_xlpm.phil, _xlpm.s)))&gt;0, "Y", "N")))</f>
        <v>Unclassified</v>
      </c>
      <c r="U85" s="4" t="str" cm="1">
        <f t="array" ref="U85">IF(M85="", "Unclassified", IF(AND(SUMPRODUCT(--ISNUMBER(SEARCH(REF_Setup!$B$3:$B$40,M85)))&gt;0,SUMPRODUCT(--ISNUMBER(SEARCH(REF_Setup!$F$3:$F$15,M85)))&gt;0),"Mixed",IF(SUMPRODUCT(--ISNUMBER(SEARCH(REF_Setup!$B$3:$B$40,M85)))&gt;0,"Strategic Only",IF(SUMPRODUCT(--ISNUMBER(SEARCH(REF_Setup!$F$3:$F$15,M85)))&gt;0,"VC Only","Unclassified"))))</f>
        <v>Unclassified</v>
      </c>
    </row>
    <row r="86" spans="2:21" x14ac:dyDescent="0.35">
      <c r="B86" s="4">
        <f t="shared" si="5"/>
        <v>84</v>
      </c>
      <c r="C86" s="4" t="str">
        <f>IFERROR(_xlfn.XLOOKUP($B86,Raw_Data!$A$3:$A$273,Raw_Data!$B$3:$B$273),"")</f>
        <v>Footprint Power</v>
      </c>
      <c r="D86" s="4" t="str">
        <f>IFERROR(_xlfn.XLOOKUP($B86,Raw_Data!$A$3:$A$273,Raw_Data!$C$3:$C$273),"")</f>
        <v>Bridgewater , NJ</v>
      </c>
      <c r="E86" s="4">
        <f>IFERROR(_xlfn.XLOOKUP($B86,Raw_Data!$A$3:$A$273,Raw_Data!$D$3:$D$273),"")</f>
        <v>2009</v>
      </c>
      <c r="F86" s="4" t="str">
        <f>IFERROR(_xlfn.XLOOKUP($B86,Raw_Data!$A$3:$A$273,Raw_Data!$F$3:$F$273),"")</f>
        <v>Renewables</v>
      </c>
      <c r="G86" s="35">
        <f>IFERROR(_xlfn.XLOOKUP($B86,Raw_Data!$A$3:$A$273,Raw_Data!$J$3:$J$273),"")</f>
        <v>42013</v>
      </c>
      <c r="H86" s="4" t="s">
        <v>75</v>
      </c>
      <c r="I86" s="36">
        <f>IFERROR(_xlfn.XLOOKUP($B86,Raw_Data!$A$3:$A$273,Raw_Data!$I$3:$I$273),"")</f>
        <v>337</v>
      </c>
      <c r="J86" s="36">
        <f>IFERROR(_xlfn.XLOOKUP($B86,Raw_Data!$A$3:$A$273,Raw_Data!$L$3:$L$273),"")</f>
        <v>337</v>
      </c>
      <c r="K86" s="36">
        <f>IFERROR(_xlfn.XLOOKUP($B86,Raw_Data!$A$3:$A$273,Raw_Data!$M$3:$M$273),"")</f>
        <v>0</v>
      </c>
      <c r="L86" s="15">
        <f>IFERROR(_xlfn.XLOOKUP($B86,Raw_Data!$A$3:$A$273,Raw_Data!$Q$3:$Q$273),"")</f>
        <v>0</v>
      </c>
      <c r="M86" s="34" t="str">
        <f>IFERROR(_xlfn.XLOOKUP($B86,Raw_Data!$A$3:$A$273,Raw_Data!$R$3:$R$273),"")</f>
        <v>Oaktree Capital Management; Toyota Tsusho</v>
      </c>
      <c r="N86" s="16" cm="1">
        <f t="array" ref="N86">IF(M86="",0,COUNTA(_xlfn._xlws.FILTER(_xlfn.TEXTSPLIT(M86,";"), _xlfn.TEXTSPLIT(M86,";")&lt;&gt;"")))</f>
        <v>2</v>
      </c>
      <c r="O86" s="16" t="str">
        <f t="shared" si="3"/>
        <v>N</v>
      </c>
      <c r="P86" s="19">
        <f>IFERROR(_xlfn.XLOOKUP($B86,Raw_Data!$A$3:$A$273,Raw_Data!$V$3:$V$273),"")</f>
        <v>0</v>
      </c>
      <c r="Q86" s="16" t="str">
        <f t="shared" si="4"/>
        <v>Y</v>
      </c>
      <c r="R86" s="32">
        <f>IFERROR(_xlfn.XLOOKUP($B86,Raw_Data!$A$3:$A$273,Raw_Data!$Y$3:$Y$273),"")</f>
        <v>1</v>
      </c>
      <c r="S86" s="4" t="str" cm="1">
        <f t="array" ref="S86">_xlfn.LET(_xlpm.s, Raw_Data!W86,_xlpm.strat, _xlfn._xlws.FILTER(REF_Setup!$B$3:$B$40, REF_Setup!$B$3:$B$40&lt;&gt;""),IF(OR(_xlpm.s="",_xlpm.s=0),"Unclassified",IF(SUM(--ISNUMBER(SEARCH(_xlpm.strat, _xlpm.s)))&gt;0, "Y", "N"))
)</f>
        <v>Y</v>
      </c>
      <c r="T86" s="4" t="str" cm="1">
        <f t="array" ref="T86">_xlfn.LET(_xlpm.s,M86,_xlpm.phil, _xlfn._xlws.FILTER(REF_Setup!$D$3:$D$5, REF_Setup!$D$3:$D$5&lt;&gt;""),IF(OR(_xlpm.s="", _xlpm.s=0),"Unclassified",IF(SUM(--ISNUMBER(SEARCH(_xlpm.phil, _xlpm.s)))&gt;0, "Y", "N")))</f>
        <v>N</v>
      </c>
      <c r="U86" s="4" t="str" cm="1">
        <f t="array" ref="U86">IF(M86="", "Unclassified", IF(AND(SUMPRODUCT(--ISNUMBER(SEARCH(REF_Setup!$B$3:$B$40,M86)))&gt;0,SUMPRODUCT(--ISNUMBER(SEARCH(REF_Setup!$F$3:$F$15,M86)))&gt;0),"Mixed",IF(SUMPRODUCT(--ISNUMBER(SEARCH(REF_Setup!$B$3:$B$40,M86)))&gt;0,"Strategic Only",IF(SUMPRODUCT(--ISNUMBER(SEARCH(REF_Setup!$F$3:$F$15,M86)))&gt;0,"VC Only","Unclassified"))))</f>
        <v>Mixed</v>
      </c>
    </row>
    <row r="87" spans="2:21" x14ac:dyDescent="0.35">
      <c r="B87" s="4">
        <f t="shared" si="5"/>
        <v>85</v>
      </c>
      <c r="C87" s="4" t="str">
        <f>IFERROR(_xlfn.XLOOKUP($B87,Raw_Data!$A$3:$A$273,Raw_Data!$B$3:$B$273),"")</f>
        <v>Forever Oceans</v>
      </c>
      <c r="D87" s="4" t="str">
        <f>IFERROR(_xlfn.XLOOKUP($B87,Raw_Data!$A$3:$A$273,Raw_Data!$C$3:$C$273),"")</f>
        <v>Bethesda, MD</v>
      </c>
      <c r="E87" s="4">
        <f>IFERROR(_xlfn.XLOOKUP($B87,Raw_Data!$A$3:$A$273,Raw_Data!$D$3:$D$273),"")</f>
        <v>2014</v>
      </c>
      <c r="F87" s="4" t="str">
        <f>IFERROR(_xlfn.XLOOKUP($B87,Raw_Data!$A$3:$A$273,Raw_Data!$F$3:$F$273),"")</f>
        <v>Food &amp; Ag</v>
      </c>
      <c r="G87" s="35">
        <f>IFERROR(_xlfn.XLOOKUP($B87,Raw_Data!$A$3:$A$273,Raw_Data!$J$3:$J$273),"")</f>
        <v>43279</v>
      </c>
      <c r="H87" s="16" t="s">
        <v>1465</v>
      </c>
      <c r="I87" s="36">
        <f>IFERROR(_xlfn.XLOOKUP($B87,Raw_Data!$A$3:$A$273,Raw_Data!$I$3:$I$273),"")</f>
        <v>9.99</v>
      </c>
      <c r="J87" s="36">
        <f>IFERROR(_xlfn.XLOOKUP($B87,Raw_Data!$A$3:$A$273,Raw_Data!$L$3:$L$273),"")</f>
        <v>9.89</v>
      </c>
      <c r="K87" s="36">
        <f>IFERROR(_xlfn.XLOOKUP($B87,Raw_Data!$A$3:$A$273,Raw_Data!$M$3:$M$273),"")</f>
        <v>38.9</v>
      </c>
      <c r="L87" s="15">
        <f>IFERROR(_xlfn.XLOOKUP($B87,Raw_Data!$A$3:$A$273,Raw_Data!$Q$3:$Q$273),"")</f>
        <v>0</v>
      </c>
      <c r="M87" s="34" t="str">
        <f>IFERROR(_xlfn.XLOOKUP($B87,Raw_Data!$A$3:$A$273,Raw_Data!$R$3:$R$273),"")</f>
        <v>Bessemer Venture Partners; Lockheed Martin Ventures; Palapa Ventures; StartX</v>
      </c>
      <c r="N87" s="16" cm="1">
        <f t="array" ref="N87">IF(M87="",0,COUNTA(_xlfn._xlws.FILTER(_xlfn.TEXTSPLIT(M87,";"), _xlfn.TEXTSPLIT(M87,";")&lt;&gt;"")))</f>
        <v>4</v>
      </c>
      <c r="O87" s="16" t="str">
        <f t="shared" si="3"/>
        <v>Y</v>
      </c>
      <c r="P87" s="19">
        <f>IFERROR(_xlfn.XLOOKUP($B87,Raw_Data!$A$3:$A$273,Raw_Data!$V$3:$V$273),"")</f>
        <v>0.5</v>
      </c>
      <c r="Q87" s="16" t="str">
        <f t="shared" si="4"/>
        <v>Y</v>
      </c>
      <c r="R87" s="32">
        <f>IFERROR(_xlfn.XLOOKUP($B87,Raw_Data!$A$3:$A$273,Raw_Data!$Y$3:$Y$273),"")</f>
        <v>0.5</v>
      </c>
      <c r="S87" s="4" t="str" cm="1">
        <f t="array" ref="S87">_xlfn.LET(_xlpm.s, Raw_Data!W87,_xlpm.strat, _xlfn._xlws.FILTER(REF_Setup!$B$3:$B$40, REF_Setup!$B$3:$B$40&lt;&gt;""),IF(OR(_xlpm.s="",_xlpm.s=0),"Unclassified",IF(SUM(--ISNUMBER(SEARCH(_xlpm.strat, _xlpm.s)))&gt;0, "Y", "N"))
)</f>
        <v>N</v>
      </c>
      <c r="T87" s="4" t="str" cm="1">
        <f t="array" ref="T87">_xlfn.LET(_xlpm.s,M87,_xlpm.phil, _xlfn._xlws.FILTER(REF_Setup!$D$3:$D$5, REF_Setup!$D$3:$D$5&lt;&gt;""),IF(OR(_xlpm.s="", _xlpm.s=0),"Unclassified",IF(SUM(--ISNUMBER(SEARCH(_xlpm.phil, _xlpm.s)))&gt;0, "Y", "N")))</f>
        <v>N</v>
      </c>
      <c r="U87" s="4" t="str" cm="1">
        <f t="array" ref="U87">IF(M87="", "Unclassified", IF(AND(SUMPRODUCT(--ISNUMBER(SEARCH(REF_Setup!$B$3:$B$40,M87)))&gt;0,SUMPRODUCT(--ISNUMBER(SEARCH(REF_Setup!$F$3:$F$15,M87)))&gt;0),"Mixed",IF(SUMPRODUCT(--ISNUMBER(SEARCH(REF_Setup!$B$3:$B$40,M87)))&gt;0,"Strategic Only",IF(SUMPRODUCT(--ISNUMBER(SEARCH(REF_Setup!$F$3:$F$15,M87)))&gt;0,"VC Only","Unclassified"))))</f>
        <v>VC Only</v>
      </c>
    </row>
    <row r="88" spans="2:21" x14ac:dyDescent="0.35">
      <c r="B88" s="4">
        <f t="shared" si="5"/>
        <v>86</v>
      </c>
      <c r="C88" s="4" t="str">
        <f>IFERROR(_xlfn.XLOOKUP($B88,Raw_Data!$A$3:$A$273,Raw_Data!$B$3:$B$273),"")</f>
        <v>Form Energy</v>
      </c>
      <c r="D88" s="4" t="str">
        <f>IFERROR(_xlfn.XLOOKUP($B88,Raw_Data!$A$3:$A$273,Raw_Data!$C$3:$C$273),"")</f>
        <v>Weirton, V'W</v>
      </c>
      <c r="E88" s="4">
        <f>IFERROR(_xlfn.XLOOKUP($B88,Raw_Data!$A$3:$A$273,Raw_Data!$D$3:$D$273),"")</f>
        <v>2017</v>
      </c>
      <c r="F88" s="4" t="str">
        <f>IFERROR(_xlfn.XLOOKUP($B88,Raw_Data!$A$3:$A$273,Raw_Data!$F$3:$F$273),"")</f>
        <v>LDES</v>
      </c>
      <c r="G88" s="35">
        <f>IFERROR(_xlfn.XLOOKUP($B88,Raw_Data!$A$3:$A$273,Raw_Data!$J$3:$J$273),"")</f>
        <v>45642</v>
      </c>
      <c r="H88" s="16" t="s">
        <v>1469</v>
      </c>
      <c r="I88" s="36">
        <f>IFERROR(_xlfn.XLOOKUP($B88,Raw_Data!$A$3:$A$273,Raw_Data!$I$3:$I$273),"")</f>
        <v>1433</v>
      </c>
      <c r="J88" s="36">
        <f>IFERROR(_xlfn.XLOOKUP($B88,Raw_Data!$A$3:$A$273,Raw_Data!$L$3:$L$273),"")</f>
        <v>50</v>
      </c>
      <c r="K88" s="36">
        <f>IFERROR(_xlfn.XLOOKUP($B88,Raw_Data!$A$3:$A$273,Raw_Data!$M$3:$M$273),"")</f>
        <v>0</v>
      </c>
      <c r="L88" s="15">
        <f>IFERROR(_xlfn.XLOOKUP($B88,Raw_Data!$A$3:$A$273,Raw_Data!$Q$3:$Q$273),"")</f>
        <v>1</v>
      </c>
      <c r="M88" s="34"/>
      <c r="N88" s="16" cm="1">
        <f t="array" ref="N88">IF(M88="",0,COUNTA(_xlfn._xlws.FILTER(_xlfn.TEXTSPLIT(M88,";"), _xlfn.TEXTSPLIT(M88,";")&lt;&gt;"")))</f>
        <v>0</v>
      </c>
      <c r="O88" s="16" t="str">
        <f t="shared" si="3"/>
        <v>Y</v>
      </c>
      <c r="P88" s="19" t="str">
        <f>IFERROR(_xlfn.XLOOKUP($B88,Raw_Data!$A$3:$A$273,Raw_Data!$V$3:$V$273),"")</f>
        <v>N/A</v>
      </c>
      <c r="Q88" s="16" t="str">
        <f t="shared" si="4"/>
        <v>Y</v>
      </c>
      <c r="R88" s="32" t="str">
        <f>IFERROR(_xlfn.XLOOKUP($B88,Raw_Data!$A$3:$A$273,Raw_Data!$Y$3:$Y$273),"")</f>
        <v>N/A</v>
      </c>
      <c r="S88" s="4" t="str" cm="1">
        <f t="array" ref="S88">_xlfn.LET(_xlpm.s, Raw_Data!W88,_xlpm.strat, _xlfn._xlws.FILTER(REF_Setup!$B$3:$B$40, REF_Setup!$B$3:$B$40&lt;&gt;""),IF(OR(_xlpm.s="",_xlpm.s=0),"Unclassified",IF(SUM(--ISNUMBER(SEARCH(_xlpm.strat, _xlpm.s)))&gt;0, "Y", "N"))
)</f>
        <v>Unclassified</v>
      </c>
      <c r="T88" s="4" t="str" cm="1">
        <f t="array" ref="T88">_xlfn.LET(_xlpm.s,M88,_xlpm.phil, _xlfn._xlws.FILTER(REF_Setup!$D$3:$D$5, REF_Setup!$D$3:$D$5&lt;&gt;""),IF(OR(_xlpm.s="", _xlpm.s=0),"Unclassified",IF(SUM(--ISNUMBER(SEARCH(_xlpm.phil, _xlpm.s)))&gt;0, "Y", "N")))</f>
        <v>Unclassified</v>
      </c>
      <c r="U88" s="4" t="str" cm="1">
        <f t="array" ref="U88">IF(M88="", "Unclassified", IF(AND(SUMPRODUCT(--ISNUMBER(SEARCH(REF_Setup!$B$3:$B$40,M88)))&gt;0,SUMPRODUCT(--ISNUMBER(SEARCH(REF_Setup!$F$3:$F$15,M88)))&gt;0),"Mixed",IF(SUMPRODUCT(--ISNUMBER(SEARCH(REF_Setup!$B$3:$B$40,M88)))&gt;0,"Strategic Only",IF(SUMPRODUCT(--ISNUMBER(SEARCH(REF_Setup!$F$3:$F$15,M88)))&gt;0,"VC Only","Unclassified"))))</f>
        <v>Unclassified</v>
      </c>
    </row>
    <row r="89" spans="2:21" x14ac:dyDescent="0.35">
      <c r="B89" s="4">
        <f t="shared" si="5"/>
        <v>87</v>
      </c>
      <c r="C89" s="4" t="str">
        <f>IFERROR(_xlfn.XLOOKUP($B89,Raw_Data!$A$3:$A$273,Raw_Data!$B$3:$B$273),"")</f>
        <v>Frontier Carbon Solution</v>
      </c>
      <c r="D89" s="4" t="str">
        <f>IFERROR(_xlfn.XLOOKUP($B89,Raw_Data!$A$3:$A$273,Raw_Data!$C$3:$C$273),"")</f>
        <v>Dallas, TX</v>
      </c>
      <c r="E89" s="4">
        <f>IFERROR(_xlfn.XLOOKUP($B89,Raw_Data!$A$3:$A$273,Raw_Data!$D$3:$D$273),"")</f>
        <v>2021</v>
      </c>
      <c r="F89" s="4" t="str">
        <f>IFERROR(_xlfn.XLOOKUP($B89,Raw_Data!$A$3:$A$273,Raw_Data!$F$3:$F$273),"")</f>
        <v>CDR</v>
      </c>
      <c r="G89" s="35">
        <f>IFERROR(_xlfn.XLOOKUP($B89,Raw_Data!$A$3:$A$273,Raw_Data!$J$3:$J$273),"")</f>
        <v>44470</v>
      </c>
      <c r="H89" s="4" t="s">
        <v>75</v>
      </c>
      <c r="I89" s="36">
        <f>IFERROR(_xlfn.XLOOKUP($B89,Raw_Data!$A$3:$A$273,Raw_Data!$I$3:$I$273),"")</f>
        <v>0</v>
      </c>
      <c r="J89" s="36">
        <f>IFERROR(_xlfn.XLOOKUP($B89,Raw_Data!$A$3:$A$273,Raw_Data!$L$3:$L$273),"")</f>
        <v>0</v>
      </c>
      <c r="K89" s="36">
        <f>IFERROR(_xlfn.XLOOKUP($B89,Raw_Data!$A$3:$A$273,Raw_Data!$M$3:$M$273),"")</f>
        <v>0</v>
      </c>
      <c r="L89" s="15" t="str">
        <f>IFERROR(_xlfn.XLOOKUP($B89,Raw_Data!$A$3:$A$273,Raw_Data!$Q$3:$Q$273),"")</f>
        <v>N/A</v>
      </c>
      <c r="M89" s="34" t="str">
        <f>IFERROR(_xlfn.XLOOKUP($B89,Raw_Data!$A$3:$A$273,Raw_Data!$R$3:$R$273),"")</f>
        <v xml:space="preserve">Tailwater Capital (Edward Herring) </v>
      </c>
      <c r="N89" s="16" cm="1">
        <f t="array" ref="N89">IF(M89="",0,COUNTA(_xlfn._xlws.FILTER(_xlfn.TEXTSPLIT(M89,";"), _xlfn.TEXTSPLIT(M89,";")&lt;&gt;"")))</f>
        <v>1</v>
      </c>
      <c r="O89" s="16" t="str">
        <f t="shared" si="3"/>
        <v>N</v>
      </c>
      <c r="P89" s="19">
        <f>IFERROR(_xlfn.XLOOKUP($B89,Raw_Data!$A$3:$A$273,Raw_Data!$V$3:$V$273),"")</f>
        <v>0</v>
      </c>
      <c r="Q89" s="16" t="str">
        <f t="shared" si="4"/>
        <v>Y</v>
      </c>
      <c r="R89" s="32">
        <f>IFERROR(_xlfn.XLOOKUP($B89,Raw_Data!$A$3:$A$273,Raw_Data!$Y$3:$Y$273),"")</f>
        <v>1</v>
      </c>
      <c r="S89" s="4" t="str" cm="1">
        <f t="array" ref="S89">_xlfn.LET(_xlpm.s, Raw_Data!W89,_xlpm.strat, _xlfn._xlws.FILTER(REF_Setup!$B$3:$B$40, REF_Setup!$B$3:$B$40&lt;&gt;""),IF(OR(_xlpm.s="",_xlpm.s=0),"Unclassified",IF(SUM(--ISNUMBER(SEARCH(_xlpm.strat, _xlpm.s)))&gt;0, "Y", "N"))
)</f>
        <v>N</v>
      </c>
      <c r="T89" s="4" t="str" cm="1">
        <f t="array" ref="T89">_xlfn.LET(_xlpm.s,M89,_xlpm.phil, _xlfn._xlws.FILTER(REF_Setup!$D$3:$D$5, REF_Setup!$D$3:$D$5&lt;&gt;""),IF(OR(_xlpm.s="", _xlpm.s=0),"Unclassified",IF(SUM(--ISNUMBER(SEARCH(_xlpm.phil, _xlpm.s)))&gt;0, "Y", "N")))</f>
        <v>N</v>
      </c>
      <c r="U89" s="4" t="str" cm="1">
        <f t="array" ref="U89">IF(M89="", "Unclassified", IF(AND(SUMPRODUCT(--ISNUMBER(SEARCH(REF_Setup!$B$3:$B$40,M89)))&gt;0,SUMPRODUCT(--ISNUMBER(SEARCH(REF_Setup!$F$3:$F$15,M89)))&gt;0),"Mixed",IF(SUMPRODUCT(--ISNUMBER(SEARCH(REF_Setup!$B$3:$B$40,M89)))&gt;0,"Strategic Only",IF(SUMPRODUCT(--ISNUMBER(SEARCH(REF_Setup!$F$3:$F$15,M89)))&gt;0,"VC Only","Unclassified"))))</f>
        <v>VC Only</v>
      </c>
    </row>
    <row r="90" spans="2:21" x14ac:dyDescent="0.35">
      <c r="B90" s="4">
        <f t="shared" si="5"/>
        <v>88</v>
      </c>
      <c r="C90" s="4" t="str">
        <f>IFERROR(_xlfn.XLOOKUP($B90,Raw_Data!$A$3:$A$273,Raw_Data!$B$3:$B$273),"")</f>
        <v>Full cycle</v>
      </c>
      <c r="D90" s="4" t="str">
        <f>IFERROR(_xlfn.XLOOKUP($B90,Raw_Data!$A$3:$A$273,Raw_Data!$C$3:$C$273),"")</f>
        <v>San Jose, CA</v>
      </c>
      <c r="E90" s="4">
        <f>IFERROR(_xlfn.XLOOKUP($B90,Raw_Data!$A$3:$A$273,Raw_Data!$D$3:$D$273),"")</f>
        <v>2014</v>
      </c>
      <c r="F90" s="4" t="str">
        <f>IFERROR(_xlfn.XLOOKUP($B90,Raw_Data!$A$3:$A$273,Raw_Data!$F$3:$F$273),"")</f>
        <v>Food &amp; Ag</v>
      </c>
      <c r="G90" s="35">
        <f>IFERROR(_xlfn.XLOOKUP($B90,Raw_Data!$A$3:$A$273,Raw_Data!$J$3:$J$273),"")</f>
        <v>43040</v>
      </c>
      <c r="I90" s="36">
        <f>IFERROR(_xlfn.XLOOKUP($B90,Raw_Data!$A$3:$A$273,Raw_Data!$I$3:$I$273),"")</f>
        <v>2.0499999999999998</v>
      </c>
      <c r="J90" s="36">
        <f>IFERROR(_xlfn.XLOOKUP($B90,Raw_Data!$A$3:$A$273,Raw_Data!$L$3:$L$273),"")</f>
        <v>0</v>
      </c>
      <c r="K90" s="36">
        <f>IFERROR(_xlfn.XLOOKUP($B90,Raw_Data!$A$3:$A$273,Raw_Data!$M$3:$M$273),"")</f>
        <v>0</v>
      </c>
      <c r="L90" s="15" t="str">
        <f>IFERROR(_xlfn.XLOOKUP($B90,Raw_Data!$A$3:$A$273,Raw_Data!$Q$3:$Q$273),"")</f>
        <v>N/A</v>
      </c>
      <c r="M90" s="34" t="str">
        <f>IFERROR(_xlfn.XLOOKUP($B90,Raw_Data!$A$3:$A$273,Raw_Data!$R$3:$R$273),"")</f>
        <v xml:space="preserve">Giant Leap </v>
      </c>
      <c r="N90" s="16" cm="1">
        <f t="array" ref="N90">IF(M90="",0,COUNTA(_xlfn._xlws.FILTER(_xlfn.TEXTSPLIT(M90,";"), _xlfn.TEXTSPLIT(M90,";")&lt;&gt;"")))</f>
        <v>1</v>
      </c>
      <c r="O90" s="16" t="str">
        <f t="shared" si="3"/>
        <v>N</v>
      </c>
      <c r="P90" s="19">
        <f>IFERROR(_xlfn.XLOOKUP($B90,Raw_Data!$A$3:$A$273,Raw_Data!$V$3:$V$273),"")</f>
        <v>0</v>
      </c>
      <c r="Q90" s="16" t="str">
        <f t="shared" si="4"/>
        <v>Y</v>
      </c>
      <c r="R90" s="32">
        <f>IFERROR(_xlfn.XLOOKUP($B90,Raw_Data!$A$3:$A$273,Raw_Data!$Y$3:$Y$273),"")</f>
        <v>1</v>
      </c>
      <c r="S90" s="4" t="str" cm="1">
        <f t="array" ref="S90">_xlfn.LET(_xlpm.s, Raw_Data!W90,_xlpm.strat, _xlfn._xlws.FILTER(REF_Setup!$B$3:$B$40, REF_Setup!$B$3:$B$40&lt;&gt;""),IF(OR(_xlpm.s="",_xlpm.s=0),"Unclassified",IF(SUM(--ISNUMBER(SEARCH(_xlpm.strat, _xlpm.s)))&gt;0, "Y", "N"))
)</f>
        <v>N</v>
      </c>
      <c r="T90" s="4" t="str" cm="1">
        <f t="array" ref="T90">_xlfn.LET(_xlpm.s,M90,_xlpm.phil, _xlfn._xlws.FILTER(REF_Setup!$D$3:$D$5, REF_Setup!$D$3:$D$5&lt;&gt;""),IF(OR(_xlpm.s="", _xlpm.s=0),"Unclassified",IF(SUM(--ISNUMBER(SEARCH(_xlpm.phil, _xlpm.s)))&gt;0, "Y", "N")))</f>
        <v>N</v>
      </c>
      <c r="U90" s="4" t="str" cm="1">
        <f t="array" ref="U90">IF(M90="", "Unclassified", IF(AND(SUMPRODUCT(--ISNUMBER(SEARCH(REF_Setup!$B$3:$B$40,M90)))&gt;0,SUMPRODUCT(--ISNUMBER(SEARCH(REF_Setup!$F$3:$F$15,M90)))&gt;0),"Mixed",IF(SUMPRODUCT(--ISNUMBER(SEARCH(REF_Setup!$B$3:$B$40,M90)))&gt;0,"Strategic Only",IF(SUMPRODUCT(--ISNUMBER(SEARCH(REF_Setup!$F$3:$F$15,M90)))&gt;0,"VC Only","Unclassified"))))</f>
        <v>Unclassified</v>
      </c>
    </row>
    <row r="91" spans="2:21" x14ac:dyDescent="0.35">
      <c r="B91" s="4">
        <f t="shared" si="5"/>
        <v>89</v>
      </c>
      <c r="C91" s="4" t="str">
        <f>IFERROR(_xlfn.XLOOKUP($B91,Raw_Data!$A$3:$A$273,Raw_Data!$B$3:$B$273),"")</f>
        <v>Greenway Energy (Aiken)</v>
      </c>
      <c r="D91" s="4" t="str">
        <f>IFERROR(_xlfn.XLOOKUP($B91,Raw_Data!$A$3:$A$273,Raw_Data!$C$3:$C$273),"")</f>
        <v>Aiken, SC</v>
      </c>
      <c r="E91" s="4">
        <f>IFERROR(_xlfn.XLOOKUP($B91,Raw_Data!$A$3:$A$273,Raw_Data!$D$3:$D$273),"")</f>
        <v>2006</v>
      </c>
      <c r="F91" s="4" t="str">
        <f>IFERROR(_xlfn.XLOOKUP($B91,Raw_Data!$A$3:$A$273,Raw_Data!$F$3:$F$273),"")</f>
        <v>Hydrogen</v>
      </c>
      <c r="G91" s="35">
        <f>IFERROR(_xlfn.XLOOKUP($B91,Raw_Data!$A$3:$A$273,Raw_Data!$J$3:$J$273),"")</f>
        <v>43465</v>
      </c>
      <c r="H91" s="4" t="s">
        <v>75</v>
      </c>
      <c r="I91" s="36">
        <f>IFERROR(_xlfn.XLOOKUP($B91,Raw_Data!$A$3:$A$273,Raw_Data!$I$3:$I$273),"")</f>
        <v>0</v>
      </c>
      <c r="J91" s="36">
        <f>IFERROR(_xlfn.XLOOKUP($B91,Raw_Data!$A$3:$A$273,Raw_Data!$L$3:$L$273),"")</f>
        <v>0</v>
      </c>
      <c r="K91" s="36">
        <f>IFERROR(_xlfn.XLOOKUP($B91,Raw_Data!$A$3:$A$273,Raw_Data!$M$3:$M$273),"")</f>
        <v>0</v>
      </c>
      <c r="L91" s="15" t="str">
        <f>IFERROR(_xlfn.XLOOKUP($B91,Raw_Data!$A$3:$A$273,Raw_Data!$Q$3:$Q$273),"")</f>
        <v>N/A</v>
      </c>
      <c r="M91" s="34" t="str">
        <f>IFERROR(_xlfn.XLOOKUP($B91,Raw_Data!$A$3:$A$273,Raw_Data!$R$3:$R$273),"")</f>
        <v>TPG</v>
      </c>
      <c r="N91" s="16" cm="1">
        <f t="array" ref="N91">IF(M91="",0,COUNTA(_xlfn._xlws.FILTER(_xlfn.TEXTSPLIT(M91,";"), _xlfn.TEXTSPLIT(M91,";")&lt;&gt;"")))</f>
        <v>1</v>
      </c>
      <c r="O91" s="16" t="str">
        <f t="shared" si="3"/>
        <v>N</v>
      </c>
      <c r="P91" s="19">
        <f>IFERROR(_xlfn.XLOOKUP($B91,Raw_Data!$A$3:$A$273,Raw_Data!$V$3:$V$273),"")</f>
        <v>0</v>
      </c>
      <c r="Q91" s="16" t="str">
        <f t="shared" si="4"/>
        <v>Y</v>
      </c>
      <c r="R91" s="32">
        <f>IFERROR(_xlfn.XLOOKUP($B91,Raw_Data!$A$3:$A$273,Raw_Data!$Y$3:$Y$273),"")</f>
        <v>1</v>
      </c>
      <c r="S91" s="4" t="str" cm="1">
        <f t="array" ref="S91">_xlfn.LET(_xlpm.s, Raw_Data!W91,_xlpm.strat, _xlfn._xlws.FILTER(REF_Setup!$B$3:$B$40, REF_Setup!$B$3:$B$40&lt;&gt;""),IF(OR(_xlpm.s="",_xlpm.s=0),"Unclassified",IF(SUM(--ISNUMBER(SEARCH(_xlpm.strat, _xlpm.s)))&gt;0, "Y", "N"))
)</f>
        <v>N</v>
      </c>
      <c r="T91" s="4" t="str" cm="1">
        <f t="array" ref="T91">_xlfn.LET(_xlpm.s,M91,_xlpm.phil, _xlfn._xlws.FILTER(REF_Setup!$D$3:$D$5, REF_Setup!$D$3:$D$5&lt;&gt;""),IF(OR(_xlpm.s="", _xlpm.s=0),"Unclassified",IF(SUM(--ISNUMBER(SEARCH(_xlpm.phil, _xlpm.s)))&gt;0, "Y", "N")))</f>
        <v>N</v>
      </c>
      <c r="U91" s="4" t="str" cm="1">
        <f t="array" ref="U91">IF(M91="", "Unclassified", IF(AND(SUMPRODUCT(--ISNUMBER(SEARCH(REF_Setup!$B$3:$B$40,M91)))&gt;0,SUMPRODUCT(--ISNUMBER(SEARCH(REF_Setup!$F$3:$F$15,M91)))&gt;0),"Mixed",IF(SUMPRODUCT(--ISNUMBER(SEARCH(REF_Setup!$B$3:$B$40,M91)))&gt;0,"Strategic Only",IF(SUMPRODUCT(--ISNUMBER(SEARCH(REF_Setup!$F$3:$F$15,M91)))&gt;0,"VC Only","Unclassified"))))</f>
        <v>VC Only</v>
      </c>
    </row>
    <row r="92" spans="2:21" ht="29" x14ac:dyDescent="0.35">
      <c r="B92" s="4">
        <f t="shared" si="5"/>
        <v>90</v>
      </c>
      <c r="C92" s="4" t="str">
        <f>IFERROR(_xlfn.XLOOKUP($B92,Raw_Data!$A$3:$A$273,Raw_Data!$B$3:$B$273),"")</f>
        <v>GruEnergy</v>
      </c>
      <c r="D92" s="4" t="str">
        <f>IFERROR(_xlfn.XLOOKUP($B92,Raw_Data!$A$3:$A$273,Raw_Data!$C$3:$C$273),"")</f>
        <v>San Jose, CA</v>
      </c>
      <c r="E92" s="4">
        <f>IFERROR(_xlfn.XLOOKUP($B92,Raw_Data!$A$3:$A$273,Raw_Data!$D$3:$D$273),"")</f>
        <v>2017</v>
      </c>
      <c r="F92" s="4" t="str">
        <f>IFERROR(_xlfn.XLOOKUP($B92,Raw_Data!$A$3:$A$273,Raw_Data!$F$3:$F$273),"")</f>
        <v>Industrial Decarbonization</v>
      </c>
      <c r="G92" s="35">
        <f>IFERROR(_xlfn.XLOOKUP($B92,Raw_Data!$A$3:$A$273,Raw_Data!$J$3:$J$273),"")</f>
        <v>45015</v>
      </c>
      <c r="H92" s="16" t="s">
        <v>1465</v>
      </c>
      <c r="I92" s="36">
        <f>IFERROR(_xlfn.XLOOKUP($B92,Raw_Data!$A$3:$A$273,Raw_Data!$I$3:$I$273),"")</f>
        <v>19.95</v>
      </c>
      <c r="J92" s="36">
        <f>IFERROR(_xlfn.XLOOKUP($B92,Raw_Data!$A$3:$A$273,Raw_Data!$L$3:$L$273),"")</f>
        <v>9</v>
      </c>
      <c r="K92" s="36">
        <f>IFERROR(_xlfn.XLOOKUP($B92,Raw_Data!$A$3:$A$273,Raw_Data!$M$3:$M$273),"")</f>
        <v>120</v>
      </c>
      <c r="L92" s="15">
        <f>IFERROR(_xlfn.XLOOKUP($B92,Raw_Data!$A$3:$A$273,Raw_Data!$Q$3:$Q$273),"")</f>
        <v>0</v>
      </c>
      <c r="M92" s="34" t="str">
        <f>IFERROR(_xlfn.XLOOKUP($B92,Raw_Data!$A$3:$A$273,Raw_Data!$R$3:$R$273),"")</f>
        <v xml:space="preserve">5Y Capital; AimTop Ventures; Baidu Ventures; Foothill Ventures; Heda Ventures; Rockets Capital; Yiyuan Capital; Yu Galaxy </v>
      </c>
      <c r="N92" s="16" cm="1">
        <f t="array" ref="N92">IF(M92="",0,COUNTA(_xlfn._xlws.FILTER(_xlfn.TEXTSPLIT(M92,";"), _xlfn.TEXTSPLIT(M92,";")&lt;&gt;"")))</f>
        <v>8</v>
      </c>
      <c r="O92" s="16" t="str">
        <f t="shared" si="3"/>
        <v>N</v>
      </c>
      <c r="P92" s="19">
        <f>IFERROR(_xlfn.XLOOKUP($B92,Raw_Data!$A$3:$A$273,Raw_Data!$V$3:$V$273),"")</f>
        <v>0</v>
      </c>
      <c r="Q92" s="16" t="str">
        <f t="shared" si="4"/>
        <v>Y</v>
      </c>
      <c r="R92" s="32">
        <f>IFERROR(_xlfn.XLOOKUP($B92,Raw_Data!$A$3:$A$273,Raw_Data!$Y$3:$Y$273),"")</f>
        <v>1</v>
      </c>
      <c r="S92" s="4" t="str" cm="1">
        <f t="array" ref="S92">_xlfn.LET(_xlpm.s, Raw_Data!W92,_xlpm.strat, _xlfn._xlws.FILTER(REF_Setup!$B$3:$B$40, REF_Setup!$B$3:$B$40&lt;&gt;""),IF(OR(_xlpm.s="",_xlpm.s=0),"Unclassified",IF(SUM(--ISNUMBER(SEARCH(_xlpm.strat, _xlpm.s)))&gt;0, "Y", "N"))
)</f>
        <v>Y</v>
      </c>
      <c r="T92" s="4" t="str" cm="1">
        <f t="array" ref="T92">_xlfn.LET(_xlpm.s,M92,_xlpm.phil, _xlfn._xlws.FILTER(REF_Setup!$D$3:$D$5, REF_Setup!$D$3:$D$5&lt;&gt;""),IF(OR(_xlpm.s="", _xlpm.s=0),"Unclassified",IF(SUM(--ISNUMBER(SEARCH(_xlpm.phil, _xlpm.s)))&gt;0, "Y", "N")))</f>
        <v>N</v>
      </c>
      <c r="U92" s="4" t="str" cm="1">
        <f t="array" ref="U92">IF(M92="", "Unclassified", IF(AND(SUMPRODUCT(--ISNUMBER(SEARCH(REF_Setup!$B$3:$B$40,M92)))&gt;0,SUMPRODUCT(--ISNUMBER(SEARCH(REF_Setup!$F$3:$F$15,M92)))&gt;0),"Mixed",IF(SUMPRODUCT(--ISNUMBER(SEARCH(REF_Setup!$B$3:$B$40,M92)))&gt;0,"Strategic Only",IF(SUMPRODUCT(--ISNUMBER(SEARCH(REF_Setup!$F$3:$F$15,M92)))&gt;0,"VC Only","Unclassified"))))</f>
        <v>Mixed</v>
      </c>
    </row>
    <row r="93" spans="2:21" x14ac:dyDescent="0.35">
      <c r="B93" s="4">
        <f t="shared" si="5"/>
        <v>91</v>
      </c>
      <c r="C93" s="4" t="str">
        <f>IFERROR(_xlfn.XLOOKUP($B93,Raw_Data!$A$3:$A$273,Raw_Data!$B$3:$B$273),"")</f>
        <v>H2MOF</v>
      </c>
      <c r="D93" s="4" t="str">
        <f>IFERROR(_xlfn.XLOOKUP($B93,Raw_Data!$A$3:$A$273,Raw_Data!$C$3:$C$273),"")</f>
        <v>Irvine, CA</v>
      </c>
      <c r="E93" s="4">
        <f>IFERROR(_xlfn.XLOOKUP($B93,Raw_Data!$A$3:$A$273,Raw_Data!$D$3:$D$273),"")</f>
        <v>2022</v>
      </c>
      <c r="F93" s="4" t="str">
        <f>IFERROR(_xlfn.XLOOKUP($B93,Raw_Data!$A$3:$A$273,Raw_Data!$F$3:$F$273),"")</f>
        <v>Hydrogen</v>
      </c>
      <c r="G93" s="35">
        <f>IFERROR(_xlfn.XLOOKUP($B93,Raw_Data!$A$3:$A$273,Raw_Data!$J$3:$J$273),"")</f>
        <v>45170</v>
      </c>
      <c r="H93" s="4" t="s">
        <v>75</v>
      </c>
      <c r="I93" s="36">
        <f>IFERROR(_xlfn.XLOOKUP($B93,Raw_Data!$A$3:$A$273,Raw_Data!$I$3:$I$273),"")</f>
        <v>0</v>
      </c>
      <c r="J93" s="36">
        <f>IFERROR(_xlfn.XLOOKUP($B93,Raw_Data!$A$3:$A$273,Raw_Data!$L$3:$L$273),"")</f>
        <v>0</v>
      </c>
      <c r="K93" s="36">
        <f>IFERROR(_xlfn.XLOOKUP($B93,Raw_Data!$A$3:$A$273,Raw_Data!$M$3:$M$273),"")</f>
        <v>0</v>
      </c>
      <c r="L93" s="15" t="str">
        <f>IFERROR(_xlfn.XLOOKUP($B93,Raw_Data!$A$3:$A$273,Raw_Data!$Q$3:$Q$273),"")</f>
        <v>N/A</v>
      </c>
      <c r="M93" s="34" t="str">
        <f>IFERROR(_xlfn.XLOOKUP($B93,Raw_Data!$A$3:$A$273,Raw_Data!$R$3:$R$273),"")</f>
        <v xml:space="preserve">Revonence Technologies </v>
      </c>
      <c r="N93" s="16" cm="1">
        <f t="array" ref="N93">IF(M93="",0,COUNTA(_xlfn._xlws.FILTER(_xlfn.TEXTSPLIT(M93,";"), _xlfn.TEXTSPLIT(M93,";")&lt;&gt;"")))</f>
        <v>1</v>
      </c>
      <c r="O93" s="16" t="str">
        <f t="shared" si="3"/>
        <v>N</v>
      </c>
      <c r="P93" s="19">
        <f>IFERROR(_xlfn.XLOOKUP($B93,Raw_Data!$A$3:$A$273,Raw_Data!$V$3:$V$273),"")</f>
        <v>0</v>
      </c>
      <c r="Q93" s="16" t="str">
        <f t="shared" si="4"/>
        <v>Y</v>
      </c>
      <c r="R93" s="32">
        <f>IFERROR(_xlfn.XLOOKUP($B93,Raw_Data!$A$3:$A$273,Raw_Data!$Y$3:$Y$273),"")</f>
        <v>1</v>
      </c>
      <c r="S93" s="4" t="str" cm="1">
        <f t="array" ref="S93">_xlfn.LET(_xlpm.s, Raw_Data!W93,_xlpm.strat, _xlfn._xlws.FILTER(REF_Setup!$B$3:$B$40, REF_Setup!$B$3:$B$40&lt;&gt;""),IF(OR(_xlpm.s="",_xlpm.s=0),"Unclassified",IF(SUM(--ISNUMBER(SEARCH(_xlpm.strat, _xlpm.s)))&gt;0, "Y", "N"))
)</f>
        <v>N</v>
      </c>
      <c r="T93" s="4" t="str" cm="1">
        <f t="array" ref="T93">_xlfn.LET(_xlpm.s,M93,_xlpm.phil, _xlfn._xlws.FILTER(REF_Setup!$D$3:$D$5, REF_Setup!$D$3:$D$5&lt;&gt;""),IF(OR(_xlpm.s="", _xlpm.s=0),"Unclassified",IF(SUM(--ISNUMBER(SEARCH(_xlpm.phil, _xlpm.s)))&gt;0, "Y", "N")))</f>
        <v>N</v>
      </c>
      <c r="U93" s="4" t="str" cm="1">
        <f t="array" ref="U93">IF(M93="", "Unclassified", IF(AND(SUMPRODUCT(--ISNUMBER(SEARCH(REF_Setup!$B$3:$B$40,M93)))&gt;0,SUMPRODUCT(--ISNUMBER(SEARCH(REF_Setup!$F$3:$F$15,M93)))&gt;0),"Mixed",IF(SUMPRODUCT(--ISNUMBER(SEARCH(REF_Setup!$B$3:$B$40,M93)))&gt;0,"Strategic Only",IF(SUMPRODUCT(--ISNUMBER(SEARCH(REF_Setup!$F$3:$F$15,M93)))&gt;0,"VC Only","Unclassified"))))</f>
        <v>Unclassified</v>
      </c>
    </row>
    <row r="94" spans="2:21" x14ac:dyDescent="0.35">
      <c r="B94" s="4">
        <f t="shared" si="5"/>
        <v>92</v>
      </c>
      <c r="C94" s="4" t="str">
        <f>IFERROR(_xlfn.XLOOKUP($B94,Raw_Data!$A$3:$A$273,Raw_Data!$B$3:$B$273),"")</f>
        <v>Heat Recovery Innovations</v>
      </c>
      <c r="D94" s="4" t="str">
        <f>IFERROR(_xlfn.XLOOKUP($B94,Raw_Data!$A$3:$A$273,Raw_Data!$C$3:$C$273),"")</f>
        <v>Portsmouth, NH</v>
      </c>
      <c r="E94" s="4">
        <f>IFERROR(_xlfn.XLOOKUP($B94,Raw_Data!$A$3:$A$273,Raw_Data!$D$3:$D$273),"")</f>
        <v>2022</v>
      </c>
      <c r="F94" s="4" t="str">
        <f>IFERROR(_xlfn.XLOOKUP($B94,Raw_Data!$A$3:$A$273,Raw_Data!$F$3:$F$273),"")</f>
        <v>Industrial Decarbonization</v>
      </c>
      <c r="G94" s="35">
        <f>IFERROR(_xlfn.XLOOKUP($B94,Raw_Data!$A$3:$A$273,Raw_Data!$J$3:$J$273),"")</f>
        <v>45106</v>
      </c>
      <c r="H94" s="4" t="s">
        <v>75</v>
      </c>
      <c r="I94" s="36">
        <f>IFERROR(_xlfn.XLOOKUP($B94,Raw_Data!$A$3:$A$273,Raw_Data!$I$3:$I$273),"")</f>
        <v>0</v>
      </c>
      <c r="J94" s="36">
        <f>IFERROR(_xlfn.XLOOKUP($B94,Raw_Data!$A$3:$A$273,Raw_Data!$L$3:$L$273),"")</f>
        <v>0</v>
      </c>
      <c r="K94" s="36">
        <f>IFERROR(_xlfn.XLOOKUP($B94,Raw_Data!$A$3:$A$273,Raw_Data!$M$3:$M$273),"")</f>
        <v>0</v>
      </c>
      <c r="L94" s="15" t="str">
        <f>IFERROR(_xlfn.XLOOKUP($B94,Raw_Data!$A$3:$A$273,Raw_Data!$Q$3:$Q$273),"")</f>
        <v>N/A</v>
      </c>
      <c r="M94" s="34" t="str">
        <f>IFERROR(_xlfn.XLOOKUP($B94,Raw_Data!$A$3:$A$273,Raw_Data!$R$3:$R$273),"")</f>
        <v xml:space="preserve">Archaea Energy; Coppermine Capital; Saltonstall &amp; Co. </v>
      </c>
      <c r="N94" s="16" cm="1">
        <f t="array" ref="N94">IF(M94="",0,COUNTA(_xlfn._xlws.FILTER(_xlfn.TEXTSPLIT(M94,";"), _xlfn.TEXTSPLIT(M94,";")&lt;&gt;"")))</f>
        <v>3</v>
      </c>
      <c r="O94" s="16" t="str">
        <f t="shared" si="3"/>
        <v>N</v>
      </c>
      <c r="P94" s="19">
        <f>IFERROR(_xlfn.XLOOKUP($B94,Raw_Data!$A$3:$A$273,Raw_Data!$V$3:$V$273),"")</f>
        <v>0</v>
      </c>
      <c r="Q94" s="16" t="str">
        <f t="shared" si="4"/>
        <v>Y</v>
      </c>
      <c r="R94" s="32">
        <f>IFERROR(_xlfn.XLOOKUP($B94,Raw_Data!$A$3:$A$273,Raw_Data!$Y$3:$Y$273),"")</f>
        <v>1</v>
      </c>
      <c r="S94" s="4" t="str" cm="1">
        <f t="array" ref="S94">_xlfn.LET(_xlpm.s, Raw_Data!W94,_xlpm.strat, _xlfn._xlws.FILTER(REF_Setup!$B$3:$B$40, REF_Setup!$B$3:$B$40&lt;&gt;""),IF(OR(_xlpm.s="",_xlpm.s=0),"Unclassified",IF(SUM(--ISNUMBER(SEARCH(_xlpm.strat, _xlpm.s)))&gt;0, "Y", "N"))
)</f>
        <v>N</v>
      </c>
      <c r="T94" s="4" t="str" cm="1">
        <f t="array" ref="T94">_xlfn.LET(_xlpm.s,M94,_xlpm.phil, _xlfn._xlws.FILTER(REF_Setup!$D$3:$D$5, REF_Setup!$D$3:$D$5&lt;&gt;""),IF(OR(_xlpm.s="", _xlpm.s=0),"Unclassified",IF(SUM(--ISNUMBER(SEARCH(_xlpm.phil, _xlpm.s)))&gt;0, "Y", "N")))</f>
        <v>N</v>
      </c>
      <c r="U94" s="4" t="str" cm="1">
        <f t="array" ref="U94">IF(M94="", "Unclassified", IF(AND(SUMPRODUCT(--ISNUMBER(SEARCH(REF_Setup!$B$3:$B$40,M94)))&gt;0,SUMPRODUCT(--ISNUMBER(SEARCH(REF_Setup!$F$3:$F$15,M94)))&gt;0),"Mixed",IF(SUMPRODUCT(--ISNUMBER(SEARCH(REF_Setup!$B$3:$B$40,M94)))&gt;0,"Strategic Only",IF(SUMPRODUCT(--ISNUMBER(SEARCH(REF_Setup!$F$3:$F$15,M94)))&gt;0,"VC Only","Unclassified"))))</f>
        <v>VC Only</v>
      </c>
    </row>
    <row r="95" spans="2:21" ht="87" x14ac:dyDescent="0.35">
      <c r="B95" s="4">
        <f t="shared" si="5"/>
        <v>93</v>
      </c>
      <c r="C95" s="4" t="str">
        <f>IFERROR(_xlfn.XLOOKUP($B95,Raw_Data!$A$3:$A$273,Raw_Data!$B$3:$B$273),"")</f>
        <v>Heirloom</v>
      </c>
      <c r="D95" s="4" t="str">
        <f>IFERROR(_xlfn.XLOOKUP($B95,Raw_Data!$A$3:$A$273,Raw_Data!$C$3:$C$273),"")</f>
        <v>Brisbane, CA</v>
      </c>
      <c r="E95" s="4">
        <f>IFERROR(_xlfn.XLOOKUP($B95,Raw_Data!$A$3:$A$273,Raw_Data!$D$3:$D$273),"")</f>
        <v>2020</v>
      </c>
      <c r="F95" s="4" t="str">
        <f>IFERROR(_xlfn.XLOOKUP($B95,Raw_Data!$A$3:$A$273,Raw_Data!$F$3:$F$273),"")</f>
        <v>CDR</v>
      </c>
      <c r="G95" s="35">
        <f>IFERROR(_xlfn.XLOOKUP($B95,Raw_Data!$A$3:$A$273,Raw_Data!$J$3:$J$273),"")</f>
        <v>45630</v>
      </c>
      <c r="H95" s="16" t="s">
        <v>1467</v>
      </c>
      <c r="I95" s="36">
        <f>IFERROR(_xlfn.XLOOKUP($B95,Raw_Data!$A$3:$A$273,Raw_Data!$I$3:$I$273),"")</f>
        <v>207.6</v>
      </c>
      <c r="J95" s="36">
        <f>IFERROR(_xlfn.XLOOKUP($B95,Raw_Data!$A$3:$A$273,Raw_Data!$L$3:$L$273),"")</f>
        <v>150</v>
      </c>
      <c r="K95" s="36">
        <f>IFERROR(_xlfn.XLOOKUP($B95,Raw_Data!$A$3:$A$273,Raw_Data!$M$3:$M$273),"")</f>
        <v>650</v>
      </c>
      <c r="L95" s="15">
        <f>IFERROR(_xlfn.XLOOKUP($B95,Raw_Data!$A$3:$A$273,Raw_Data!$Q$3:$Q$273),"")</f>
        <v>0</v>
      </c>
      <c r="M95" s="34" t="str">
        <f>IFERROR(_xlfn.XLOOKUP($B95,Raw_Data!$A$3:$A$273,Raw_Data!$R$3:$R$273),"")</f>
        <v xml:space="preserve">Lowercarbon Capital; Future Positive Capital; Japan Airlines Company; Mitsubishi Corporation; Mitsui &amp; Company; MOL Switch; United Airlines Ventures; H&amp;M Group Ventures; Pledge Ventures; Chiyoda; Development Bank of Japan; Carbon Direct Capital Management; MCJ; Ahren Innovation Capital; Carbon Removal Partners; Floating Point; Quantum Innovation Fund; The Grantham Foundation; Breakthrough Energy; Siemens Financial Services </v>
      </c>
      <c r="N95" s="16" cm="1">
        <f t="array" ref="N95">IF(M95="",0,COUNTA(_xlfn._xlws.FILTER(_xlfn.TEXTSPLIT(M95,";"), _xlfn.TEXTSPLIT(M95,";")&lt;&gt;"")))</f>
        <v>20</v>
      </c>
      <c r="O95" s="16" t="str">
        <f t="shared" si="3"/>
        <v>Y</v>
      </c>
      <c r="P95" s="19">
        <f>IFERROR(_xlfn.XLOOKUP($B95,Raw_Data!$A$3:$A$273,Raw_Data!$V$3:$V$273),"")</f>
        <v>0.35</v>
      </c>
      <c r="Q95" s="16" t="str">
        <f t="shared" si="4"/>
        <v>Y</v>
      </c>
      <c r="R95" s="32">
        <f>IFERROR(_xlfn.XLOOKUP($B95,Raw_Data!$A$3:$A$273,Raw_Data!$Y$3:$Y$273),"")</f>
        <v>0.75</v>
      </c>
      <c r="S95" s="4" t="str" cm="1">
        <f t="array" ref="S95">_xlfn.LET(_xlpm.s, Raw_Data!W95,_xlpm.strat, _xlfn._xlws.FILTER(REF_Setup!$B$3:$B$40, REF_Setup!$B$3:$B$40&lt;&gt;""),IF(OR(_xlpm.s="",_xlpm.s=0),"Unclassified",IF(SUM(--ISNUMBER(SEARCH(_xlpm.strat, _xlpm.s)))&gt;0, "Y", "N"))
)</f>
        <v>Y</v>
      </c>
      <c r="T95" s="4" t="str" cm="1">
        <f t="array" ref="T95">_xlfn.LET(_xlpm.s,M95,_xlpm.phil, _xlfn._xlws.FILTER(REF_Setup!$D$3:$D$5, REF_Setup!$D$3:$D$5&lt;&gt;""),IF(OR(_xlpm.s="", _xlpm.s=0),"Unclassified",IF(SUM(--ISNUMBER(SEARCH(_xlpm.phil, _xlpm.s)))&gt;0, "Y", "N")))</f>
        <v>Y</v>
      </c>
      <c r="U95" s="4" t="str" cm="1">
        <f t="array" ref="U95">IF(M95="", "Unclassified", IF(AND(SUMPRODUCT(--ISNUMBER(SEARCH(REF_Setup!$B$3:$B$40,M95)))&gt;0,SUMPRODUCT(--ISNUMBER(SEARCH(REF_Setup!$F$3:$F$15,M95)))&gt;0),"Mixed",IF(SUMPRODUCT(--ISNUMBER(SEARCH(REF_Setup!$B$3:$B$40,M95)))&gt;0,"Strategic Only",IF(SUMPRODUCT(--ISNUMBER(SEARCH(REF_Setup!$F$3:$F$15,M95)))&gt;0,"VC Only","Unclassified"))))</f>
        <v>Mixed</v>
      </c>
    </row>
    <row r="96" spans="2:21" x14ac:dyDescent="0.35">
      <c r="B96" s="4">
        <f t="shared" si="5"/>
        <v>94</v>
      </c>
      <c r="C96" s="4" t="str">
        <f>IFERROR(_xlfn.XLOOKUP($B96,Raw_Data!$A$3:$A$273,Raw_Data!$B$3:$B$273),"")</f>
        <v>Hover Energy</v>
      </c>
      <c r="D96" s="4" t="str">
        <f>IFERROR(_xlfn.XLOOKUP($B96,Raw_Data!$A$3:$A$273,Raw_Data!$C$3:$C$273),"")</f>
        <v>Dallas, TX</v>
      </c>
      <c r="E96" s="4">
        <f>IFERROR(_xlfn.XLOOKUP($B96,Raw_Data!$A$3:$A$273,Raw_Data!$D$3:$D$273),"")</f>
        <v>2012</v>
      </c>
      <c r="F96" s="4" t="str">
        <f>IFERROR(_xlfn.XLOOKUP($B96,Raw_Data!$A$3:$A$273,Raw_Data!$F$3:$F$273),"")</f>
        <v>Renewables</v>
      </c>
      <c r="G96" s="35">
        <f>IFERROR(_xlfn.XLOOKUP($B96,Raw_Data!$A$3:$A$273,Raw_Data!$J$3:$J$273),"")</f>
        <v>44270</v>
      </c>
      <c r="H96" s="16" t="s">
        <v>1465</v>
      </c>
      <c r="I96" s="36">
        <f>IFERROR(_xlfn.XLOOKUP($B96,Raw_Data!$A$3:$A$273,Raw_Data!$I$3:$I$273),"")</f>
        <v>4.8099999999999996</v>
      </c>
      <c r="J96" s="36">
        <f>IFERROR(_xlfn.XLOOKUP($B96,Raw_Data!$A$3:$A$273,Raw_Data!$L$3:$L$273),"")</f>
        <v>4.0999999999999996</v>
      </c>
      <c r="K96" s="36">
        <f>IFERROR(_xlfn.XLOOKUP($B96,Raw_Data!$A$3:$A$273,Raw_Data!$M$3:$M$273),"")</f>
        <v>0</v>
      </c>
      <c r="L96" s="15">
        <f>IFERROR(_xlfn.XLOOKUP($B96,Raw_Data!$A$3:$A$273,Raw_Data!$Q$3:$Q$273),"")</f>
        <v>0</v>
      </c>
      <c r="M96" s="34"/>
      <c r="N96" s="16" cm="1">
        <f t="array" ref="N96">IF(M96="",0,COUNTA(_xlfn._xlws.FILTER(_xlfn.TEXTSPLIT(M96,";"), _xlfn.TEXTSPLIT(M96,";")&lt;&gt;"")))</f>
        <v>0</v>
      </c>
      <c r="O96" s="16" t="str">
        <f t="shared" si="3"/>
        <v>Y</v>
      </c>
      <c r="P96" s="19" t="str">
        <f>IFERROR(_xlfn.XLOOKUP($B96,Raw_Data!$A$3:$A$273,Raw_Data!$V$3:$V$273),"")</f>
        <v>N/A</v>
      </c>
      <c r="Q96" s="16" t="str">
        <f t="shared" si="4"/>
        <v>Y</v>
      </c>
      <c r="R96" s="32" t="str">
        <f>IFERROR(_xlfn.XLOOKUP($B96,Raw_Data!$A$3:$A$273,Raw_Data!$Y$3:$Y$273),"")</f>
        <v>N/A</v>
      </c>
      <c r="S96" s="4" t="str" cm="1">
        <f t="array" ref="S96">_xlfn.LET(_xlpm.s, Raw_Data!W96,_xlpm.strat, _xlfn._xlws.FILTER(REF_Setup!$B$3:$B$40, REF_Setup!$B$3:$B$40&lt;&gt;""),IF(OR(_xlpm.s="",_xlpm.s=0),"Unclassified",IF(SUM(--ISNUMBER(SEARCH(_xlpm.strat, _xlpm.s)))&gt;0, "Y", "N"))
)</f>
        <v>Unclassified</v>
      </c>
      <c r="T96" s="4" t="str" cm="1">
        <f t="array" ref="T96">_xlfn.LET(_xlpm.s,M96,_xlpm.phil, _xlfn._xlws.FILTER(REF_Setup!$D$3:$D$5, REF_Setup!$D$3:$D$5&lt;&gt;""),IF(OR(_xlpm.s="", _xlpm.s=0),"Unclassified",IF(SUM(--ISNUMBER(SEARCH(_xlpm.phil, _xlpm.s)))&gt;0, "Y", "N")))</f>
        <v>Unclassified</v>
      </c>
      <c r="U96" s="4" t="str" cm="1">
        <f t="array" ref="U96">IF(M96="", "Unclassified", IF(AND(SUMPRODUCT(--ISNUMBER(SEARCH(REF_Setup!$B$3:$B$40,M96)))&gt;0,SUMPRODUCT(--ISNUMBER(SEARCH(REF_Setup!$F$3:$F$15,M96)))&gt;0),"Mixed",IF(SUMPRODUCT(--ISNUMBER(SEARCH(REF_Setup!$B$3:$B$40,M96)))&gt;0,"Strategic Only",IF(SUMPRODUCT(--ISNUMBER(SEARCH(REF_Setup!$F$3:$F$15,M96)))&gt;0,"VC Only","Unclassified"))))</f>
        <v>Unclassified</v>
      </c>
    </row>
    <row r="97" spans="2:21" x14ac:dyDescent="0.35">
      <c r="B97" s="4">
        <f t="shared" si="5"/>
        <v>95</v>
      </c>
      <c r="C97" s="4" t="str">
        <f>IFERROR(_xlfn.XLOOKUP($B97,Raw_Data!$A$3:$A$273,Raw_Data!$B$3:$B$273),"")</f>
        <v>Hover Energy</v>
      </c>
      <c r="D97" s="4" t="str">
        <f>IFERROR(_xlfn.XLOOKUP($B97,Raw_Data!$A$3:$A$273,Raw_Data!$C$3:$C$273),"")</f>
        <v>Dallas, TX</v>
      </c>
      <c r="E97" s="4">
        <f>IFERROR(_xlfn.XLOOKUP($B97,Raw_Data!$A$3:$A$273,Raw_Data!$D$3:$D$273),"")</f>
        <v>2012</v>
      </c>
      <c r="F97" s="4" t="str">
        <f>IFERROR(_xlfn.XLOOKUP($B97,Raw_Data!$A$3:$A$273,Raw_Data!$F$3:$F$273),"")</f>
        <v>Renewables</v>
      </c>
      <c r="G97" s="35">
        <f>IFERROR(_xlfn.XLOOKUP($B97,Raw_Data!$A$3:$A$273,Raw_Data!$J$3:$J$273),"")</f>
        <v>44561</v>
      </c>
      <c r="H97" s="16" t="s">
        <v>1467</v>
      </c>
      <c r="I97" s="36">
        <f>IFERROR(_xlfn.XLOOKUP($B97,Raw_Data!$A$3:$A$273,Raw_Data!$I$3:$I$273),"")</f>
        <v>8.51</v>
      </c>
      <c r="J97" s="36">
        <f>IFERROR(_xlfn.XLOOKUP($B97,Raw_Data!$A$3:$A$273,Raw_Data!$L$3:$L$273),"")</f>
        <v>3.7</v>
      </c>
      <c r="K97" s="36">
        <f>IFERROR(_xlfn.XLOOKUP($B97,Raw_Data!$A$3:$A$273,Raw_Data!$M$3:$M$273),"")</f>
        <v>22.9</v>
      </c>
      <c r="L97" s="15">
        <f>IFERROR(_xlfn.XLOOKUP($B97,Raw_Data!$A$3:$A$273,Raw_Data!$Q$3:$Q$273),"")</f>
        <v>0</v>
      </c>
      <c r="M97" s="34"/>
      <c r="N97" s="16" cm="1">
        <f t="array" ref="N97">IF(M97="",0,COUNTA(_xlfn._xlws.FILTER(_xlfn.TEXTSPLIT(M97,";"), _xlfn.TEXTSPLIT(M97,";")&lt;&gt;"")))</f>
        <v>0</v>
      </c>
      <c r="O97" s="16" t="str">
        <f t="shared" si="3"/>
        <v>Y</v>
      </c>
      <c r="P97" s="19" t="str">
        <f>IFERROR(_xlfn.XLOOKUP($B97,Raw_Data!$A$3:$A$273,Raw_Data!$V$3:$V$273),"")</f>
        <v>N/A</v>
      </c>
      <c r="Q97" s="16" t="str">
        <f t="shared" si="4"/>
        <v>Y</v>
      </c>
      <c r="R97" s="32" t="str">
        <f>IFERROR(_xlfn.XLOOKUP($B97,Raw_Data!$A$3:$A$273,Raw_Data!$Y$3:$Y$273),"")</f>
        <v>N/A</v>
      </c>
      <c r="S97" s="4" t="str" cm="1">
        <f t="array" ref="S97">_xlfn.LET(_xlpm.s, Raw_Data!W97,_xlpm.strat, _xlfn._xlws.FILTER(REF_Setup!$B$3:$B$40, REF_Setup!$B$3:$B$40&lt;&gt;""),IF(OR(_xlpm.s="",_xlpm.s=0),"Unclassified",IF(SUM(--ISNUMBER(SEARCH(_xlpm.strat, _xlpm.s)))&gt;0, "Y", "N"))
)</f>
        <v>Unclassified</v>
      </c>
      <c r="T97" s="4" t="str" cm="1">
        <f t="array" ref="T97">_xlfn.LET(_xlpm.s,M97,_xlpm.phil, _xlfn._xlws.FILTER(REF_Setup!$D$3:$D$5, REF_Setup!$D$3:$D$5&lt;&gt;""),IF(OR(_xlpm.s="", _xlpm.s=0),"Unclassified",IF(SUM(--ISNUMBER(SEARCH(_xlpm.phil, _xlpm.s)))&gt;0, "Y", "N")))</f>
        <v>Unclassified</v>
      </c>
      <c r="U97" s="4" t="str" cm="1">
        <f t="array" ref="U97">IF(M97="", "Unclassified", IF(AND(SUMPRODUCT(--ISNUMBER(SEARCH(REF_Setup!$B$3:$B$40,M97)))&gt;0,SUMPRODUCT(--ISNUMBER(SEARCH(REF_Setup!$F$3:$F$15,M97)))&gt;0),"Mixed",IF(SUMPRODUCT(--ISNUMBER(SEARCH(REF_Setup!$B$3:$B$40,M97)))&gt;0,"Strategic Only",IF(SUMPRODUCT(--ISNUMBER(SEARCH(REF_Setup!$F$3:$F$15,M97)))&gt;0,"VC Only","Unclassified"))))</f>
        <v>Unclassified</v>
      </c>
    </row>
    <row r="98" spans="2:21" x14ac:dyDescent="0.35">
      <c r="B98" s="4">
        <f t="shared" si="5"/>
        <v>96</v>
      </c>
      <c r="C98" s="4" t="str">
        <f>IFERROR(_xlfn.XLOOKUP($B98,Raw_Data!$A$3:$A$273,Raw_Data!$B$3:$B$273),"")</f>
        <v>Hover Energy</v>
      </c>
      <c r="D98" s="4" t="str">
        <f>IFERROR(_xlfn.XLOOKUP($B98,Raw_Data!$A$3:$A$273,Raw_Data!$C$3:$C$273),"")</f>
        <v>Dallas, TX</v>
      </c>
      <c r="E98" s="4">
        <f>IFERROR(_xlfn.XLOOKUP($B98,Raw_Data!$A$3:$A$273,Raw_Data!$D$3:$D$273),"")</f>
        <v>2012</v>
      </c>
      <c r="F98" s="4" t="str">
        <f>IFERROR(_xlfn.XLOOKUP($B98,Raw_Data!$A$3:$A$273,Raw_Data!$F$3:$F$273),"")</f>
        <v>Renewables</v>
      </c>
      <c r="G98" s="35">
        <f>IFERROR(_xlfn.XLOOKUP($B98,Raw_Data!$A$3:$A$273,Raw_Data!$J$3:$J$273),"")</f>
        <v>44673</v>
      </c>
      <c r="H98" s="16" t="s">
        <v>1467</v>
      </c>
      <c r="I98" s="36">
        <f>IFERROR(_xlfn.XLOOKUP($B98,Raw_Data!$A$3:$A$273,Raw_Data!$I$3:$I$273),"")</f>
        <v>9.09</v>
      </c>
      <c r="J98" s="36">
        <f>IFERROR(_xlfn.XLOOKUP($B98,Raw_Data!$A$3:$A$273,Raw_Data!$L$3:$L$273),"")</f>
        <v>0.57999999999999996</v>
      </c>
      <c r="K98" s="36">
        <f>IFERROR(_xlfn.XLOOKUP($B98,Raw_Data!$A$3:$A$273,Raw_Data!$M$3:$M$273),"")</f>
        <v>19.78</v>
      </c>
      <c r="L98" s="15">
        <f>IFERROR(_xlfn.XLOOKUP($B98,Raw_Data!$A$3:$A$273,Raw_Data!$Q$3:$Q$273),"")</f>
        <v>0</v>
      </c>
      <c r="M98" s="34" t="str">
        <f>IFERROR(_xlfn.XLOOKUP($B98,Raw_Data!$A$3:$A$273,Raw_Data!$R$3:$R$273),"")</f>
        <v>Sana Sano Capital</v>
      </c>
      <c r="N98" s="16" cm="1">
        <f t="array" ref="N98">IF(M98="",0,COUNTA(_xlfn._xlws.FILTER(_xlfn.TEXTSPLIT(M98,";"), _xlfn.TEXTSPLIT(M98,";")&lt;&gt;"")))</f>
        <v>1</v>
      </c>
      <c r="O98" s="16" t="str">
        <f t="shared" si="3"/>
        <v>N</v>
      </c>
      <c r="P98" s="19">
        <f>IFERROR(_xlfn.XLOOKUP($B98,Raw_Data!$A$3:$A$273,Raw_Data!$V$3:$V$273),"")</f>
        <v>0</v>
      </c>
      <c r="Q98" s="16" t="str">
        <f t="shared" si="4"/>
        <v>Y</v>
      </c>
      <c r="R98" s="32">
        <f>IFERROR(_xlfn.XLOOKUP($B98,Raw_Data!$A$3:$A$273,Raw_Data!$Y$3:$Y$273),"")</f>
        <v>1</v>
      </c>
      <c r="S98" s="4" t="str" cm="1">
        <f t="array" ref="S98">_xlfn.LET(_xlpm.s, Raw_Data!W98,_xlpm.strat, _xlfn._xlws.FILTER(REF_Setup!$B$3:$B$40, REF_Setup!$B$3:$B$40&lt;&gt;""),IF(OR(_xlpm.s="",_xlpm.s=0),"Unclassified",IF(SUM(--ISNUMBER(SEARCH(_xlpm.strat, _xlpm.s)))&gt;0, "Y", "N"))
)</f>
        <v>N</v>
      </c>
      <c r="T98" s="4" t="str" cm="1">
        <f t="array" ref="T98">_xlfn.LET(_xlpm.s,M98,_xlpm.phil, _xlfn._xlws.FILTER(REF_Setup!$D$3:$D$5, REF_Setup!$D$3:$D$5&lt;&gt;""),IF(OR(_xlpm.s="", _xlpm.s=0),"Unclassified",IF(SUM(--ISNUMBER(SEARCH(_xlpm.phil, _xlpm.s)))&gt;0, "Y", "N")))</f>
        <v>N</v>
      </c>
      <c r="U98" s="4" t="str" cm="1">
        <f t="array" ref="U98">IF(M98="", "Unclassified", IF(AND(SUMPRODUCT(--ISNUMBER(SEARCH(REF_Setup!$B$3:$B$40,M98)))&gt;0,SUMPRODUCT(--ISNUMBER(SEARCH(REF_Setup!$F$3:$F$15,M98)))&gt;0),"Mixed",IF(SUMPRODUCT(--ISNUMBER(SEARCH(REF_Setup!$B$3:$B$40,M98)))&gt;0,"Strategic Only",IF(SUMPRODUCT(--ISNUMBER(SEARCH(REF_Setup!$F$3:$F$15,M98)))&gt;0,"VC Only","Unclassified"))))</f>
        <v>VC Only</v>
      </c>
    </row>
    <row r="99" spans="2:21" x14ac:dyDescent="0.35">
      <c r="B99" s="4">
        <f t="shared" si="5"/>
        <v>97</v>
      </c>
      <c r="C99" s="4" t="str">
        <f>IFERROR(_xlfn.XLOOKUP($B99,Raw_Data!$A$3:$A$273,Raw_Data!$B$3:$B$273),"")</f>
        <v>Huue</v>
      </c>
      <c r="D99" s="4" t="str">
        <f>IFERROR(_xlfn.XLOOKUP($B99,Raw_Data!$A$3:$A$273,Raw_Data!$C$3:$C$273),"")</f>
        <v>Berkeley, CA</v>
      </c>
      <c r="E99" s="4">
        <f>IFERROR(_xlfn.XLOOKUP($B99,Raw_Data!$A$3:$A$273,Raw_Data!$D$3:$D$273),"")</f>
        <v>2018</v>
      </c>
      <c r="F99" s="4" t="str">
        <f>IFERROR(_xlfn.XLOOKUP($B99,Raw_Data!$A$3:$A$273,Raw_Data!$F$3:$F$273),"")</f>
        <v>Industrial Decarbonization</v>
      </c>
      <c r="G99" s="35">
        <f>IFERROR(_xlfn.XLOOKUP($B99,Raw_Data!$A$3:$A$273,Raw_Data!$J$3:$J$273),"")</f>
        <v>44249</v>
      </c>
      <c r="H99" s="16" t="s">
        <v>1465</v>
      </c>
      <c r="I99" s="36">
        <f>IFERROR(_xlfn.XLOOKUP($B99,Raw_Data!$A$3:$A$273,Raw_Data!$I$3:$I$273),"")</f>
        <v>3.79</v>
      </c>
      <c r="J99" s="36">
        <f>IFERROR(_xlfn.XLOOKUP($B99,Raw_Data!$A$3:$A$273,Raw_Data!$L$3:$L$273),"")</f>
        <v>1</v>
      </c>
      <c r="K99" s="36">
        <f>IFERROR(_xlfn.XLOOKUP($B99,Raw_Data!$A$3:$A$273,Raw_Data!$M$3:$M$273),"")</f>
        <v>14</v>
      </c>
      <c r="L99" s="15">
        <f>IFERROR(_xlfn.XLOOKUP($B99,Raw_Data!$A$3:$A$273,Raw_Data!$Q$3:$Q$273),"")</f>
        <v>0</v>
      </c>
      <c r="M99" s="34" t="str">
        <f>IFERROR(_xlfn.XLOOKUP($B99,Raw_Data!$A$3:$A$273,Raw_Data!$R$3:$R$273),"")</f>
        <v>SOSV</v>
      </c>
      <c r="N99" s="16" cm="1">
        <f t="array" ref="N99">IF(M99="",0,COUNTA(_xlfn._xlws.FILTER(_xlfn.TEXTSPLIT(M99,";"), _xlfn.TEXTSPLIT(M99,";")&lt;&gt;"")))</f>
        <v>1</v>
      </c>
      <c r="O99" s="16" t="str">
        <f t="shared" si="3"/>
        <v>Y</v>
      </c>
      <c r="P99" s="19">
        <f>IFERROR(_xlfn.XLOOKUP($B99,Raw_Data!$A$3:$A$273,Raw_Data!$V$3:$V$273),"")</f>
        <v>1</v>
      </c>
      <c r="Q99" s="16" t="str">
        <f t="shared" si="4"/>
        <v>Y</v>
      </c>
      <c r="R99" s="32" t="str">
        <f>IFERROR(_xlfn.XLOOKUP($B99,Raw_Data!$A$3:$A$273,Raw_Data!$Y$3:$Y$273),"")</f>
        <v>N/A</v>
      </c>
      <c r="S99" s="4" t="str" cm="1">
        <f t="array" ref="S99">_xlfn.LET(_xlpm.s, Raw_Data!W99,_xlpm.strat, _xlfn._xlws.FILTER(REF_Setup!$B$3:$B$40, REF_Setup!$B$3:$B$40&lt;&gt;""),IF(OR(_xlpm.s="",_xlpm.s=0),"Unclassified",IF(SUM(--ISNUMBER(SEARCH(_xlpm.strat, _xlpm.s)))&gt;0, "Y", "N"))
)</f>
        <v>Unclassified</v>
      </c>
      <c r="T99" s="4" t="str" cm="1">
        <f t="array" ref="T99">_xlfn.LET(_xlpm.s,M99,_xlpm.phil, _xlfn._xlws.FILTER(REF_Setup!$D$3:$D$5, REF_Setup!$D$3:$D$5&lt;&gt;""),IF(OR(_xlpm.s="", _xlpm.s=0),"Unclassified",IF(SUM(--ISNUMBER(SEARCH(_xlpm.phil, _xlpm.s)))&gt;0, "Y", "N")))</f>
        <v>N</v>
      </c>
      <c r="U99" s="4" t="str" cm="1">
        <f t="array" ref="U99">IF(M99="", "Unclassified", IF(AND(SUMPRODUCT(--ISNUMBER(SEARCH(REF_Setup!$B$3:$B$40,M99)))&gt;0,SUMPRODUCT(--ISNUMBER(SEARCH(REF_Setup!$F$3:$F$15,M99)))&gt;0),"Mixed",IF(SUMPRODUCT(--ISNUMBER(SEARCH(REF_Setup!$B$3:$B$40,M99)))&gt;0,"Strategic Only",IF(SUMPRODUCT(--ISNUMBER(SEARCH(REF_Setup!$F$3:$F$15,M99)))&gt;0,"VC Only","Unclassified"))))</f>
        <v>Unclassified</v>
      </c>
    </row>
    <row r="100" spans="2:21" x14ac:dyDescent="0.35">
      <c r="B100" s="4">
        <f t="shared" si="5"/>
        <v>98</v>
      </c>
      <c r="C100" s="4" t="str">
        <f>IFERROR(_xlfn.XLOOKUP($B100,Raw_Data!$A$3:$A$273,Raw_Data!$B$3:$B$273),"")</f>
        <v>HyperSciences</v>
      </c>
      <c r="D100" s="4" t="str">
        <f>IFERROR(_xlfn.XLOOKUP($B100,Raw_Data!$A$3:$A$273,Raw_Data!$C$3:$C$273),"")</f>
        <v>Spokane, WA</v>
      </c>
      <c r="E100" s="4">
        <f>IFERROR(_xlfn.XLOOKUP($B100,Raw_Data!$A$3:$A$273,Raw_Data!$D$3:$D$273),"")</f>
        <v>2014</v>
      </c>
      <c r="F100" s="4" t="str">
        <f>IFERROR(_xlfn.XLOOKUP($B100,Raw_Data!$A$3:$A$273,Raw_Data!$F$3:$F$273),"")</f>
        <v>Industrial Decarbonization</v>
      </c>
      <c r="G100" s="35">
        <f>IFERROR(_xlfn.XLOOKUP($B100,Raw_Data!$A$3:$A$273,Raw_Data!$J$3:$J$273),"")</f>
        <v>44949</v>
      </c>
      <c r="H100" s="16" t="s">
        <v>1467</v>
      </c>
      <c r="I100" s="36">
        <f>IFERROR(_xlfn.XLOOKUP($B100,Raw_Data!$A$3:$A$273,Raw_Data!$I$3:$I$273),"")</f>
        <v>27.39</v>
      </c>
      <c r="J100" s="36">
        <f>IFERROR(_xlfn.XLOOKUP($B100,Raw_Data!$A$3:$A$273,Raw_Data!$L$3:$L$273),"")</f>
        <v>0.55000000000000004</v>
      </c>
      <c r="K100" s="36">
        <f>IFERROR(_xlfn.XLOOKUP($B100,Raw_Data!$A$3:$A$273,Raw_Data!$M$3:$M$273),"")</f>
        <v>0</v>
      </c>
      <c r="L100" s="15">
        <f>IFERROR(_xlfn.XLOOKUP($B100,Raw_Data!$A$3:$A$273,Raw_Data!$Q$3:$Q$273),"")</f>
        <v>0</v>
      </c>
      <c r="M100" s="34" t="str">
        <f>IFERROR(_xlfn.XLOOKUP($B100,Raw_Data!$A$3:$A$273,Raw_Data!$R$3:$R$273),"")</f>
        <v>Checkmate Capital; Cowles Ventures; Milkbox Partners</v>
      </c>
      <c r="N100" s="16" cm="1">
        <f t="array" ref="N100">IF(M100="",0,COUNTA(_xlfn._xlws.FILTER(_xlfn.TEXTSPLIT(M100,";"), _xlfn.TEXTSPLIT(M100,";")&lt;&gt;"")))</f>
        <v>3</v>
      </c>
      <c r="O100" s="16" t="str">
        <f t="shared" si="3"/>
        <v>Y</v>
      </c>
      <c r="P100" s="19">
        <f>IFERROR(_xlfn.XLOOKUP($B100,Raw_Data!$A$3:$A$273,Raw_Data!$V$3:$V$273),"")</f>
        <v>0.33333333333333331</v>
      </c>
      <c r="Q100" s="16" t="str">
        <f t="shared" si="4"/>
        <v>Y</v>
      </c>
      <c r="R100" s="32">
        <f>IFERROR(_xlfn.XLOOKUP($B100,Raw_Data!$A$3:$A$273,Raw_Data!$Y$3:$Y$273),"")</f>
        <v>0.66666666666666663</v>
      </c>
      <c r="S100" s="4" t="str" cm="1">
        <f t="array" ref="S100">_xlfn.LET(_xlpm.s, Raw_Data!W100,_xlpm.strat, _xlfn._xlws.FILTER(REF_Setup!$B$3:$B$40, REF_Setup!$B$3:$B$40&lt;&gt;""),IF(OR(_xlpm.s="",_xlpm.s=0),"Unclassified",IF(SUM(--ISNUMBER(SEARCH(_xlpm.strat, _xlpm.s)))&gt;0, "Y", "N"))
)</f>
        <v>N</v>
      </c>
      <c r="T100" s="4" t="str" cm="1">
        <f t="array" ref="T100">_xlfn.LET(_xlpm.s,M100,_xlpm.phil, _xlfn._xlws.FILTER(REF_Setup!$D$3:$D$5, REF_Setup!$D$3:$D$5&lt;&gt;""),IF(OR(_xlpm.s="", _xlpm.s=0),"Unclassified",IF(SUM(--ISNUMBER(SEARCH(_xlpm.phil, _xlpm.s)))&gt;0, "Y", "N")))</f>
        <v>N</v>
      </c>
      <c r="U100" s="4" t="str" cm="1">
        <f t="array" ref="U100">IF(M100="", "Unclassified", IF(AND(SUMPRODUCT(--ISNUMBER(SEARCH(REF_Setup!$B$3:$B$40,M100)))&gt;0,SUMPRODUCT(--ISNUMBER(SEARCH(REF_Setup!$F$3:$F$15,M100)))&gt;0),"Mixed",IF(SUMPRODUCT(--ISNUMBER(SEARCH(REF_Setup!$B$3:$B$40,M100)))&gt;0,"Strategic Only",IF(SUMPRODUCT(--ISNUMBER(SEARCH(REF_Setup!$F$3:$F$15,M100)))&gt;0,"VC Only","Unclassified"))))</f>
        <v>VC Only</v>
      </c>
    </row>
    <row r="101" spans="2:21" ht="145" x14ac:dyDescent="0.35">
      <c r="B101" s="4">
        <f t="shared" si="5"/>
        <v>99</v>
      </c>
      <c r="C101" s="4" t="str">
        <f>IFERROR(_xlfn.XLOOKUP($B101,Raw_Data!$A$3:$A$273,Raw_Data!$B$3:$B$273),"")</f>
        <v>Impossible Foods</v>
      </c>
      <c r="D101" s="4" t="str">
        <f>IFERROR(_xlfn.XLOOKUP($B101,Raw_Data!$A$3:$A$273,Raw_Data!$C$3:$C$273),"")</f>
        <v>Redwood City, CA</v>
      </c>
      <c r="E101" s="4">
        <f>IFERROR(_xlfn.XLOOKUP($B101,Raw_Data!$A$3:$A$273,Raw_Data!$D$3:$D$273),"")</f>
        <v>2011</v>
      </c>
      <c r="F101" s="4" t="str">
        <f>IFERROR(_xlfn.XLOOKUP($B101,Raw_Data!$A$3:$A$273,Raw_Data!$F$3:$F$273),"")</f>
        <v>Food &amp; Ag</v>
      </c>
      <c r="G101" s="35">
        <f>IFERROR(_xlfn.XLOOKUP($B101,Raw_Data!$A$3:$A$273,Raw_Data!$J$3:$J$273),"")</f>
        <v>43599</v>
      </c>
      <c r="H101" s="16" t="s">
        <v>1470</v>
      </c>
      <c r="I101" s="36">
        <f>IFERROR(_xlfn.XLOOKUP($B101,Raw_Data!$A$3:$A$273,Raw_Data!$I$3:$I$273),"")</f>
        <v>807</v>
      </c>
      <c r="J101" s="36">
        <f>IFERROR(_xlfn.XLOOKUP($B101,Raw_Data!$A$3:$A$273,Raw_Data!$L$3:$L$273),"")</f>
        <v>300</v>
      </c>
      <c r="K101" s="36">
        <f>IFERROR(_xlfn.XLOOKUP($B101,Raw_Data!$A$3:$A$273,Raw_Data!$M$3:$M$273),"")</f>
        <v>1000</v>
      </c>
      <c r="L101" s="15">
        <f>IFERROR(_xlfn.XLOOKUP($B101,Raw_Data!$A$3:$A$273,Raw_Data!$Q$3:$Q$273),"")</f>
        <v>0</v>
      </c>
      <c r="M101" s="34" t="str">
        <f>IFERROR(_xlfn.XLOOKUP($B101,Raw_Data!$A$3:$A$273,Raw_Data!$R$3:$R$273),"")</f>
        <v>Horizons Ventures; Temasek Holdings; GV; Open Philanthropy Project; Xandex Ventures; Conti Ventures; Neman Ventures; Lenox Partners; Ericsenz Capital; Sailing Capital; Next Play Capital; G Squared; CPT Capital; Five Seasons Ventures; Proioxis Ventures; Ben Jen Holdings; K2 Global; Pario Ventures; Khosla Ventures; Mirae Asset Venture Investment; Bracket Capital; Toy Ventures; London Impact Ventures; Purav Patel; Christian Herrera; Katy Perry; Jaden Smith; Julien Machot; Taslimm Quraishi; Vikas Sabnani; Randy Almaguer; Serena Williams; Jay Brown; Shawn Carter; Alexis Ohanian; William Gates; UBS Group; Viking Global Investors; Late Stage Management; The Spaventa Group; Bridge Capital Holding; Buttonwood Group Advisors; Verso Holdings</v>
      </c>
      <c r="N101" s="16" cm="1">
        <f t="array" ref="N101">IF(M101="",0,COUNTA(_xlfn._xlws.FILTER(_xlfn.TEXTSPLIT(M101,";"), _xlfn.TEXTSPLIT(M101,";")&lt;&gt;"")))</f>
        <v>43</v>
      </c>
      <c r="O101" s="16" t="str">
        <f t="shared" si="3"/>
        <v>Y</v>
      </c>
      <c r="P101" s="19">
        <f>IFERROR(_xlfn.XLOOKUP($B101,Raw_Data!$A$3:$A$273,Raw_Data!$V$3:$V$273),"")</f>
        <v>0.2558139534883721</v>
      </c>
      <c r="Q101" s="16" t="str">
        <f t="shared" si="4"/>
        <v>Y</v>
      </c>
      <c r="R101" s="32">
        <f>IFERROR(_xlfn.XLOOKUP($B101,Raw_Data!$A$3:$A$273,Raw_Data!$Y$3:$Y$273),"")</f>
        <v>0.7441860465116279</v>
      </c>
      <c r="S101" s="4" t="str" cm="1">
        <f t="array" ref="S101">_xlfn.LET(_xlpm.s, Raw_Data!W101,_xlpm.strat, _xlfn._xlws.FILTER(REF_Setup!$B$3:$B$40, REF_Setup!$B$3:$B$40&lt;&gt;""),IF(OR(_xlpm.s="",_xlpm.s=0),"Unclassified",IF(SUM(--ISNUMBER(SEARCH(_xlpm.strat, _xlpm.s)))&gt;0, "Y", "N"))
)</f>
        <v>N</v>
      </c>
      <c r="T101" s="4" t="str" cm="1">
        <f t="array" ref="T101">_xlfn.LET(_xlpm.s,M101,_xlpm.phil, _xlfn._xlws.FILTER(REF_Setup!$D$3:$D$5, REF_Setup!$D$3:$D$5&lt;&gt;""),IF(OR(_xlpm.s="", _xlpm.s=0),"Unclassified",IF(SUM(--ISNUMBER(SEARCH(_xlpm.phil, _xlpm.s)))&gt;0, "Y", "N")))</f>
        <v>Y</v>
      </c>
      <c r="U101" s="4" t="str" cm="1">
        <f t="array" ref="U101">IF(M101="", "Unclassified", IF(AND(SUMPRODUCT(--ISNUMBER(SEARCH(REF_Setup!$B$3:$B$40,M101)))&gt;0,SUMPRODUCT(--ISNUMBER(SEARCH(REF_Setup!$F$3:$F$15,M101)))&gt;0),"Mixed",IF(SUMPRODUCT(--ISNUMBER(SEARCH(REF_Setup!$B$3:$B$40,M101)))&gt;0,"Strategic Only",IF(SUMPRODUCT(--ISNUMBER(SEARCH(REF_Setup!$F$3:$F$15,M101)))&gt;0,"VC Only","Unclassified"))))</f>
        <v>Mixed</v>
      </c>
    </row>
    <row r="102" spans="2:21" x14ac:dyDescent="0.35">
      <c r="B102" s="4">
        <f t="shared" si="5"/>
        <v>100</v>
      </c>
      <c r="C102" s="4" t="str">
        <f>IFERROR(_xlfn.XLOOKUP($B102,Raw_Data!$A$3:$A$273,Raw_Data!$B$3:$B$273),"")</f>
        <v>Independence Hydrogen</v>
      </c>
      <c r="D102" s="4" t="str">
        <f>IFERROR(_xlfn.XLOOKUP($B102,Raw_Data!$A$3:$A$273,Raw_Data!$C$3:$C$273),"")</f>
        <v>Ashburn, VA</v>
      </c>
      <c r="E102" s="4">
        <f>IFERROR(_xlfn.XLOOKUP($B102,Raw_Data!$A$3:$A$273,Raw_Data!$D$3:$D$273),"")</f>
        <v>2017</v>
      </c>
      <c r="F102" s="4" t="str">
        <f>IFERROR(_xlfn.XLOOKUP($B102,Raw_Data!$A$3:$A$273,Raw_Data!$F$3:$F$273),"")</f>
        <v>Hydrogen</v>
      </c>
      <c r="G102" s="35">
        <f>IFERROR(_xlfn.XLOOKUP($B102,Raw_Data!$A$3:$A$273,Raw_Data!$J$3:$J$273),"")</f>
        <v>44517</v>
      </c>
      <c r="H102" s="16" t="s">
        <v>1466</v>
      </c>
      <c r="I102" s="36">
        <f>IFERROR(_xlfn.XLOOKUP($B102,Raw_Data!$A$3:$A$273,Raw_Data!$I$3:$I$273),"")</f>
        <v>7</v>
      </c>
      <c r="J102" s="36">
        <f>IFERROR(_xlfn.XLOOKUP($B102,Raw_Data!$A$3:$A$273,Raw_Data!$L$3:$L$273),"")</f>
        <v>7</v>
      </c>
      <c r="K102" s="36">
        <f>IFERROR(_xlfn.XLOOKUP($B102,Raw_Data!$A$3:$A$273,Raw_Data!$M$3:$M$273),"")</f>
        <v>35</v>
      </c>
      <c r="L102" s="15">
        <f>IFERROR(_xlfn.XLOOKUP($B102,Raw_Data!$A$3:$A$273,Raw_Data!$Q$3:$Q$273),"")</f>
        <v>0</v>
      </c>
      <c r="M102" s="34" t="str">
        <f>IFERROR(_xlfn.XLOOKUP($B102,Raw_Data!$A$3:$A$273,Raw_Data!$R$3:$R$273),"")</f>
        <v>Hivers &amp; Strivers (Rachel Hobert); Smart City' Works - Infrastructure Actuator</v>
      </c>
      <c r="N102" s="16" cm="1">
        <f t="array" ref="N102">IF(M102="",0,COUNTA(_xlfn._xlws.FILTER(_xlfn.TEXTSPLIT(M102,";"), _xlfn.TEXTSPLIT(M102,";")&lt;&gt;"")))</f>
        <v>2</v>
      </c>
      <c r="O102" s="16" t="str">
        <f t="shared" si="3"/>
        <v>N</v>
      </c>
      <c r="P102" s="19">
        <f>IFERROR(_xlfn.XLOOKUP($B102,Raw_Data!$A$3:$A$273,Raw_Data!$V$3:$V$273),"")</f>
        <v>0</v>
      </c>
      <c r="Q102" s="16" t="str">
        <f t="shared" si="4"/>
        <v>Y</v>
      </c>
      <c r="R102" s="32">
        <f>IFERROR(_xlfn.XLOOKUP($B102,Raw_Data!$A$3:$A$273,Raw_Data!$Y$3:$Y$273),"")</f>
        <v>1</v>
      </c>
      <c r="S102" s="4" t="str" cm="1">
        <f t="array" ref="S102">_xlfn.LET(_xlpm.s, Raw_Data!W102,_xlpm.strat, _xlfn._xlws.FILTER(REF_Setup!$B$3:$B$40, REF_Setup!$B$3:$B$40&lt;&gt;""),IF(OR(_xlpm.s="",_xlpm.s=0),"Unclassified",IF(SUM(--ISNUMBER(SEARCH(_xlpm.strat, _xlpm.s)))&gt;0, "Y", "N"))
)</f>
        <v>N</v>
      </c>
      <c r="T102" s="4" t="str" cm="1">
        <f t="array" ref="T102">_xlfn.LET(_xlpm.s,M102,_xlpm.phil, _xlfn._xlws.FILTER(REF_Setup!$D$3:$D$5, REF_Setup!$D$3:$D$5&lt;&gt;""),IF(OR(_xlpm.s="", _xlpm.s=0),"Unclassified",IF(SUM(--ISNUMBER(SEARCH(_xlpm.phil, _xlpm.s)))&gt;0, "Y", "N")))</f>
        <v>N</v>
      </c>
      <c r="U102" s="4" t="str" cm="1">
        <f t="array" ref="U102">IF(M102="", "Unclassified", IF(AND(SUMPRODUCT(--ISNUMBER(SEARCH(REF_Setup!$B$3:$B$40,M102)))&gt;0,SUMPRODUCT(--ISNUMBER(SEARCH(REF_Setup!$F$3:$F$15,M102)))&gt;0),"Mixed",IF(SUMPRODUCT(--ISNUMBER(SEARCH(REF_Setup!$B$3:$B$40,M102)))&gt;0,"Strategic Only",IF(SUMPRODUCT(--ISNUMBER(SEARCH(REF_Setup!$F$3:$F$15,M102)))&gt;0,"VC Only","Unclassified"))))</f>
        <v>Unclassified</v>
      </c>
    </row>
    <row r="103" spans="2:21" x14ac:dyDescent="0.35">
      <c r="B103" s="4">
        <f t="shared" si="5"/>
        <v>101</v>
      </c>
      <c r="C103" s="4" t="str">
        <f>IFERROR(_xlfn.XLOOKUP($B103,Raw_Data!$A$3:$A$273,Raw_Data!$B$3:$B$273),"")</f>
        <v>Indigo Technologies</v>
      </c>
      <c r="D103" s="4" t="str">
        <f>IFERROR(_xlfn.XLOOKUP($B103,Raw_Data!$A$3:$A$273,Raw_Data!$C$3:$C$273),"")</f>
        <v>Woburn, MA</v>
      </c>
      <c r="E103" s="4">
        <f>IFERROR(_xlfn.XLOOKUP($B103,Raw_Data!$A$3:$A$273,Raw_Data!$D$3:$D$273),"")</f>
        <v>2010</v>
      </c>
      <c r="F103" s="4" t="str">
        <f>IFERROR(_xlfn.XLOOKUP($B103,Raw_Data!$A$3:$A$273,Raw_Data!$F$3:$F$273),"")</f>
        <v>Mobility</v>
      </c>
      <c r="G103" s="35">
        <f>IFERROR(_xlfn.XLOOKUP($B103,Raw_Data!$A$3:$A$273,Raw_Data!$J$3:$J$273),"")</f>
        <v>44340</v>
      </c>
      <c r="H103" s="16" t="s">
        <v>1465</v>
      </c>
      <c r="I103" s="36">
        <f>IFERROR(_xlfn.XLOOKUP($B103,Raw_Data!$A$3:$A$273,Raw_Data!$I$3:$I$273),"")</f>
        <v>90.16</v>
      </c>
      <c r="J103" s="36">
        <f>IFERROR(_xlfn.XLOOKUP($B103,Raw_Data!$A$3:$A$273,Raw_Data!$L$3:$L$273),"")</f>
        <v>14.3</v>
      </c>
      <c r="K103" s="36">
        <f>IFERROR(_xlfn.XLOOKUP($B103,Raw_Data!$A$3:$A$273,Raw_Data!$M$3:$M$273),"")</f>
        <v>47</v>
      </c>
      <c r="L103" s="15">
        <f>IFERROR(_xlfn.XLOOKUP($B103,Raw_Data!$A$3:$A$273,Raw_Data!$Q$3:$Q$273),"")</f>
        <v>0</v>
      </c>
      <c r="M103" s="34" t="str">
        <f>IFERROR(_xlfn.XLOOKUP($B103,Raw_Data!$A$3:$A$273,Raw_Data!$R$3:$R$273),"")</f>
        <v>FM Capital; PBJ Capital</v>
      </c>
      <c r="N103" s="16" cm="1">
        <f t="array" ref="N103">IF(M103="",0,COUNTA(_xlfn._xlws.FILTER(_xlfn.TEXTSPLIT(M103,";"), _xlfn.TEXTSPLIT(M103,";")&lt;&gt;"")))</f>
        <v>2</v>
      </c>
      <c r="O103" s="16" t="str">
        <f t="shared" si="3"/>
        <v>N</v>
      </c>
      <c r="P103" s="19">
        <f>IFERROR(_xlfn.XLOOKUP($B103,Raw_Data!$A$3:$A$273,Raw_Data!$V$3:$V$273),"")</f>
        <v>0</v>
      </c>
      <c r="Q103" s="16" t="str">
        <f t="shared" si="4"/>
        <v>Y</v>
      </c>
      <c r="R103" s="32">
        <f>IFERROR(_xlfn.XLOOKUP($B103,Raw_Data!$A$3:$A$273,Raw_Data!$Y$3:$Y$273),"")</f>
        <v>1</v>
      </c>
      <c r="S103" s="4" t="str" cm="1">
        <f t="array" ref="S103">_xlfn.LET(_xlpm.s, Raw_Data!W103,_xlpm.strat, _xlfn._xlws.FILTER(REF_Setup!$B$3:$B$40, REF_Setup!$B$3:$B$40&lt;&gt;""),IF(OR(_xlpm.s="",_xlpm.s=0),"Unclassified",IF(SUM(--ISNUMBER(SEARCH(_xlpm.strat, _xlpm.s)))&gt;0, "Y", "N"))
)</f>
        <v>N</v>
      </c>
      <c r="T103" s="4" t="str" cm="1">
        <f t="array" ref="T103">_xlfn.LET(_xlpm.s,M103,_xlpm.phil, _xlfn._xlws.FILTER(REF_Setup!$D$3:$D$5, REF_Setup!$D$3:$D$5&lt;&gt;""),IF(OR(_xlpm.s="", _xlpm.s=0),"Unclassified",IF(SUM(--ISNUMBER(SEARCH(_xlpm.phil, _xlpm.s)))&gt;0, "Y", "N")))</f>
        <v>N</v>
      </c>
      <c r="U103" s="4" t="str" cm="1">
        <f t="array" ref="U103">IF(M103="", "Unclassified", IF(AND(SUMPRODUCT(--ISNUMBER(SEARCH(REF_Setup!$B$3:$B$40,M103)))&gt;0,SUMPRODUCT(--ISNUMBER(SEARCH(REF_Setup!$F$3:$F$15,M103)))&gt;0),"Mixed",IF(SUMPRODUCT(--ISNUMBER(SEARCH(REF_Setup!$B$3:$B$40,M103)))&gt;0,"Strategic Only",IF(SUMPRODUCT(--ISNUMBER(SEARCH(REF_Setup!$F$3:$F$15,M103)))&gt;0,"VC Only","Unclassified"))))</f>
        <v>VC Only</v>
      </c>
    </row>
    <row r="104" spans="2:21" x14ac:dyDescent="0.35">
      <c r="B104" s="4">
        <f t="shared" si="5"/>
        <v>102</v>
      </c>
      <c r="C104" s="4" t="str">
        <f>IFERROR(_xlfn.XLOOKUP($B104,Raw_Data!$A$3:$A$273,Raw_Data!$B$3:$B$273),"")</f>
        <v>Indigo Technologies</v>
      </c>
      <c r="D104" s="4" t="str">
        <f>IFERROR(_xlfn.XLOOKUP($B104,Raw_Data!$A$3:$A$273,Raw_Data!$C$3:$C$273),"")</f>
        <v>Woburn, MA</v>
      </c>
      <c r="E104" s="4">
        <f>IFERROR(_xlfn.XLOOKUP($B104,Raw_Data!$A$3:$A$273,Raw_Data!$D$3:$D$273),"")</f>
        <v>2010</v>
      </c>
      <c r="F104" s="4" t="str">
        <f>IFERROR(_xlfn.XLOOKUP($B104,Raw_Data!$A$3:$A$273,Raw_Data!$F$3:$F$273),"")</f>
        <v>Mobility</v>
      </c>
      <c r="G104" s="35">
        <f>IFERROR(_xlfn.XLOOKUP($B104,Raw_Data!$A$3:$A$273,Raw_Data!$J$3:$J$273),"")</f>
        <v>45224</v>
      </c>
      <c r="H104" s="16" t="s">
        <v>1467</v>
      </c>
      <c r="I104" s="36">
        <f>IFERROR(_xlfn.XLOOKUP($B104,Raw_Data!$A$3:$A$273,Raw_Data!$I$3:$I$273),"")</f>
        <v>109.04</v>
      </c>
      <c r="J104" s="36">
        <f>IFERROR(_xlfn.XLOOKUP($B104,Raw_Data!$A$3:$A$273,Raw_Data!$L$3:$L$273),"")</f>
        <v>18.88</v>
      </c>
      <c r="K104" s="36">
        <f>IFERROR(_xlfn.XLOOKUP($B104,Raw_Data!$A$3:$A$273,Raw_Data!$M$3:$M$273),"")</f>
        <v>300</v>
      </c>
      <c r="L104" s="15">
        <f>IFERROR(_xlfn.XLOOKUP($B104,Raw_Data!$A$3:$A$273,Raw_Data!$Q$3:$Q$273),"")</f>
        <v>0</v>
      </c>
      <c r="M104" s="34" t="str">
        <f>IFERROR(_xlfn.XLOOKUP($B104,Raw_Data!$A$3:$A$273,Raw_Data!$R$3:$R$273),"")</f>
        <v>Hon Hai Precision; WillowTree Investments</v>
      </c>
      <c r="N104" s="16" cm="1">
        <f t="array" ref="N104">IF(M104="",0,COUNTA(_xlfn._xlws.FILTER(_xlfn.TEXTSPLIT(M104,";"), _xlfn.TEXTSPLIT(M104,";")&lt;&gt;"")))</f>
        <v>2</v>
      </c>
      <c r="O104" s="16" t="str">
        <f t="shared" si="3"/>
        <v>N</v>
      </c>
      <c r="P104" s="19">
        <f>IFERROR(_xlfn.XLOOKUP($B104,Raw_Data!$A$3:$A$273,Raw_Data!$V$3:$V$273),"")</f>
        <v>0</v>
      </c>
      <c r="Q104" s="16" t="str">
        <f t="shared" si="4"/>
        <v>Y</v>
      </c>
      <c r="R104" s="32">
        <f>IFERROR(_xlfn.XLOOKUP($B104,Raw_Data!$A$3:$A$273,Raw_Data!$Y$3:$Y$273),"")</f>
        <v>1</v>
      </c>
      <c r="S104" s="4" t="str" cm="1">
        <f t="array" ref="S104">_xlfn.LET(_xlpm.s, Raw_Data!W104,_xlpm.strat, _xlfn._xlws.FILTER(REF_Setup!$B$3:$B$40, REF_Setup!$B$3:$B$40&lt;&gt;""),IF(OR(_xlpm.s="",_xlpm.s=0),"Unclassified",IF(SUM(--ISNUMBER(SEARCH(_xlpm.strat, _xlpm.s)))&gt;0, "Y", "N"))
)</f>
        <v>N</v>
      </c>
      <c r="T104" s="4" t="str" cm="1">
        <f t="array" ref="T104">_xlfn.LET(_xlpm.s,M104,_xlpm.phil, _xlfn._xlws.FILTER(REF_Setup!$D$3:$D$5, REF_Setup!$D$3:$D$5&lt;&gt;""),IF(OR(_xlpm.s="", _xlpm.s=0),"Unclassified",IF(SUM(--ISNUMBER(SEARCH(_xlpm.phil, _xlpm.s)))&gt;0, "Y", "N")))</f>
        <v>N</v>
      </c>
      <c r="U104" s="4" t="str" cm="1">
        <f t="array" ref="U104">IF(M104="", "Unclassified", IF(AND(SUMPRODUCT(--ISNUMBER(SEARCH(REF_Setup!$B$3:$B$40,M104)))&gt;0,SUMPRODUCT(--ISNUMBER(SEARCH(REF_Setup!$F$3:$F$15,M104)))&gt;0),"Mixed",IF(SUMPRODUCT(--ISNUMBER(SEARCH(REF_Setup!$B$3:$B$40,M104)))&gt;0,"Strategic Only",IF(SUMPRODUCT(--ISNUMBER(SEARCH(REF_Setup!$F$3:$F$15,M104)))&gt;0,"VC Only","Unclassified"))))</f>
        <v>Unclassified</v>
      </c>
    </row>
    <row r="105" spans="2:21" x14ac:dyDescent="0.35">
      <c r="B105" s="4">
        <f t="shared" si="5"/>
        <v>103</v>
      </c>
      <c r="C105" s="4" t="str">
        <f>IFERROR(_xlfn.XLOOKUP($B105,Raw_Data!$A$3:$A$273,Raw_Data!$B$3:$B$273),"")</f>
        <v>Indigo Technologies</v>
      </c>
      <c r="D105" s="4" t="str">
        <f>IFERROR(_xlfn.XLOOKUP($B105,Raw_Data!$A$3:$A$273,Raw_Data!$C$3:$C$273),"")</f>
        <v>Woburn, MA</v>
      </c>
      <c r="E105" s="4">
        <f>IFERROR(_xlfn.XLOOKUP($B105,Raw_Data!$A$3:$A$273,Raw_Data!$D$3:$D$273),"")</f>
        <v>2010</v>
      </c>
      <c r="F105" s="4" t="str">
        <f>IFERROR(_xlfn.XLOOKUP($B105,Raw_Data!$A$3:$A$273,Raw_Data!$F$3:$F$273),"")</f>
        <v>Mobility</v>
      </c>
      <c r="G105" s="35">
        <f>IFERROR(_xlfn.XLOOKUP($B105,Raw_Data!$A$3:$A$273,Raw_Data!$J$3:$J$273),"")</f>
        <v>45933</v>
      </c>
      <c r="H105" s="16" t="s">
        <v>1467</v>
      </c>
      <c r="I105" s="36">
        <f>IFERROR(_xlfn.XLOOKUP($B105,Raw_Data!$A$3:$A$273,Raw_Data!$I$3:$I$273),"")</f>
        <v>163.04</v>
      </c>
      <c r="J105" s="36">
        <f>IFERROR(_xlfn.XLOOKUP($B105,Raw_Data!$A$3:$A$273,Raw_Data!$L$3:$L$273),"")</f>
        <v>54</v>
      </c>
      <c r="K105" s="36">
        <f>IFERROR(_xlfn.XLOOKUP($B105,Raw_Data!$A$3:$A$273,Raw_Data!$M$3:$M$273),"")</f>
        <v>354</v>
      </c>
      <c r="L105" s="15">
        <f>IFERROR(_xlfn.XLOOKUP($B105,Raw_Data!$A$3:$A$273,Raw_Data!$Q$3:$Q$273),"")</f>
        <v>0</v>
      </c>
      <c r="M105" s="34" t="str">
        <f>IFERROR(_xlfn.XLOOKUP($B105,Raw_Data!$A$3:$A$273,Raw_Data!$R$3:$R$273),"")</f>
        <v>FedEx; FM Capital; Foxconn Technology; Liebenthal Ventures; PassKey Invest</v>
      </c>
      <c r="N105" s="16" cm="1">
        <f t="array" ref="N105">IF(M105="",0,COUNTA(_xlfn._xlws.FILTER(_xlfn.TEXTSPLIT(M105,";"), _xlfn.TEXTSPLIT(M105,";")&lt;&gt;"")))</f>
        <v>5</v>
      </c>
      <c r="O105" s="16" t="str">
        <f t="shared" si="3"/>
        <v>Y</v>
      </c>
      <c r="P105" s="19">
        <f>IFERROR(_xlfn.XLOOKUP($B105,Raw_Data!$A$3:$A$273,Raw_Data!$V$3:$V$273),"")</f>
        <v>0.4</v>
      </c>
      <c r="Q105" s="16" t="str">
        <f t="shared" si="4"/>
        <v>Y</v>
      </c>
      <c r="R105" s="32">
        <f>IFERROR(_xlfn.XLOOKUP($B105,Raw_Data!$A$3:$A$273,Raw_Data!$Y$3:$Y$273),"")</f>
        <v>0.6</v>
      </c>
      <c r="S105" s="4" t="str" cm="1">
        <f t="array" ref="S105">_xlfn.LET(_xlpm.s, Raw_Data!W105,_xlpm.strat, _xlfn._xlws.FILTER(REF_Setup!$B$3:$B$40, REF_Setup!$B$3:$B$40&lt;&gt;""),IF(OR(_xlpm.s="",_xlpm.s=0),"Unclassified",IF(SUM(--ISNUMBER(SEARCH(_xlpm.strat, _xlpm.s)))&gt;0, "Y", "N"))
)</f>
        <v>N</v>
      </c>
      <c r="T105" s="4" t="str" cm="1">
        <f t="array" ref="T105">_xlfn.LET(_xlpm.s,M105,_xlpm.phil, _xlfn._xlws.FILTER(REF_Setup!$D$3:$D$5, REF_Setup!$D$3:$D$5&lt;&gt;""),IF(OR(_xlpm.s="", _xlpm.s=0),"Unclassified",IF(SUM(--ISNUMBER(SEARCH(_xlpm.phil, _xlpm.s)))&gt;0, "Y", "N")))</f>
        <v>N</v>
      </c>
      <c r="U105" s="4" t="str" cm="1">
        <f t="array" ref="U105">IF(M105="", "Unclassified", IF(AND(SUMPRODUCT(--ISNUMBER(SEARCH(REF_Setup!$B$3:$B$40,M105)))&gt;0,SUMPRODUCT(--ISNUMBER(SEARCH(REF_Setup!$F$3:$F$15,M105)))&gt;0),"Mixed",IF(SUMPRODUCT(--ISNUMBER(SEARCH(REF_Setup!$B$3:$B$40,M105)))&gt;0,"Strategic Only",IF(SUMPRODUCT(--ISNUMBER(SEARCH(REF_Setup!$F$3:$F$15,M105)))&gt;0,"VC Only","Unclassified"))))</f>
        <v>VC Only</v>
      </c>
    </row>
    <row r="106" spans="2:21" x14ac:dyDescent="0.35">
      <c r="B106" s="4">
        <f t="shared" si="5"/>
        <v>104</v>
      </c>
      <c r="C106" s="4" t="str">
        <f>IFERROR(_xlfn.XLOOKUP($B106,Raw_Data!$A$3:$A$273,Raw_Data!$B$3:$B$273),"")</f>
        <v>Industrial Sun</v>
      </c>
      <c r="D106" s="4" t="str">
        <f>IFERROR(_xlfn.XLOOKUP($B106,Raw_Data!$A$3:$A$273,Raw_Data!$C$3:$C$273),"")</f>
        <v>Austin, TX</v>
      </c>
      <c r="E106" s="4">
        <f>IFERROR(_xlfn.XLOOKUP($B106,Raw_Data!$A$3:$A$273,Raw_Data!$D$3:$D$273),"")</f>
        <v>2021</v>
      </c>
      <c r="F106" s="4" t="str">
        <f>IFERROR(_xlfn.XLOOKUP($B106,Raw_Data!$A$3:$A$273,Raw_Data!$F$3:$F$273),"")</f>
        <v>Renewables</v>
      </c>
      <c r="G106" s="35">
        <f>IFERROR(_xlfn.XLOOKUP($B106,Raw_Data!$A$3:$A$273,Raw_Data!$J$3:$J$273),"")</f>
        <v>44501</v>
      </c>
      <c r="H106" s="4" t="s">
        <v>75</v>
      </c>
      <c r="I106" s="36">
        <f>IFERROR(_xlfn.XLOOKUP($B106,Raw_Data!$A$3:$A$273,Raw_Data!$I$3:$I$273),"")</f>
        <v>30</v>
      </c>
      <c r="J106" s="36">
        <f>IFERROR(_xlfn.XLOOKUP($B106,Raw_Data!$A$3:$A$273,Raw_Data!$L$3:$L$273),"")</f>
        <v>30</v>
      </c>
      <c r="K106" s="36">
        <f>IFERROR(_xlfn.XLOOKUP($B106,Raw_Data!$A$3:$A$273,Raw_Data!$M$3:$M$273),"")</f>
        <v>0</v>
      </c>
      <c r="L106" s="15">
        <f>IFERROR(_xlfn.XLOOKUP($B106,Raw_Data!$A$3:$A$273,Raw_Data!$Q$3:$Q$273),"")</f>
        <v>0</v>
      </c>
      <c r="M106" s="34" t="str">
        <f>IFERROR(_xlfn.XLOOKUP($B106,Raw_Data!$A$3:$A$273,Raw_Data!$R$3:$R$273),"")</f>
        <v xml:space="preserve">Modern Energy </v>
      </c>
      <c r="N106" s="16" cm="1">
        <f t="array" ref="N106">IF(M106="",0,COUNTA(_xlfn._xlws.FILTER(_xlfn.TEXTSPLIT(M106,";"), _xlfn.TEXTSPLIT(M106,";")&lt;&gt;"")))</f>
        <v>1</v>
      </c>
      <c r="O106" s="16" t="str">
        <f t="shared" si="3"/>
        <v>N</v>
      </c>
      <c r="P106" s="19">
        <f>IFERROR(_xlfn.XLOOKUP($B106,Raw_Data!$A$3:$A$273,Raw_Data!$V$3:$V$273),"")</f>
        <v>0</v>
      </c>
      <c r="Q106" s="16" t="str">
        <f t="shared" si="4"/>
        <v>Y</v>
      </c>
      <c r="R106" s="32">
        <f>IFERROR(_xlfn.XLOOKUP($B106,Raw_Data!$A$3:$A$273,Raw_Data!$Y$3:$Y$273),"")</f>
        <v>1</v>
      </c>
      <c r="S106" s="4" t="str" cm="1">
        <f t="array" ref="S106">_xlfn.LET(_xlpm.s, Raw_Data!W106,_xlpm.strat, _xlfn._xlws.FILTER(REF_Setup!$B$3:$B$40, REF_Setup!$B$3:$B$40&lt;&gt;""),IF(OR(_xlpm.s="",_xlpm.s=0),"Unclassified",IF(SUM(--ISNUMBER(SEARCH(_xlpm.strat, _xlpm.s)))&gt;0, "Y", "N"))
)</f>
        <v>N</v>
      </c>
      <c r="T106" s="4" t="str" cm="1">
        <f t="array" ref="T106">_xlfn.LET(_xlpm.s,M106,_xlpm.phil, _xlfn._xlws.FILTER(REF_Setup!$D$3:$D$5, REF_Setup!$D$3:$D$5&lt;&gt;""),IF(OR(_xlpm.s="", _xlpm.s=0),"Unclassified",IF(SUM(--ISNUMBER(SEARCH(_xlpm.phil, _xlpm.s)))&gt;0, "Y", "N")))</f>
        <v>N</v>
      </c>
      <c r="U106" s="4" t="str" cm="1">
        <f t="array" ref="U106">IF(M106="", "Unclassified", IF(AND(SUMPRODUCT(--ISNUMBER(SEARCH(REF_Setup!$B$3:$B$40,M106)))&gt;0,SUMPRODUCT(--ISNUMBER(SEARCH(REF_Setup!$F$3:$F$15,M106)))&gt;0),"Mixed",IF(SUMPRODUCT(--ISNUMBER(SEARCH(REF_Setup!$B$3:$B$40,M106)))&gt;0,"Strategic Only",IF(SUMPRODUCT(--ISNUMBER(SEARCH(REF_Setup!$F$3:$F$15,M106)))&gt;0,"VC Only","Unclassified"))))</f>
        <v>Unclassified</v>
      </c>
    </row>
    <row r="107" spans="2:21" x14ac:dyDescent="0.35">
      <c r="B107" s="4">
        <f t="shared" si="5"/>
        <v>105</v>
      </c>
      <c r="C107" s="4" t="str">
        <f>IFERROR(_xlfn.XLOOKUP($B107,Raw_Data!$A$3:$A$273,Raw_Data!$B$3:$B$273),"")</f>
        <v>Industrial Sun</v>
      </c>
      <c r="D107" s="4" t="str">
        <f>IFERROR(_xlfn.XLOOKUP($B107,Raw_Data!$A$3:$A$273,Raw_Data!$C$3:$C$273),"")</f>
        <v>Austin, TX</v>
      </c>
      <c r="E107" s="4">
        <f>IFERROR(_xlfn.XLOOKUP($B107,Raw_Data!$A$3:$A$273,Raw_Data!$D$3:$D$273),"")</f>
        <v>2021</v>
      </c>
      <c r="F107" s="4" t="str">
        <f>IFERROR(_xlfn.XLOOKUP($B107,Raw_Data!$A$3:$A$273,Raw_Data!$F$3:$F$273),"")</f>
        <v>Renewables</v>
      </c>
      <c r="G107" s="35">
        <f>IFERROR(_xlfn.XLOOKUP($B107,Raw_Data!$A$3:$A$273,Raw_Data!$J$3:$J$273),"")</f>
        <v>44985</v>
      </c>
      <c r="H107" s="4" t="s">
        <v>75</v>
      </c>
      <c r="I107" s="36">
        <f>IFERROR(_xlfn.XLOOKUP($B107,Raw_Data!$A$3:$A$273,Raw_Data!$I$3:$I$273),"")</f>
        <v>120</v>
      </c>
      <c r="J107" s="36">
        <f>IFERROR(_xlfn.XLOOKUP($B107,Raw_Data!$A$3:$A$273,Raw_Data!$L$3:$L$273),"")</f>
        <v>90</v>
      </c>
      <c r="K107" s="36">
        <f>IFERROR(_xlfn.XLOOKUP($B107,Raw_Data!$A$3:$A$273,Raw_Data!$M$3:$M$273),"")</f>
        <v>0</v>
      </c>
      <c r="L107" s="15">
        <f>IFERROR(_xlfn.XLOOKUP($B107,Raw_Data!$A$3:$A$273,Raw_Data!$Q$3:$Q$273),"")</f>
        <v>0</v>
      </c>
      <c r="M107" s="34" t="str">
        <f>IFERROR(_xlfn.XLOOKUP($B107,Raw_Data!$A$3:$A$273,Raw_Data!$R$3:$R$273),"")</f>
        <v xml:space="preserve">EIG; Modern Energy </v>
      </c>
      <c r="N107" s="16" cm="1">
        <f t="array" ref="N107">IF(M107="",0,COUNTA(_xlfn._xlws.FILTER(_xlfn.TEXTSPLIT(M107,";"), _xlfn.TEXTSPLIT(M107,";")&lt;&gt;"")))</f>
        <v>2</v>
      </c>
      <c r="O107" s="16" t="str">
        <f t="shared" si="3"/>
        <v>Y</v>
      </c>
      <c r="P107" s="19">
        <f>IFERROR(_xlfn.XLOOKUP($B107,Raw_Data!$A$3:$A$273,Raw_Data!$V$3:$V$273),"")</f>
        <v>0.5</v>
      </c>
      <c r="Q107" s="16" t="str">
        <f t="shared" si="4"/>
        <v>Y</v>
      </c>
      <c r="R107" s="32">
        <f>IFERROR(_xlfn.XLOOKUP($B107,Raw_Data!$A$3:$A$273,Raw_Data!$Y$3:$Y$273),"")</f>
        <v>0.5</v>
      </c>
      <c r="S107" s="4" t="str" cm="1">
        <f t="array" ref="S107">_xlfn.LET(_xlpm.s, Raw_Data!W107,_xlpm.strat, _xlfn._xlws.FILTER(REF_Setup!$B$3:$B$40, REF_Setup!$B$3:$B$40&lt;&gt;""),IF(OR(_xlpm.s="",_xlpm.s=0),"Unclassified",IF(SUM(--ISNUMBER(SEARCH(_xlpm.strat, _xlpm.s)))&gt;0, "Y", "N"))
)</f>
        <v>N</v>
      </c>
      <c r="T107" s="4" t="str" cm="1">
        <f t="array" ref="T107">_xlfn.LET(_xlpm.s,M107,_xlpm.phil, _xlfn._xlws.FILTER(REF_Setup!$D$3:$D$5, REF_Setup!$D$3:$D$5&lt;&gt;""),IF(OR(_xlpm.s="", _xlpm.s=0),"Unclassified",IF(SUM(--ISNUMBER(SEARCH(_xlpm.phil, _xlpm.s)))&gt;0, "Y", "N")))</f>
        <v>N</v>
      </c>
      <c r="U107" s="4" t="str" cm="1">
        <f t="array" ref="U107">IF(M107="", "Unclassified", IF(AND(SUMPRODUCT(--ISNUMBER(SEARCH(REF_Setup!$B$3:$B$40,M107)))&gt;0,SUMPRODUCT(--ISNUMBER(SEARCH(REF_Setup!$F$3:$F$15,M107)))&gt;0),"Mixed",IF(SUMPRODUCT(--ISNUMBER(SEARCH(REF_Setup!$B$3:$B$40,M107)))&gt;0,"Strategic Only",IF(SUMPRODUCT(--ISNUMBER(SEARCH(REF_Setup!$F$3:$F$15,M107)))&gt;0,"VC Only","Unclassified"))))</f>
        <v>Unclassified</v>
      </c>
    </row>
    <row r="108" spans="2:21" x14ac:dyDescent="0.35">
      <c r="B108" s="4">
        <f t="shared" si="5"/>
        <v>106</v>
      </c>
      <c r="C108" s="4" t="str">
        <f>IFERROR(_xlfn.XLOOKUP($B108,Raw_Data!$A$3:$A$273,Raw_Data!$B$3:$B$273),"")</f>
        <v>Infinitum</v>
      </c>
      <c r="D108" s="4" t="str">
        <f>IFERROR(_xlfn.XLOOKUP($B108,Raw_Data!$A$3:$A$273,Raw_Data!$C$3:$C$273),"")</f>
        <v>Austin, TX</v>
      </c>
      <c r="E108" s="4">
        <f>IFERROR(_xlfn.XLOOKUP($B108,Raw_Data!$A$3:$A$273,Raw_Data!$D$3:$D$273),"")</f>
        <v>2014</v>
      </c>
      <c r="F108" s="4" t="str">
        <f>IFERROR(_xlfn.XLOOKUP($B108,Raw_Data!$A$3:$A$273,Raw_Data!$F$3:$F$273),"")</f>
        <v>Industrial Decarbonization</v>
      </c>
      <c r="G108" s="35">
        <f>IFERROR(_xlfn.XLOOKUP($B108,Raw_Data!$A$3:$A$273,Raw_Data!$J$3:$J$273),"")</f>
        <v>43472</v>
      </c>
      <c r="H108" s="16" t="s">
        <v>1465</v>
      </c>
      <c r="I108" s="36">
        <f>IFERROR(_xlfn.XLOOKUP($B108,Raw_Data!$A$3:$A$273,Raw_Data!$I$3:$I$273),"")</f>
        <v>2.27</v>
      </c>
      <c r="J108" s="36">
        <f>IFERROR(_xlfn.XLOOKUP($B108,Raw_Data!$A$3:$A$273,Raw_Data!$L$3:$L$273),"")</f>
        <v>1.97</v>
      </c>
      <c r="K108" s="36">
        <f>IFERROR(_xlfn.XLOOKUP($B108,Raw_Data!$A$3:$A$273,Raw_Data!$M$3:$M$273),"")</f>
        <v>7.37</v>
      </c>
      <c r="L108" s="15">
        <f>IFERROR(_xlfn.XLOOKUP($B108,Raw_Data!$A$3:$A$273,Raw_Data!$Q$3:$Q$273),"")</f>
        <v>0</v>
      </c>
      <c r="M108" s="34" t="str">
        <f>IFERROR(_xlfn.XLOOKUP($B108,Raw_Data!$A$3:$A$273,Raw_Data!$R$3:$R$273),"")</f>
        <v xml:space="preserve">Cottonwood Technology Fund </v>
      </c>
      <c r="N108" s="16" cm="1">
        <f t="array" ref="N108">IF(M108="",0,COUNTA(_xlfn._xlws.FILTER(_xlfn.TEXTSPLIT(M108,";"), _xlfn.TEXTSPLIT(M108,";")&lt;&gt;"")))</f>
        <v>1</v>
      </c>
      <c r="O108" s="16" t="str">
        <f t="shared" si="3"/>
        <v>N</v>
      </c>
      <c r="P108" s="19">
        <f>IFERROR(_xlfn.XLOOKUP($B108,Raw_Data!$A$3:$A$273,Raw_Data!$V$3:$V$273),"")</f>
        <v>0</v>
      </c>
      <c r="Q108" s="16" t="str">
        <f t="shared" si="4"/>
        <v>Y</v>
      </c>
      <c r="R108" s="32">
        <f>IFERROR(_xlfn.XLOOKUP($B108,Raw_Data!$A$3:$A$273,Raw_Data!$Y$3:$Y$273),"")</f>
        <v>1</v>
      </c>
      <c r="S108" s="4" t="str" cm="1">
        <f t="array" ref="S108">_xlfn.LET(_xlpm.s, Raw_Data!W108,_xlpm.strat, _xlfn._xlws.FILTER(REF_Setup!$B$3:$B$40, REF_Setup!$B$3:$B$40&lt;&gt;""),IF(OR(_xlpm.s="",_xlpm.s=0),"Unclassified",IF(SUM(--ISNUMBER(SEARCH(_xlpm.strat, _xlpm.s)))&gt;0, "Y", "N"))
)</f>
        <v>N</v>
      </c>
      <c r="T108" s="4" t="str" cm="1">
        <f t="array" ref="T108">_xlfn.LET(_xlpm.s,M108,_xlpm.phil, _xlfn._xlws.FILTER(REF_Setup!$D$3:$D$5, REF_Setup!$D$3:$D$5&lt;&gt;""),IF(OR(_xlpm.s="", _xlpm.s=0),"Unclassified",IF(SUM(--ISNUMBER(SEARCH(_xlpm.phil, _xlpm.s)))&gt;0, "Y", "N")))</f>
        <v>N</v>
      </c>
      <c r="U108" s="4" t="str" cm="1">
        <f t="array" ref="U108">IF(M108="", "Unclassified", IF(AND(SUMPRODUCT(--ISNUMBER(SEARCH(REF_Setup!$B$3:$B$40,M108)))&gt;0,SUMPRODUCT(--ISNUMBER(SEARCH(REF_Setup!$F$3:$F$15,M108)))&gt;0),"Mixed",IF(SUMPRODUCT(--ISNUMBER(SEARCH(REF_Setup!$B$3:$B$40,M108)))&gt;0,"Strategic Only",IF(SUMPRODUCT(--ISNUMBER(SEARCH(REF_Setup!$F$3:$F$15,M108)))&gt;0,"VC Only","Unclassified"))))</f>
        <v>VC Only</v>
      </c>
    </row>
    <row r="109" spans="2:21" ht="43.5" x14ac:dyDescent="0.35">
      <c r="B109" s="4">
        <f t="shared" si="5"/>
        <v>107</v>
      </c>
      <c r="C109" s="4" t="str">
        <f>IFERROR(_xlfn.XLOOKUP($B109,Raw_Data!$A$3:$A$273,Raw_Data!$B$3:$B$273),"")</f>
        <v>INOVUES</v>
      </c>
      <c r="D109" s="4" t="str">
        <f>IFERROR(_xlfn.XLOOKUP($B109,Raw_Data!$A$3:$A$273,Raw_Data!$C$3:$C$273),"")</f>
        <v>Houston, TX</v>
      </c>
      <c r="E109" s="4">
        <f>IFERROR(_xlfn.XLOOKUP($B109,Raw_Data!$A$3:$A$273,Raw_Data!$D$3:$D$273),"")</f>
        <v>2017</v>
      </c>
      <c r="F109" s="4" t="str">
        <f>IFERROR(_xlfn.XLOOKUP($B109,Raw_Data!$A$3:$A$273,Raw_Data!$F$3:$F$273),"")</f>
        <v>Buildings</v>
      </c>
      <c r="G109" s="35">
        <f>IFERROR(_xlfn.XLOOKUP($B109,Raw_Data!$A$3:$A$273,Raw_Data!$J$3:$J$273),"")</f>
        <v>44561</v>
      </c>
      <c r="H109" s="16" t="s">
        <v>1465</v>
      </c>
      <c r="I109" s="36">
        <f>IFERROR(_xlfn.XLOOKUP($B109,Raw_Data!$A$3:$A$273,Raw_Data!$I$3:$I$273),"")</f>
        <v>5.32</v>
      </c>
      <c r="J109" s="36">
        <f>IFERROR(_xlfn.XLOOKUP($B109,Raw_Data!$A$3:$A$273,Raw_Data!$L$3:$L$273),"")</f>
        <v>4.3600000000000003</v>
      </c>
      <c r="K109" s="36">
        <f>IFERROR(_xlfn.XLOOKUP($B109,Raw_Data!$A$3:$A$273,Raw_Data!$M$3:$M$273),"")</f>
        <v>11.36</v>
      </c>
      <c r="L109" s="15">
        <f>IFERROR(_xlfn.XLOOKUP($B109,Raw_Data!$A$3:$A$273,Raw_Data!$Q$3:$Q$273),"")</f>
        <v>0</v>
      </c>
      <c r="M109" s="34" t="str">
        <f>IFERROR(_xlfn.XLOOKUP($B109,Raw_Data!$A$3:$A$273,Raw_Data!$R$3:$R$273),"")</f>
        <v>Central Texas Angel Network; David Palter; E8; FUND4SE; John Paulos; Lateral Capital Group; Momentum Glass; Paulos Holdings; R/GA Ventures; Saint-Gobain NOVA; SIFL; SLA Ventures; Technology Credit Union; VCFuel</v>
      </c>
      <c r="N109" s="16" cm="1">
        <f t="array" ref="N109">IF(M109="",0,COUNTA(_xlfn._xlws.FILTER(_xlfn.TEXTSPLIT(M109,";"), _xlfn.TEXTSPLIT(M109,";")&lt;&gt;"")))</f>
        <v>14</v>
      </c>
      <c r="O109" s="16" t="str">
        <f t="shared" si="3"/>
        <v>Y</v>
      </c>
      <c r="P109" s="19">
        <f>IFERROR(_xlfn.XLOOKUP($B109,Raw_Data!$A$3:$A$273,Raw_Data!$V$3:$V$273),"")</f>
        <v>0.14285714285714285</v>
      </c>
      <c r="Q109" s="16" t="str">
        <f t="shared" si="4"/>
        <v>Y</v>
      </c>
      <c r="R109" s="32">
        <f>IFERROR(_xlfn.XLOOKUP($B109,Raw_Data!$A$3:$A$273,Raw_Data!$Y$3:$Y$273),"")</f>
        <v>0.8571428571428571</v>
      </c>
      <c r="S109" s="4" t="str" cm="1">
        <f t="array" ref="S109">_xlfn.LET(_xlpm.s, Raw_Data!W109,_xlpm.strat, _xlfn._xlws.FILTER(REF_Setup!$B$3:$B$40, REF_Setup!$B$3:$B$40&lt;&gt;""),IF(OR(_xlpm.s="",_xlpm.s=0),"Unclassified",IF(SUM(--ISNUMBER(SEARCH(_xlpm.strat, _xlpm.s)))&gt;0, "Y", "N"))
)</f>
        <v>N</v>
      </c>
      <c r="T109" s="4" t="str" cm="1">
        <f t="array" ref="T109">_xlfn.LET(_xlpm.s,M109,_xlpm.phil, _xlfn._xlws.FILTER(REF_Setup!$D$3:$D$5, REF_Setup!$D$3:$D$5&lt;&gt;""),IF(OR(_xlpm.s="", _xlpm.s=0),"Unclassified",IF(SUM(--ISNUMBER(SEARCH(_xlpm.phil, _xlpm.s)))&gt;0, "Y", "N")))</f>
        <v>N</v>
      </c>
      <c r="U109" s="4" t="str" cm="1">
        <f t="array" ref="U109">IF(M109="", "Unclassified", IF(AND(SUMPRODUCT(--ISNUMBER(SEARCH(REF_Setup!$B$3:$B$40,M109)))&gt;0,SUMPRODUCT(--ISNUMBER(SEARCH(REF_Setup!$F$3:$F$15,M109)))&gt;0),"Mixed",IF(SUMPRODUCT(--ISNUMBER(SEARCH(REF_Setup!$B$3:$B$40,M109)))&gt;0,"Strategic Only",IF(SUMPRODUCT(--ISNUMBER(SEARCH(REF_Setup!$F$3:$F$15,M109)))&gt;0,"VC Only","Unclassified"))))</f>
        <v>Mixed</v>
      </c>
    </row>
    <row r="110" spans="2:21" x14ac:dyDescent="0.35">
      <c r="B110" s="4">
        <f t="shared" si="5"/>
        <v>108</v>
      </c>
      <c r="C110" s="4" t="str">
        <f>IFERROR(_xlfn.XLOOKUP($B110,Raw_Data!$A$3:$A$273,Raw_Data!$B$3:$B$273),"")</f>
        <v>Ion Storage Systems</v>
      </c>
      <c r="D110" s="4" t="str">
        <f>IFERROR(_xlfn.XLOOKUP($B110,Raw_Data!$A$3:$A$273,Raw_Data!$C$3:$C$273),"")</f>
        <v>Beltsville, MD</v>
      </c>
      <c r="E110" s="4">
        <f>IFERROR(_xlfn.XLOOKUP($B110,Raw_Data!$A$3:$A$273,Raw_Data!$D$3:$D$273),"")</f>
        <v>2015</v>
      </c>
      <c r="F110" s="4" t="str">
        <f>IFERROR(_xlfn.XLOOKUP($B110,Raw_Data!$A$3:$A$273,Raw_Data!$F$3:$F$273),"")</f>
        <v>LDES</v>
      </c>
      <c r="G110" s="35">
        <f>IFERROR(_xlfn.XLOOKUP($B110,Raw_Data!$A$3:$A$273,Raw_Data!$J$3:$J$273),"")</f>
        <v>45474</v>
      </c>
      <c r="H110" s="16" t="s">
        <v>1465</v>
      </c>
      <c r="I110" s="36">
        <f>IFERROR(_xlfn.XLOOKUP($B110,Raw_Data!$A$3:$A$273,Raw_Data!$I$3:$I$273),"")</f>
        <v>53</v>
      </c>
      <c r="J110" s="36">
        <f>IFERROR(_xlfn.XLOOKUP($B110,Raw_Data!$A$3:$A$273,Raw_Data!$L$3:$L$273),"")</f>
        <v>15</v>
      </c>
      <c r="K110" s="36">
        <f>IFERROR(_xlfn.XLOOKUP($B110,Raw_Data!$A$3:$A$273,Raw_Data!$M$3:$M$273),"")</f>
        <v>170</v>
      </c>
      <c r="L110" s="15">
        <f>IFERROR(_xlfn.XLOOKUP($B110,Raw_Data!$A$3:$A$273,Raw_Data!$Q$3:$Q$273),"")</f>
        <v>0</v>
      </c>
      <c r="M110" s="34" t="str">
        <f>IFERROR(_xlfn.XLOOKUP($B110,Raw_Data!$A$3:$A$273,Raw_Data!$R$3:$R$273),"")</f>
        <v xml:space="preserve">Alumni Ventures; Saint-Gobain NOVA; TEDCO </v>
      </c>
      <c r="N110" s="16" cm="1">
        <f t="array" ref="N110">IF(M110="",0,COUNTA(_xlfn._xlws.FILTER(_xlfn.TEXTSPLIT(M110,";"), _xlfn.TEXTSPLIT(M110,";")&lt;&gt;"")))</f>
        <v>3</v>
      </c>
      <c r="O110" s="16" t="str">
        <f t="shared" si="3"/>
        <v>Y</v>
      </c>
      <c r="P110" s="19">
        <f>IFERROR(_xlfn.XLOOKUP($B110,Raw_Data!$A$3:$A$273,Raw_Data!$V$3:$V$273),"")</f>
        <v>0.33333333333333331</v>
      </c>
      <c r="Q110" s="16" t="str">
        <f t="shared" si="4"/>
        <v>Y</v>
      </c>
      <c r="R110" s="32">
        <f>IFERROR(_xlfn.XLOOKUP($B110,Raw_Data!$A$3:$A$273,Raw_Data!$Y$3:$Y$273),"")</f>
        <v>0.66666666666666663</v>
      </c>
      <c r="S110" s="4" t="str" cm="1">
        <f t="array" ref="S110">_xlfn.LET(_xlpm.s, Raw_Data!W110,_xlpm.strat, _xlfn._xlws.FILTER(REF_Setup!$B$3:$B$40, REF_Setup!$B$3:$B$40&lt;&gt;""),IF(OR(_xlpm.s="",_xlpm.s=0),"Unclassified",IF(SUM(--ISNUMBER(SEARCH(_xlpm.strat, _xlpm.s)))&gt;0, "Y", "N"))
)</f>
        <v>Y</v>
      </c>
      <c r="T110" s="4" t="str" cm="1">
        <f t="array" ref="T110">_xlfn.LET(_xlpm.s,M110,_xlpm.phil, _xlfn._xlws.FILTER(REF_Setup!$D$3:$D$5, REF_Setup!$D$3:$D$5&lt;&gt;""),IF(OR(_xlpm.s="", _xlpm.s=0),"Unclassified",IF(SUM(--ISNUMBER(SEARCH(_xlpm.phil, _xlpm.s)))&gt;0, "Y", "N")))</f>
        <v>N</v>
      </c>
      <c r="U110" s="4" t="str" cm="1">
        <f t="array" ref="U110">IF(M110="", "Unclassified", IF(AND(SUMPRODUCT(--ISNUMBER(SEARCH(REF_Setup!$B$3:$B$40,M110)))&gt;0,SUMPRODUCT(--ISNUMBER(SEARCH(REF_Setup!$F$3:$F$15,M110)))&gt;0),"Mixed",IF(SUMPRODUCT(--ISNUMBER(SEARCH(REF_Setup!$B$3:$B$40,M110)))&gt;0,"Strategic Only",IF(SUMPRODUCT(--ISNUMBER(SEARCH(REF_Setup!$F$3:$F$15,M110)))&gt;0,"VC Only","Unclassified"))))</f>
        <v>Mixed</v>
      </c>
    </row>
    <row r="111" spans="2:21" x14ac:dyDescent="0.35">
      <c r="B111" s="4">
        <f t="shared" si="5"/>
        <v>109</v>
      </c>
      <c r="C111" s="4" t="str">
        <f>IFERROR(_xlfn.XLOOKUP($B111,Raw_Data!$A$3:$A$273,Raw_Data!$B$3:$B$273),"")</f>
        <v>iwi life</v>
      </c>
      <c r="D111" s="4" t="str">
        <f>IFERROR(_xlfn.XLOOKUP($B111,Raw_Data!$A$3:$A$273,Raw_Data!$C$3:$C$273),"")</f>
        <v>Houston, TX</v>
      </c>
      <c r="E111" s="4">
        <f>IFERROR(_xlfn.XLOOKUP($B111,Raw_Data!$A$3:$A$273,Raw_Data!$D$3:$D$273),"")</f>
        <v>2011</v>
      </c>
      <c r="F111" s="4" t="str">
        <f>IFERROR(_xlfn.XLOOKUP($B111,Raw_Data!$A$3:$A$273,Raw_Data!$F$3:$F$273),"")</f>
        <v>Food &amp; Ag</v>
      </c>
      <c r="G111" s="35">
        <f>IFERROR(_xlfn.XLOOKUP($B111,Raw_Data!$A$3:$A$273,Raw_Data!$J$3:$J$273),"")</f>
        <v>44547</v>
      </c>
      <c r="H111" s="4" t="s">
        <v>75</v>
      </c>
      <c r="I111" s="36">
        <f>IFERROR(_xlfn.XLOOKUP($B111,Raw_Data!$A$3:$A$273,Raw_Data!$I$3:$I$273),"")</f>
        <v>27.3</v>
      </c>
      <c r="J111" s="36">
        <f>IFERROR(_xlfn.XLOOKUP($B111,Raw_Data!$A$3:$A$273,Raw_Data!$L$3:$L$273),"")</f>
        <v>8</v>
      </c>
      <c r="K111" s="36">
        <f>IFERROR(_xlfn.XLOOKUP($B111,Raw_Data!$A$3:$A$273,Raw_Data!$M$3:$M$273),"")</f>
        <v>0</v>
      </c>
      <c r="L111" s="15">
        <f>IFERROR(_xlfn.XLOOKUP($B111,Raw_Data!$A$3:$A$273,Raw_Data!$Q$3:$Q$273),"")</f>
        <v>0.6875</v>
      </c>
      <c r="M111" s="34" t="str">
        <f>IFERROR(_xlfn.XLOOKUP($B111,Raw_Data!$A$3:$A$273,Raw_Data!$R$3:$R$273),"")</f>
        <v xml:space="preserve">Genesis Park </v>
      </c>
      <c r="N111" s="16" cm="1">
        <f t="array" ref="N111">IF(M111="",0,COUNTA(_xlfn._xlws.FILTER(_xlfn.TEXTSPLIT(M111,";"), _xlfn.TEXTSPLIT(M111,";")&lt;&gt;"")))</f>
        <v>1</v>
      </c>
      <c r="O111" s="16" t="str">
        <f t="shared" si="3"/>
        <v>N</v>
      </c>
      <c r="P111" s="19">
        <f>IFERROR(_xlfn.XLOOKUP($B111,Raw_Data!$A$3:$A$273,Raw_Data!$V$3:$V$273),"")</f>
        <v>0</v>
      </c>
      <c r="Q111" s="16" t="str">
        <f t="shared" si="4"/>
        <v>Y</v>
      </c>
      <c r="R111" s="32">
        <f>IFERROR(_xlfn.XLOOKUP($B111,Raw_Data!$A$3:$A$273,Raw_Data!$Y$3:$Y$273),"")</f>
        <v>1</v>
      </c>
      <c r="S111" s="4" t="str" cm="1">
        <f t="array" ref="S111">_xlfn.LET(_xlpm.s, Raw_Data!W111,_xlpm.strat, _xlfn._xlws.FILTER(REF_Setup!$B$3:$B$40, REF_Setup!$B$3:$B$40&lt;&gt;""),IF(OR(_xlpm.s="",_xlpm.s=0),"Unclassified",IF(SUM(--ISNUMBER(SEARCH(_xlpm.strat, _xlpm.s)))&gt;0, "Y", "N"))
)</f>
        <v>N</v>
      </c>
      <c r="T111" s="4" t="str" cm="1">
        <f t="array" ref="T111">_xlfn.LET(_xlpm.s,M111,_xlpm.phil, _xlfn._xlws.FILTER(REF_Setup!$D$3:$D$5, REF_Setup!$D$3:$D$5&lt;&gt;""),IF(OR(_xlpm.s="", _xlpm.s=0),"Unclassified",IF(SUM(--ISNUMBER(SEARCH(_xlpm.phil, _xlpm.s)))&gt;0, "Y", "N")))</f>
        <v>N</v>
      </c>
      <c r="U111" s="4" t="str" cm="1">
        <f t="array" ref="U111">IF(M111="", "Unclassified", IF(AND(SUMPRODUCT(--ISNUMBER(SEARCH(REF_Setup!$B$3:$B$40,M111)))&gt;0,SUMPRODUCT(--ISNUMBER(SEARCH(REF_Setup!$F$3:$F$15,M111)))&gt;0),"Mixed",IF(SUMPRODUCT(--ISNUMBER(SEARCH(REF_Setup!$B$3:$B$40,M111)))&gt;0,"Strategic Only",IF(SUMPRODUCT(--ISNUMBER(SEARCH(REF_Setup!$F$3:$F$15,M111)))&gt;0,"VC Only","Unclassified"))))</f>
        <v>Unclassified</v>
      </c>
    </row>
    <row r="112" spans="2:21" x14ac:dyDescent="0.35">
      <c r="B112" s="4">
        <f t="shared" si="5"/>
        <v>110</v>
      </c>
      <c r="C112" s="4" t="str">
        <f>IFERROR(_xlfn.XLOOKUP($B112,Raw_Data!$A$3:$A$273,Raw_Data!$B$3:$B$273),"")</f>
        <v>Joule Case</v>
      </c>
      <c r="D112" s="4" t="str">
        <f>IFERROR(_xlfn.XLOOKUP($B112,Raw_Data!$A$3:$A$273,Raw_Data!$C$3:$C$273),"")</f>
        <v>Seattle, WA</v>
      </c>
      <c r="E112" s="4">
        <f>IFERROR(_xlfn.XLOOKUP($B112,Raw_Data!$A$3:$A$273,Raw_Data!$D$3:$D$273),"")</f>
        <v>2014</v>
      </c>
      <c r="F112" s="4" t="str">
        <f>IFERROR(_xlfn.XLOOKUP($B112,Raw_Data!$A$3:$A$273,Raw_Data!$F$3:$F$273),"")</f>
        <v>Buildings</v>
      </c>
      <c r="G112" s="35">
        <f>IFERROR(_xlfn.XLOOKUP($B112,Raw_Data!$A$3:$A$273,Raw_Data!$J$3:$J$273),"")</f>
        <v>43777</v>
      </c>
      <c r="H112" s="16" t="s">
        <v>1465</v>
      </c>
      <c r="I112" s="36">
        <f>IFERROR(_xlfn.XLOOKUP($B112,Raw_Data!$A$3:$A$273,Raw_Data!$I$3:$I$273),"")</f>
        <v>0.56999999999999995</v>
      </c>
      <c r="J112" s="36">
        <f>IFERROR(_xlfn.XLOOKUP($B112,Raw_Data!$A$3:$A$273,Raw_Data!$L$3:$L$273),"")</f>
        <v>0.56999999999999995</v>
      </c>
      <c r="K112" s="36">
        <f>IFERROR(_xlfn.XLOOKUP($B112,Raw_Data!$A$3:$A$273,Raw_Data!$M$3:$M$273),"")</f>
        <v>9.57</v>
      </c>
      <c r="L112" s="15">
        <f>IFERROR(_xlfn.XLOOKUP($B112,Raw_Data!$A$3:$A$273,Raw_Data!$Q$3:$Q$273),"")</f>
        <v>0</v>
      </c>
      <c r="M112" s="34" t="str">
        <f>IFERROR(_xlfn.XLOOKUP($B112,Raw_Data!$A$3:$A$273,Raw_Data!$R$3:$R$273),"")</f>
        <v>E8; Keiretsu Capital</v>
      </c>
      <c r="N112" s="16" cm="1">
        <f t="array" ref="N112">IF(M112="",0,COUNTA(_xlfn._xlws.FILTER(_xlfn.TEXTSPLIT(M112,";"), _xlfn.TEXTSPLIT(M112,";")&lt;&gt;"")))</f>
        <v>2</v>
      </c>
      <c r="O112" s="16" t="str">
        <f t="shared" si="3"/>
        <v>N</v>
      </c>
      <c r="P112" s="19">
        <f>IFERROR(_xlfn.XLOOKUP($B112,Raw_Data!$A$3:$A$273,Raw_Data!$V$3:$V$273),"")</f>
        <v>0</v>
      </c>
      <c r="Q112" s="16" t="str">
        <f t="shared" si="4"/>
        <v>Y</v>
      </c>
      <c r="R112" s="32">
        <f>IFERROR(_xlfn.XLOOKUP($B112,Raw_Data!$A$3:$A$273,Raw_Data!$Y$3:$Y$273),"")</f>
        <v>1</v>
      </c>
      <c r="S112" s="4" t="str" cm="1">
        <f t="array" ref="S112">_xlfn.LET(_xlpm.s, Raw_Data!W112,_xlpm.strat, _xlfn._xlws.FILTER(REF_Setup!$B$3:$B$40, REF_Setup!$B$3:$B$40&lt;&gt;""),IF(OR(_xlpm.s="",_xlpm.s=0),"Unclassified",IF(SUM(--ISNUMBER(SEARCH(_xlpm.strat, _xlpm.s)))&gt;0, "Y", "N"))
)</f>
        <v>N</v>
      </c>
      <c r="T112" s="4" t="str" cm="1">
        <f t="array" ref="T112">_xlfn.LET(_xlpm.s,M112,_xlpm.phil, _xlfn._xlws.FILTER(REF_Setup!$D$3:$D$5, REF_Setup!$D$3:$D$5&lt;&gt;""),IF(OR(_xlpm.s="", _xlpm.s=0),"Unclassified",IF(SUM(--ISNUMBER(SEARCH(_xlpm.phil, _xlpm.s)))&gt;0, "Y", "N")))</f>
        <v>N</v>
      </c>
      <c r="U112" s="4" t="str" cm="1">
        <f t="array" ref="U112">IF(M112="", "Unclassified", IF(AND(SUMPRODUCT(--ISNUMBER(SEARCH(REF_Setup!$B$3:$B$40,M112)))&gt;0,SUMPRODUCT(--ISNUMBER(SEARCH(REF_Setup!$F$3:$F$15,M112)))&gt;0),"Mixed",IF(SUMPRODUCT(--ISNUMBER(SEARCH(REF_Setup!$B$3:$B$40,M112)))&gt;0,"Strategic Only",IF(SUMPRODUCT(--ISNUMBER(SEARCH(REF_Setup!$F$3:$F$15,M112)))&gt;0,"VC Only","Unclassified"))))</f>
        <v>VC Only</v>
      </c>
    </row>
    <row r="113" spans="2:21" x14ac:dyDescent="0.35">
      <c r="B113" s="4">
        <f t="shared" si="5"/>
        <v>111</v>
      </c>
      <c r="C113" s="4" t="str">
        <f>IFERROR(_xlfn.XLOOKUP($B113,Raw_Data!$A$3:$A$273,Raw_Data!$B$3:$B$273),"")</f>
        <v>Kaizen Clean Energy</v>
      </c>
      <c r="D113" s="4" t="str">
        <f>IFERROR(_xlfn.XLOOKUP($B113,Raw_Data!$A$3:$A$273,Raw_Data!$C$3:$C$273),"")</f>
        <v>Tomball, TX</v>
      </c>
      <c r="E113" s="4">
        <f>IFERROR(_xlfn.XLOOKUP($B113,Raw_Data!$A$3:$A$273,Raw_Data!$D$3:$D$273),"")</f>
        <v>2021</v>
      </c>
      <c r="F113" s="4" t="str">
        <f>IFERROR(_xlfn.XLOOKUP($B113,Raw_Data!$A$3:$A$273,Raw_Data!$F$3:$F$273),"")</f>
        <v>Hydrogen</v>
      </c>
      <c r="G113" s="35">
        <f>IFERROR(_xlfn.XLOOKUP($B113,Raw_Data!$A$3:$A$273,Raw_Data!$J$3:$J$273),"")</f>
        <v>45113</v>
      </c>
      <c r="H113" s="4" t="s">
        <v>75</v>
      </c>
      <c r="I113" s="36">
        <f>IFERROR(_xlfn.XLOOKUP($B113,Raw_Data!$A$3:$A$273,Raw_Data!$I$3:$I$273),"")</f>
        <v>3</v>
      </c>
      <c r="J113" s="36">
        <f>IFERROR(_xlfn.XLOOKUP($B113,Raw_Data!$A$3:$A$273,Raw_Data!$L$3:$L$273),"")</f>
        <v>3</v>
      </c>
      <c r="K113" s="36">
        <f>IFERROR(_xlfn.XLOOKUP($B113,Raw_Data!$A$3:$A$273,Raw_Data!$M$3:$M$273),"")</f>
        <v>0</v>
      </c>
      <c r="L113" s="15">
        <f>IFERROR(_xlfn.XLOOKUP($B113,Raw_Data!$A$3:$A$273,Raw_Data!$Q$3:$Q$273),"")</f>
        <v>0</v>
      </c>
      <c r="M113" s="34" t="str">
        <f>IFERROR(_xlfn.XLOOKUP($B113,Raw_Data!$A$3:$A$273,Raw_Data!$R$3:$R$273),"")</f>
        <v>Balcor Commercial</v>
      </c>
      <c r="N113" s="16" cm="1">
        <f t="array" ref="N113">IF(M113="",0,COUNTA(_xlfn._xlws.FILTER(_xlfn.TEXTSPLIT(M113,";"), _xlfn.TEXTSPLIT(M113,";")&lt;&gt;"")))</f>
        <v>1</v>
      </c>
      <c r="O113" s="16" t="str">
        <f t="shared" si="3"/>
        <v>N</v>
      </c>
      <c r="P113" s="19">
        <f>IFERROR(_xlfn.XLOOKUP($B113,Raw_Data!$A$3:$A$273,Raw_Data!$V$3:$V$273),"")</f>
        <v>0</v>
      </c>
      <c r="Q113" s="16" t="str">
        <f t="shared" si="4"/>
        <v>Y</v>
      </c>
      <c r="R113" s="32">
        <f>IFERROR(_xlfn.XLOOKUP($B113,Raw_Data!$A$3:$A$273,Raw_Data!$Y$3:$Y$273),"")</f>
        <v>1</v>
      </c>
      <c r="S113" s="4" t="str" cm="1">
        <f t="array" ref="S113">_xlfn.LET(_xlpm.s, Raw_Data!W113,_xlpm.strat, _xlfn._xlws.FILTER(REF_Setup!$B$3:$B$40, REF_Setup!$B$3:$B$40&lt;&gt;""),IF(OR(_xlpm.s="",_xlpm.s=0),"Unclassified",IF(SUM(--ISNUMBER(SEARCH(_xlpm.strat, _xlpm.s)))&gt;0, "Y", "N"))
)</f>
        <v>N</v>
      </c>
      <c r="T113" s="4" t="str" cm="1">
        <f t="array" ref="T113">_xlfn.LET(_xlpm.s,M113,_xlpm.phil, _xlfn._xlws.FILTER(REF_Setup!$D$3:$D$5, REF_Setup!$D$3:$D$5&lt;&gt;""),IF(OR(_xlpm.s="", _xlpm.s=0),"Unclassified",IF(SUM(--ISNUMBER(SEARCH(_xlpm.phil, _xlpm.s)))&gt;0, "Y", "N")))</f>
        <v>N</v>
      </c>
      <c r="U113" s="4" t="str" cm="1">
        <f t="array" ref="U113">IF(M113="", "Unclassified", IF(AND(SUMPRODUCT(--ISNUMBER(SEARCH(REF_Setup!$B$3:$B$40,M113)))&gt;0,SUMPRODUCT(--ISNUMBER(SEARCH(REF_Setup!$F$3:$F$15,M113)))&gt;0),"Mixed",IF(SUMPRODUCT(--ISNUMBER(SEARCH(REF_Setup!$B$3:$B$40,M113)))&gt;0,"Strategic Only",IF(SUMPRODUCT(--ISNUMBER(SEARCH(REF_Setup!$F$3:$F$15,M113)))&gt;0,"VC Only","Unclassified"))))</f>
        <v>Unclassified</v>
      </c>
    </row>
    <row r="114" spans="2:21" x14ac:dyDescent="0.35">
      <c r="B114" s="4">
        <f t="shared" si="5"/>
        <v>112</v>
      </c>
      <c r="C114" s="4" t="str">
        <f>IFERROR(_xlfn.XLOOKUP($B114,Raw_Data!$A$3:$A$273,Raw_Data!$B$3:$B$273),"")</f>
        <v>Kaizen Clean Energy</v>
      </c>
      <c r="D114" s="4" t="str">
        <f>IFERROR(_xlfn.XLOOKUP($B114,Raw_Data!$A$3:$A$273,Raw_Data!$C$3:$C$273),"")</f>
        <v>Tomball, TX</v>
      </c>
      <c r="E114" s="4">
        <f>IFERROR(_xlfn.XLOOKUP($B114,Raw_Data!$A$3:$A$273,Raw_Data!$D$3:$D$273),"")</f>
        <v>2021</v>
      </c>
      <c r="F114" s="4" t="str">
        <f>IFERROR(_xlfn.XLOOKUP($B114,Raw_Data!$A$3:$A$273,Raw_Data!$F$3:$F$273),"")</f>
        <v>Hydrogen</v>
      </c>
      <c r="G114" s="35">
        <f>IFERROR(_xlfn.XLOOKUP($B114,Raw_Data!$A$3:$A$273,Raw_Data!$J$3:$J$273),"")</f>
        <v>45288</v>
      </c>
      <c r="H114" s="4" t="s">
        <v>75</v>
      </c>
      <c r="I114" s="36">
        <f>IFERROR(_xlfn.XLOOKUP($B114,Raw_Data!$A$3:$A$273,Raw_Data!$I$3:$I$273),"")</f>
        <v>6</v>
      </c>
      <c r="J114" s="36">
        <f>IFERROR(_xlfn.XLOOKUP($B114,Raw_Data!$A$3:$A$273,Raw_Data!$L$3:$L$273),"")</f>
        <v>3</v>
      </c>
      <c r="K114" s="36">
        <f>IFERROR(_xlfn.XLOOKUP($B114,Raw_Data!$A$3:$A$273,Raw_Data!$M$3:$M$273),"")</f>
        <v>0</v>
      </c>
      <c r="L114" s="15">
        <f>IFERROR(_xlfn.XLOOKUP($B114,Raw_Data!$A$3:$A$273,Raw_Data!$Q$3:$Q$273),"")</f>
        <v>0</v>
      </c>
      <c r="M114" s="34" t="str">
        <f>IFERROR(_xlfn.XLOOKUP($B114,Raw_Data!$A$3:$A$273,Raw_Data!$R$3:$R$273),"")</f>
        <v>Hasatano Capital</v>
      </c>
      <c r="N114" s="16" cm="1">
        <f t="array" ref="N114">IF(M114="",0,COUNTA(_xlfn._xlws.FILTER(_xlfn.TEXTSPLIT(M114,";"), _xlfn.TEXTSPLIT(M114,";")&lt;&gt;"")))</f>
        <v>1</v>
      </c>
      <c r="O114" s="16" t="str">
        <f t="shared" si="3"/>
        <v>N</v>
      </c>
      <c r="P114" s="19">
        <f>IFERROR(_xlfn.XLOOKUP($B114,Raw_Data!$A$3:$A$273,Raw_Data!$V$3:$V$273),"")</f>
        <v>0</v>
      </c>
      <c r="Q114" s="16" t="str">
        <f t="shared" si="4"/>
        <v>Y</v>
      </c>
      <c r="R114" s="32">
        <f>IFERROR(_xlfn.XLOOKUP($B114,Raw_Data!$A$3:$A$273,Raw_Data!$Y$3:$Y$273),"")</f>
        <v>1</v>
      </c>
      <c r="S114" s="4" t="str" cm="1">
        <f t="array" ref="S114">_xlfn.LET(_xlpm.s, Raw_Data!W114,_xlpm.strat, _xlfn._xlws.FILTER(REF_Setup!$B$3:$B$40, REF_Setup!$B$3:$B$40&lt;&gt;""),IF(OR(_xlpm.s="",_xlpm.s=0),"Unclassified",IF(SUM(--ISNUMBER(SEARCH(_xlpm.strat, _xlpm.s)))&gt;0, "Y", "N"))
)</f>
        <v>N</v>
      </c>
      <c r="T114" s="4" t="str" cm="1">
        <f t="array" ref="T114">_xlfn.LET(_xlpm.s,M114,_xlpm.phil, _xlfn._xlws.FILTER(REF_Setup!$D$3:$D$5, REF_Setup!$D$3:$D$5&lt;&gt;""),IF(OR(_xlpm.s="", _xlpm.s=0),"Unclassified",IF(SUM(--ISNUMBER(SEARCH(_xlpm.phil, _xlpm.s)))&gt;0, "Y", "N")))</f>
        <v>N</v>
      </c>
      <c r="U114" s="4" t="str" cm="1">
        <f t="array" ref="U114">IF(M114="", "Unclassified", IF(AND(SUMPRODUCT(--ISNUMBER(SEARCH(REF_Setup!$B$3:$B$40,M114)))&gt;0,SUMPRODUCT(--ISNUMBER(SEARCH(REF_Setup!$F$3:$F$15,M114)))&gt;0),"Mixed",IF(SUMPRODUCT(--ISNUMBER(SEARCH(REF_Setup!$B$3:$B$40,M114)))&gt;0,"Strategic Only",IF(SUMPRODUCT(--ISNUMBER(SEARCH(REF_Setup!$F$3:$F$15,M114)))&gt;0,"VC Only","Unclassified"))))</f>
        <v>VC Only</v>
      </c>
    </row>
    <row r="115" spans="2:21" x14ac:dyDescent="0.35">
      <c r="B115" s="4">
        <f t="shared" si="5"/>
        <v>113</v>
      </c>
      <c r="C115" s="4" t="str">
        <f>IFERROR(_xlfn.XLOOKUP($B115,Raw_Data!$A$3:$A$273,Raw_Data!$B$3:$B$273),"")</f>
        <v>Kaizen Clean Energy</v>
      </c>
      <c r="D115" s="4" t="str">
        <f>IFERROR(_xlfn.XLOOKUP($B115,Raw_Data!$A$3:$A$273,Raw_Data!$C$3:$C$273),"")</f>
        <v>Tomball, TX</v>
      </c>
      <c r="E115" s="4">
        <f>IFERROR(_xlfn.XLOOKUP($B115,Raw_Data!$A$3:$A$273,Raw_Data!$D$3:$D$273),"")</f>
        <v>2021</v>
      </c>
      <c r="F115" s="4" t="str">
        <f>IFERROR(_xlfn.XLOOKUP($B115,Raw_Data!$A$3:$A$273,Raw_Data!$F$3:$F$273),"")</f>
        <v>Hydrogen</v>
      </c>
      <c r="G115" s="35">
        <f>IFERROR(_xlfn.XLOOKUP($B115,Raw_Data!$A$3:$A$273,Raw_Data!$J$3:$J$273),"")</f>
        <v>45597</v>
      </c>
      <c r="H115" s="4" t="s">
        <v>75</v>
      </c>
      <c r="I115" s="36">
        <f>IFERROR(_xlfn.XLOOKUP($B115,Raw_Data!$A$3:$A$273,Raw_Data!$I$3:$I$273),"")</f>
        <v>6.91</v>
      </c>
      <c r="J115" s="36">
        <f>IFERROR(_xlfn.XLOOKUP($B115,Raw_Data!$A$3:$A$273,Raw_Data!$L$3:$L$273),"")</f>
        <v>0.91</v>
      </c>
      <c r="K115" s="36">
        <f>IFERROR(_xlfn.XLOOKUP($B115,Raw_Data!$A$3:$A$273,Raw_Data!$M$3:$M$273),"")</f>
        <v>0</v>
      </c>
      <c r="L115" s="15">
        <f>IFERROR(_xlfn.XLOOKUP($B115,Raw_Data!$A$3:$A$273,Raw_Data!$Q$3:$Q$273),"")</f>
        <v>0</v>
      </c>
      <c r="M115" s="34"/>
      <c r="N115" s="16" cm="1">
        <f t="array" ref="N115">IF(M115="",0,COUNTA(_xlfn._xlws.FILTER(_xlfn.TEXTSPLIT(M115,";"), _xlfn.TEXTSPLIT(M115,";")&lt;&gt;"")))</f>
        <v>0</v>
      </c>
      <c r="O115" s="16" t="str">
        <f t="shared" si="3"/>
        <v>Y</v>
      </c>
      <c r="P115" s="19" t="str">
        <f>IFERROR(_xlfn.XLOOKUP($B115,Raw_Data!$A$3:$A$273,Raw_Data!$V$3:$V$273),"")</f>
        <v>N/A</v>
      </c>
      <c r="Q115" s="16" t="str">
        <f t="shared" si="4"/>
        <v>Y</v>
      </c>
      <c r="R115" s="32" t="str">
        <f>IFERROR(_xlfn.XLOOKUP($B115,Raw_Data!$A$3:$A$273,Raw_Data!$Y$3:$Y$273),"")</f>
        <v>N/A</v>
      </c>
      <c r="S115" s="4" t="str" cm="1">
        <f t="array" ref="S115">_xlfn.LET(_xlpm.s, Raw_Data!W115,_xlpm.strat, _xlfn._xlws.FILTER(REF_Setup!$B$3:$B$40, REF_Setup!$B$3:$B$40&lt;&gt;""),IF(OR(_xlpm.s="",_xlpm.s=0),"Unclassified",IF(SUM(--ISNUMBER(SEARCH(_xlpm.strat, _xlpm.s)))&gt;0, "Y", "N"))
)</f>
        <v>Unclassified</v>
      </c>
      <c r="T115" s="4" t="str" cm="1">
        <f t="array" ref="T115">_xlfn.LET(_xlpm.s,M115,_xlpm.phil, _xlfn._xlws.FILTER(REF_Setup!$D$3:$D$5, REF_Setup!$D$3:$D$5&lt;&gt;""),IF(OR(_xlpm.s="", _xlpm.s=0),"Unclassified",IF(SUM(--ISNUMBER(SEARCH(_xlpm.phil, _xlpm.s)))&gt;0, "Y", "N")))</f>
        <v>Unclassified</v>
      </c>
      <c r="U115" s="4" t="str" cm="1">
        <f t="array" ref="U115">IF(M115="", "Unclassified", IF(AND(SUMPRODUCT(--ISNUMBER(SEARCH(REF_Setup!$B$3:$B$40,M115)))&gt;0,SUMPRODUCT(--ISNUMBER(SEARCH(REF_Setup!$F$3:$F$15,M115)))&gt;0),"Mixed",IF(SUMPRODUCT(--ISNUMBER(SEARCH(REF_Setup!$B$3:$B$40,M115)))&gt;0,"Strategic Only",IF(SUMPRODUCT(--ISNUMBER(SEARCH(REF_Setup!$F$3:$F$15,M115)))&gt;0,"VC Only","Unclassified"))))</f>
        <v>Unclassified</v>
      </c>
    </row>
    <row r="116" spans="2:21" x14ac:dyDescent="0.35">
      <c r="B116" s="4">
        <f t="shared" si="5"/>
        <v>114</v>
      </c>
      <c r="C116" s="4" t="str">
        <f>IFERROR(_xlfn.XLOOKUP($B116,Raw_Data!$A$3:$A$273,Raw_Data!$B$3:$B$273),"")</f>
        <v>Keel.Labs</v>
      </c>
      <c r="D116" s="4" t="str">
        <f>IFERROR(_xlfn.XLOOKUP($B116,Raw_Data!$A$3:$A$273,Raw_Data!$C$3:$C$273),"")</f>
        <v>Morrisville, NC</v>
      </c>
      <c r="E116" s="4">
        <f>IFERROR(_xlfn.XLOOKUP($B116,Raw_Data!$A$3:$A$273,Raw_Data!$D$3:$D$273),"")</f>
        <v>2017</v>
      </c>
      <c r="F116" s="4" t="str">
        <f>IFERROR(_xlfn.XLOOKUP($B116,Raw_Data!$A$3:$A$273,Raw_Data!$F$3:$F$273),"")</f>
        <v>Industrial Decarbonization</v>
      </c>
      <c r="G116" s="35">
        <f>IFERROR(_xlfn.XLOOKUP($B116,Raw_Data!$A$3:$A$273,Raw_Data!$J$3:$J$273),"")</f>
        <v>44365</v>
      </c>
      <c r="H116" s="16" t="s">
        <v>1469</v>
      </c>
      <c r="I116" s="36">
        <f>IFERROR(_xlfn.XLOOKUP($B116,Raw_Data!$A$3:$A$273,Raw_Data!$I$3:$I$273),"")</f>
        <v>2.2999999999999998</v>
      </c>
      <c r="J116" s="36">
        <f>IFERROR(_xlfn.XLOOKUP($B116,Raw_Data!$A$3:$A$273,Raw_Data!$L$3:$L$273),"")</f>
        <v>0</v>
      </c>
      <c r="K116" s="36">
        <f>IFERROR(_xlfn.XLOOKUP($B116,Raw_Data!$A$3:$A$273,Raw_Data!$M$3:$M$273),"")</f>
        <v>0</v>
      </c>
      <c r="L116" s="15" t="str">
        <f>IFERROR(_xlfn.XLOOKUP($B116,Raw_Data!$A$3:$A$273,Raw_Data!$Q$3:$Q$273),"")</f>
        <v>N/A</v>
      </c>
      <c r="M116" s="34" t="str">
        <f>IFERROR(_xlfn.XLOOKUP($B116,Raw_Data!$A$3:$A$273,Raw_Data!$R$3:$R$273),"")</f>
        <v xml:space="preserve">Impact Assets </v>
      </c>
      <c r="N116" s="16" cm="1">
        <f t="array" ref="N116">IF(M116="",0,COUNTA(_xlfn._xlws.FILTER(_xlfn.TEXTSPLIT(M116,";"), _xlfn.TEXTSPLIT(M116,";")&lt;&gt;"")))</f>
        <v>1</v>
      </c>
      <c r="O116" s="16" t="str">
        <f t="shared" si="3"/>
        <v>N</v>
      </c>
      <c r="P116" s="19">
        <f>IFERROR(_xlfn.XLOOKUP($B116,Raw_Data!$A$3:$A$273,Raw_Data!$V$3:$V$273),"")</f>
        <v>0</v>
      </c>
      <c r="Q116" s="16" t="str">
        <f t="shared" si="4"/>
        <v>Y</v>
      </c>
      <c r="R116" s="32">
        <f>IFERROR(_xlfn.XLOOKUP($B116,Raw_Data!$A$3:$A$273,Raw_Data!$Y$3:$Y$273),"")</f>
        <v>1</v>
      </c>
      <c r="S116" s="4" t="str" cm="1">
        <f t="array" ref="S116">_xlfn.LET(_xlpm.s, Raw_Data!W116,_xlpm.strat, _xlfn._xlws.FILTER(REF_Setup!$B$3:$B$40, REF_Setup!$B$3:$B$40&lt;&gt;""),IF(OR(_xlpm.s="",_xlpm.s=0),"Unclassified",IF(SUM(--ISNUMBER(SEARCH(_xlpm.strat, _xlpm.s)))&gt;0, "Y", "N"))
)</f>
        <v>N</v>
      </c>
      <c r="T116" s="4" t="str" cm="1">
        <f t="array" ref="T116">_xlfn.LET(_xlpm.s,M116,_xlpm.phil, _xlfn._xlws.FILTER(REF_Setup!$D$3:$D$5, REF_Setup!$D$3:$D$5&lt;&gt;""),IF(OR(_xlpm.s="", _xlpm.s=0),"Unclassified",IF(SUM(--ISNUMBER(SEARCH(_xlpm.phil, _xlpm.s)))&gt;0, "Y", "N")))</f>
        <v>N</v>
      </c>
      <c r="U116" s="4" t="str" cm="1">
        <f t="array" ref="U116">IF(M116="", "Unclassified", IF(AND(SUMPRODUCT(--ISNUMBER(SEARCH(REF_Setup!$B$3:$B$40,M116)))&gt;0,SUMPRODUCT(--ISNUMBER(SEARCH(REF_Setup!$F$3:$F$15,M116)))&gt;0),"Mixed",IF(SUMPRODUCT(--ISNUMBER(SEARCH(REF_Setup!$B$3:$B$40,M116)))&gt;0,"Strategic Only",IF(SUMPRODUCT(--ISNUMBER(SEARCH(REF_Setup!$F$3:$F$15,M116)))&gt;0,"VC Only","Unclassified"))))</f>
        <v>Unclassified</v>
      </c>
    </row>
    <row r="117" spans="2:21" ht="29" x14ac:dyDescent="0.35">
      <c r="B117" s="4">
        <f t="shared" si="5"/>
        <v>115</v>
      </c>
      <c r="C117" s="4" t="str">
        <f>IFERROR(_xlfn.XLOOKUP($B117,Raw_Data!$A$3:$A$273,Raw_Data!$B$3:$B$273),"")</f>
        <v>Kite Hill</v>
      </c>
      <c r="D117" s="4" t="str">
        <f>IFERROR(_xlfn.XLOOKUP($B117,Raw_Data!$A$3:$A$273,Raw_Data!$C$3:$C$273),"")</f>
        <v>Hayward, CA</v>
      </c>
      <c r="E117" s="4">
        <f>IFERROR(_xlfn.XLOOKUP($B117,Raw_Data!$A$3:$A$273,Raw_Data!$D$3:$D$273),"")</f>
        <v>2010</v>
      </c>
      <c r="F117" s="4" t="str">
        <f>IFERROR(_xlfn.XLOOKUP($B117,Raw_Data!$A$3:$A$273,Raw_Data!$F$3:$F$273),"")</f>
        <v>Food &amp; Ag</v>
      </c>
      <c r="G117" s="35">
        <f>IFERROR(_xlfn.XLOOKUP($B117,Raw_Data!$A$3:$A$273,Raw_Data!$J$3:$J$273),"")</f>
        <v>42412</v>
      </c>
      <c r="H117" s="16" t="s">
        <v>1467</v>
      </c>
      <c r="I117" s="36">
        <f>IFERROR(_xlfn.XLOOKUP($B117,Raw_Data!$A$3:$A$273,Raw_Data!$I$3:$I$273),"")</f>
        <v>34.659999999999997</v>
      </c>
      <c r="J117" s="36">
        <f>IFERROR(_xlfn.XLOOKUP($B117,Raw_Data!$A$3:$A$273,Raw_Data!$L$3:$L$273),"")</f>
        <v>17.809999999999999</v>
      </c>
      <c r="K117" s="36">
        <f>IFERROR(_xlfn.XLOOKUP($B117,Raw_Data!$A$3:$A$273,Raw_Data!$M$3:$M$273),"")</f>
        <v>62.81</v>
      </c>
      <c r="L117" s="15">
        <f>IFERROR(_xlfn.XLOOKUP($B117,Raw_Data!$A$3:$A$273,Raw_Data!$Q$3:$Q$273),"")</f>
        <v>0</v>
      </c>
      <c r="M117" s="34" t="str">
        <f>IFERROR(_xlfn.XLOOKUP($B117,Raw_Data!$A$3:$A$273,Raw_Data!$R$3:$R$273),"")</f>
        <v>301; CAVU Consumer Partners; General Mills M13; Stray Dog Capital; Unovis Asset Management</v>
      </c>
      <c r="N117" s="16" cm="1">
        <f t="array" ref="N117">IF(M117="",0,COUNTA(_xlfn._xlws.FILTER(_xlfn.TEXTSPLIT(M117,";"), _xlfn.TEXTSPLIT(M117,";")&lt;&gt;"")))</f>
        <v>5</v>
      </c>
      <c r="O117" s="16" t="str">
        <f t="shared" si="3"/>
        <v>Y</v>
      </c>
      <c r="P117" s="19">
        <f>IFERROR(_xlfn.XLOOKUP($B117,Raw_Data!$A$3:$A$273,Raw_Data!$V$3:$V$273),"")</f>
        <v>0.2</v>
      </c>
      <c r="Q117" s="16" t="str">
        <f t="shared" si="4"/>
        <v>Y</v>
      </c>
      <c r="R117" s="32">
        <f>IFERROR(_xlfn.XLOOKUP($B117,Raw_Data!$A$3:$A$273,Raw_Data!$Y$3:$Y$273),"")</f>
        <v>0.8</v>
      </c>
      <c r="S117" s="4" t="str" cm="1">
        <f t="array" ref="S117">_xlfn.LET(_xlpm.s, Raw_Data!W117,_xlpm.strat, _xlfn._xlws.FILTER(REF_Setup!$B$3:$B$40, REF_Setup!$B$3:$B$40&lt;&gt;""),IF(OR(_xlpm.s="",_xlpm.s=0),"Unclassified",IF(SUM(--ISNUMBER(SEARCH(_xlpm.strat, _xlpm.s)))&gt;0, "Y", "N"))
)</f>
        <v>N</v>
      </c>
      <c r="T117" s="4" t="str" cm="1">
        <f t="array" ref="T117">_xlfn.LET(_xlpm.s,M117,_xlpm.phil, _xlfn._xlws.FILTER(REF_Setup!$D$3:$D$5, REF_Setup!$D$3:$D$5&lt;&gt;""),IF(OR(_xlpm.s="", _xlpm.s=0),"Unclassified",IF(SUM(--ISNUMBER(SEARCH(_xlpm.phil, _xlpm.s)))&gt;0, "Y", "N")))</f>
        <v>N</v>
      </c>
      <c r="U117" s="4" t="str" cm="1">
        <f t="array" ref="U117">IF(M117="", "Unclassified", IF(AND(SUMPRODUCT(--ISNUMBER(SEARCH(REF_Setup!$B$3:$B$40,M117)))&gt;0,SUMPRODUCT(--ISNUMBER(SEARCH(REF_Setup!$F$3:$F$15,M117)))&gt;0),"Mixed",IF(SUMPRODUCT(--ISNUMBER(SEARCH(REF_Setup!$B$3:$B$40,M117)))&gt;0,"Strategic Only",IF(SUMPRODUCT(--ISNUMBER(SEARCH(REF_Setup!$F$3:$F$15,M117)))&gt;0,"VC Only","Unclassified"))))</f>
        <v>VC Only</v>
      </c>
    </row>
    <row r="118" spans="2:21" x14ac:dyDescent="0.35">
      <c r="B118" s="4">
        <f t="shared" si="5"/>
        <v>116</v>
      </c>
      <c r="C118" s="4" t="str">
        <f>IFERROR(_xlfn.XLOOKUP($B118,Raw_Data!$A$3:$A$273,Raw_Data!$B$3:$B$273),"")</f>
        <v>Knip (Commercial Products)</v>
      </c>
      <c r="D118" s="4" t="str">
        <f>IFERROR(_xlfn.XLOOKUP($B118,Raw_Data!$A$3:$A$273,Raw_Data!$C$3:$C$273),"")</f>
        <v>Boston, MA</v>
      </c>
      <c r="E118" s="4">
        <f>IFERROR(_xlfn.XLOOKUP($B118,Raw_Data!$A$3:$A$273,Raw_Data!$D$3:$D$273),"")</f>
        <v>2013</v>
      </c>
      <c r="F118" s="4" t="str">
        <f>IFERROR(_xlfn.XLOOKUP($B118,Raw_Data!$A$3:$A$273,Raw_Data!$F$3:$F$273),"")</f>
        <v>Food &amp; Ag</v>
      </c>
      <c r="G118" s="35">
        <f>IFERROR(_xlfn.XLOOKUP($B118,Raw_Data!$A$3:$A$273,Raw_Data!$J$3:$J$273),"")</f>
        <v>43220</v>
      </c>
      <c r="H118" s="16" t="s">
        <v>1467</v>
      </c>
      <c r="I118" s="36">
        <f>IFERROR(_xlfn.XLOOKUP($B118,Raw_Data!$A$3:$A$273,Raw_Data!$I$3:$I$273),"")</f>
        <v>5.87</v>
      </c>
      <c r="J118" s="36">
        <f>IFERROR(_xlfn.XLOOKUP($B118,Raw_Data!$A$3:$A$273,Raw_Data!$L$3:$L$273),"")</f>
        <v>1.24</v>
      </c>
      <c r="K118" s="36">
        <f>IFERROR(_xlfn.XLOOKUP($B118,Raw_Data!$A$3:$A$273,Raw_Data!$M$3:$M$273),"")</f>
        <v>27.24</v>
      </c>
      <c r="L118" s="15">
        <f>IFERROR(_xlfn.XLOOKUP($B118,Raw_Data!$A$3:$A$273,Raw_Data!$Q$3:$Q$273),"")</f>
        <v>0</v>
      </c>
      <c r="M118" s="34" t="str">
        <f>IFERROR(_xlfn.XLOOKUP($B118,Raw_Data!$A$3:$A$273,Raw_Data!$R$3:$R$273),"")</f>
        <v xml:space="preserve">Hatch Blue; Moodoos Investments </v>
      </c>
      <c r="N118" s="16" cm="1">
        <f t="array" ref="N118">IF(M118="",0,COUNTA(_xlfn._xlws.FILTER(_xlfn.TEXTSPLIT(M118,";"), _xlfn.TEXTSPLIT(M118,";")&lt;&gt;"")))</f>
        <v>2</v>
      </c>
      <c r="O118" s="16" t="str">
        <f t="shared" si="3"/>
        <v>N</v>
      </c>
      <c r="P118" s="19">
        <f>IFERROR(_xlfn.XLOOKUP($B118,Raw_Data!$A$3:$A$273,Raw_Data!$V$3:$V$273),"")</f>
        <v>0</v>
      </c>
      <c r="Q118" s="16" t="str">
        <f t="shared" si="4"/>
        <v>Y</v>
      </c>
      <c r="R118" s="32">
        <f>IFERROR(_xlfn.XLOOKUP($B118,Raw_Data!$A$3:$A$273,Raw_Data!$Y$3:$Y$273),"")</f>
        <v>1</v>
      </c>
      <c r="S118" s="4" t="str" cm="1">
        <f t="array" ref="S118">_xlfn.LET(_xlpm.s, Raw_Data!W118,_xlpm.strat, _xlfn._xlws.FILTER(REF_Setup!$B$3:$B$40, REF_Setup!$B$3:$B$40&lt;&gt;""),IF(OR(_xlpm.s="",_xlpm.s=0),"Unclassified",IF(SUM(--ISNUMBER(SEARCH(_xlpm.strat, _xlpm.s)))&gt;0, "Y", "N"))
)</f>
        <v>N</v>
      </c>
      <c r="T118" s="4" t="str" cm="1">
        <f t="array" ref="T118">_xlfn.LET(_xlpm.s,M118,_xlpm.phil, _xlfn._xlws.FILTER(REF_Setup!$D$3:$D$5, REF_Setup!$D$3:$D$5&lt;&gt;""),IF(OR(_xlpm.s="", _xlpm.s=0),"Unclassified",IF(SUM(--ISNUMBER(SEARCH(_xlpm.phil, _xlpm.s)))&gt;0, "Y", "N")))</f>
        <v>N</v>
      </c>
      <c r="U118" s="4" t="str" cm="1">
        <f t="array" ref="U118">IF(M118="", "Unclassified", IF(AND(SUMPRODUCT(--ISNUMBER(SEARCH(REF_Setup!$B$3:$B$40,M118)))&gt;0,SUMPRODUCT(--ISNUMBER(SEARCH(REF_Setup!$F$3:$F$15,M118)))&gt;0),"Mixed",IF(SUMPRODUCT(--ISNUMBER(SEARCH(REF_Setup!$B$3:$B$40,M118)))&gt;0,"Strategic Only",IF(SUMPRODUCT(--ISNUMBER(SEARCH(REF_Setup!$F$3:$F$15,M118)))&gt;0,"VC Only","Unclassified"))))</f>
        <v>VC Only</v>
      </c>
    </row>
    <row r="119" spans="2:21" x14ac:dyDescent="0.35">
      <c r="B119" s="4">
        <f t="shared" si="5"/>
        <v>117</v>
      </c>
      <c r="C119" s="4" t="str">
        <f>IFERROR(_xlfn.XLOOKUP($B119,Raw_Data!$A$3:$A$273,Raw_Data!$B$3:$B$273),"")</f>
        <v>Kula Bio</v>
      </c>
      <c r="D119" s="4" t="str">
        <f>IFERROR(_xlfn.XLOOKUP($B119,Raw_Data!$A$3:$A$273,Raw_Data!$C$3:$C$273),"")</f>
        <v>Natick, MA</v>
      </c>
      <c r="E119" s="4">
        <f>IFERROR(_xlfn.XLOOKUP($B119,Raw_Data!$A$3:$A$273,Raw_Data!$D$3:$D$273),"")</f>
        <v>2018</v>
      </c>
      <c r="F119" s="4" t="str">
        <f>IFERROR(_xlfn.XLOOKUP($B119,Raw_Data!$A$3:$A$273,Raw_Data!$F$3:$F$273),"")</f>
        <v>Food &amp; Ag</v>
      </c>
      <c r="G119" s="35">
        <f>IFERROR(_xlfn.XLOOKUP($B119,Raw_Data!$A$3:$A$273,Raw_Data!$J$3:$J$273),"")</f>
        <v>45980</v>
      </c>
      <c r="H119" s="16" t="s">
        <v>1465</v>
      </c>
      <c r="I119" s="36">
        <f>IFERROR(_xlfn.XLOOKUP($B119,Raw_Data!$A$3:$A$273,Raw_Data!$I$3:$I$273),"")</f>
        <v>76.709999999999994</v>
      </c>
      <c r="J119" s="36">
        <f>IFERROR(_xlfn.XLOOKUP($B119,Raw_Data!$A$3:$A$273,Raw_Data!$L$3:$L$273),"")</f>
        <v>15.48</v>
      </c>
      <c r="K119" s="36">
        <f>IFERROR(_xlfn.XLOOKUP($B119,Raw_Data!$A$3:$A$273,Raw_Data!$M$3:$M$273),"")</f>
        <v>228.48</v>
      </c>
      <c r="L119" s="15">
        <f>IFERROR(_xlfn.XLOOKUP($B119,Raw_Data!$A$3:$A$273,Raw_Data!$Q$3:$Q$273),"")</f>
        <v>0</v>
      </c>
      <c r="M119" s="34"/>
      <c r="N119" s="16" cm="1">
        <f t="array" ref="N119">IF(M119="",0,COUNTA(_xlfn._xlws.FILTER(_xlfn.TEXTSPLIT(M119,";"), _xlfn.TEXTSPLIT(M119,";")&lt;&gt;"")))</f>
        <v>0</v>
      </c>
      <c r="O119" s="16" t="str">
        <f t="shared" si="3"/>
        <v>Y</v>
      </c>
      <c r="P119" s="19" t="str">
        <f>IFERROR(_xlfn.XLOOKUP($B119,Raw_Data!$A$3:$A$273,Raw_Data!$V$3:$V$273),"")</f>
        <v>N/A</v>
      </c>
      <c r="Q119" s="16" t="str">
        <f t="shared" si="4"/>
        <v>Y</v>
      </c>
      <c r="R119" s="32" t="str">
        <f>IFERROR(_xlfn.XLOOKUP($B119,Raw_Data!$A$3:$A$273,Raw_Data!$Y$3:$Y$273),"")</f>
        <v>N/A</v>
      </c>
      <c r="S119" s="4" t="str" cm="1">
        <f t="array" ref="S119">_xlfn.LET(_xlpm.s, Raw_Data!W119,_xlpm.strat, _xlfn._xlws.FILTER(REF_Setup!$B$3:$B$40, REF_Setup!$B$3:$B$40&lt;&gt;""),IF(OR(_xlpm.s="",_xlpm.s=0),"Unclassified",IF(SUM(--ISNUMBER(SEARCH(_xlpm.strat, _xlpm.s)))&gt;0, "Y", "N"))
)</f>
        <v>Unclassified</v>
      </c>
      <c r="T119" s="4" t="str" cm="1">
        <f t="array" ref="T119">_xlfn.LET(_xlpm.s,M119,_xlpm.phil, _xlfn._xlws.FILTER(REF_Setup!$D$3:$D$5, REF_Setup!$D$3:$D$5&lt;&gt;""),IF(OR(_xlpm.s="", _xlpm.s=0),"Unclassified",IF(SUM(--ISNUMBER(SEARCH(_xlpm.phil, _xlpm.s)))&gt;0, "Y", "N")))</f>
        <v>Unclassified</v>
      </c>
      <c r="U119" s="4" t="str" cm="1">
        <f t="array" ref="U119">IF(M119="", "Unclassified", IF(AND(SUMPRODUCT(--ISNUMBER(SEARCH(REF_Setup!$B$3:$B$40,M119)))&gt;0,SUMPRODUCT(--ISNUMBER(SEARCH(REF_Setup!$F$3:$F$15,M119)))&gt;0),"Mixed",IF(SUMPRODUCT(--ISNUMBER(SEARCH(REF_Setup!$B$3:$B$40,M119)))&gt;0,"Strategic Only",IF(SUMPRODUCT(--ISNUMBER(SEARCH(REF_Setup!$F$3:$F$15,M119)))&gt;0,"VC Only","Unclassified"))))</f>
        <v>Unclassified</v>
      </c>
    </row>
    <row r="120" spans="2:21" x14ac:dyDescent="0.35">
      <c r="B120" s="4">
        <f t="shared" si="5"/>
        <v>118</v>
      </c>
      <c r="C120" s="4" t="str">
        <f>IFERROR(_xlfn.XLOOKUP($B120,Raw_Data!$A$3:$A$273,Raw_Data!$B$3:$B$273),"")</f>
        <v>LAND</v>
      </c>
      <c r="D120" s="4" t="str">
        <f>IFERROR(_xlfn.XLOOKUP($B120,Raw_Data!$A$3:$A$273,Raw_Data!$C$3:$C$273),"")</f>
        <v>Cleveland, OH</v>
      </c>
      <c r="E120" s="4">
        <f>IFERROR(_xlfn.XLOOKUP($B120,Raw_Data!$A$3:$A$273,Raw_Data!$D$3:$D$273),"")</f>
        <v>2020</v>
      </c>
      <c r="F120" s="4" t="str">
        <f>IFERROR(_xlfn.XLOOKUP($B120,Raw_Data!$A$3:$A$273,Raw_Data!$F$3:$F$273),"")</f>
        <v>Food &amp; Ag</v>
      </c>
      <c r="G120" s="35">
        <f>IFERROR(_xlfn.XLOOKUP($B120,Raw_Data!$A$3:$A$273,Raw_Data!$J$3:$J$273),"")</f>
        <v>44705</v>
      </c>
      <c r="H120" s="16" t="s">
        <v>1465</v>
      </c>
      <c r="I120" s="36">
        <f>IFERROR(_xlfn.XLOOKUP($B120,Raw_Data!$A$3:$A$273,Raw_Data!$I$3:$I$273),"")</f>
        <v>5.26</v>
      </c>
      <c r="J120" s="36">
        <f>IFERROR(_xlfn.XLOOKUP($B120,Raw_Data!$A$3:$A$273,Raw_Data!$L$3:$L$273),"")</f>
        <v>4.16</v>
      </c>
      <c r="K120" s="36">
        <f>IFERROR(_xlfn.XLOOKUP($B120,Raw_Data!$A$3:$A$273,Raw_Data!$M$3:$M$273),"")</f>
        <v>39</v>
      </c>
      <c r="L120" s="15">
        <f>IFERROR(_xlfn.XLOOKUP($B120,Raw_Data!$A$3:$A$273,Raw_Data!$Q$3:$Q$273),"")</f>
        <v>0</v>
      </c>
      <c r="M120" s="34" t="str">
        <f>IFERROR(_xlfn.XLOOKUP($B120,Raw_Data!$A$3:$A$273,Raw_Data!$R$3:$R$273),"")</f>
        <v xml:space="preserve">Fenix Equity Group </v>
      </c>
      <c r="N120" s="16" cm="1">
        <f t="array" ref="N120">IF(M120="",0,COUNTA(_xlfn._xlws.FILTER(_xlfn.TEXTSPLIT(M120,";"), _xlfn.TEXTSPLIT(M120,";")&lt;&gt;"")))</f>
        <v>1</v>
      </c>
      <c r="O120" s="16" t="str">
        <f t="shared" si="3"/>
        <v>N</v>
      </c>
      <c r="P120" s="19">
        <f>IFERROR(_xlfn.XLOOKUP($B120,Raw_Data!$A$3:$A$273,Raw_Data!$V$3:$V$273),"")</f>
        <v>0</v>
      </c>
      <c r="Q120" s="16" t="str">
        <f t="shared" si="4"/>
        <v>Y</v>
      </c>
      <c r="R120" s="32">
        <f>IFERROR(_xlfn.XLOOKUP($B120,Raw_Data!$A$3:$A$273,Raw_Data!$Y$3:$Y$273),"")</f>
        <v>1</v>
      </c>
      <c r="S120" s="4" t="str" cm="1">
        <f t="array" ref="S120">_xlfn.LET(_xlpm.s, Raw_Data!W120,_xlpm.strat, _xlfn._xlws.FILTER(REF_Setup!$B$3:$B$40, REF_Setup!$B$3:$B$40&lt;&gt;""),IF(OR(_xlpm.s="",_xlpm.s=0),"Unclassified",IF(SUM(--ISNUMBER(SEARCH(_xlpm.strat, _xlpm.s)))&gt;0, "Y", "N"))
)</f>
        <v>N</v>
      </c>
      <c r="T120" s="4" t="str" cm="1">
        <f t="array" ref="T120">_xlfn.LET(_xlpm.s,M120,_xlpm.phil, _xlfn._xlws.FILTER(REF_Setup!$D$3:$D$5, REF_Setup!$D$3:$D$5&lt;&gt;""),IF(OR(_xlpm.s="", _xlpm.s=0),"Unclassified",IF(SUM(--ISNUMBER(SEARCH(_xlpm.phil, _xlpm.s)))&gt;0, "Y", "N")))</f>
        <v>N</v>
      </c>
      <c r="U120" s="4" t="str" cm="1">
        <f t="array" ref="U120">IF(M120="", "Unclassified", IF(AND(SUMPRODUCT(--ISNUMBER(SEARCH(REF_Setup!$B$3:$B$40,M120)))&gt;0,SUMPRODUCT(--ISNUMBER(SEARCH(REF_Setup!$F$3:$F$15,M120)))&gt;0),"Mixed",IF(SUMPRODUCT(--ISNUMBER(SEARCH(REF_Setup!$B$3:$B$40,M120)))&gt;0,"Strategic Only",IF(SUMPRODUCT(--ISNUMBER(SEARCH(REF_Setup!$F$3:$F$15,M120)))&gt;0,"VC Only","Unclassified"))))</f>
        <v>VC Only</v>
      </c>
    </row>
    <row r="121" spans="2:21" x14ac:dyDescent="0.35">
      <c r="B121" s="4">
        <f t="shared" si="5"/>
        <v>119</v>
      </c>
      <c r="C121" s="4" t="str">
        <f>IFERROR(_xlfn.XLOOKUP($B121,Raw_Data!$A$3:$A$273,Raw_Data!$B$3:$B$273),"")</f>
        <v>LAND</v>
      </c>
      <c r="D121" s="4" t="str">
        <f>IFERROR(_xlfn.XLOOKUP($B121,Raw_Data!$A$3:$A$273,Raw_Data!$C$3:$C$273),"")</f>
        <v>Cleveland, OH</v>
      </c>
      <c r="E121" s="4">
        <f>IFERROR(_xlfn.XLOOKUP($B121,Raw_Data!$A$3:$A$273,Raw_Data!$D$3:$D$273),"")</f>
        <v>2020</v>
      </c>
      <c r="F121" s="4" t="str">
        <f>IFERROR(_xlfn.XLOOKUP($B121,Raw_Data!$A$3:$A$273,Raw_Data!$F$3:$F$273),"")</f>
        <v>Food &amp; Ag</v>
      </c>
      <c r="G121" s="35">
        <f>IFERROR(_xlfn.XLOOKUP($B121,Raw_Data!$A$3:$A$273,Raw_Data!$J$3:$J$273),"")</f>
        <v>45076</v>
      </c>
      <c r="H121" s="16" t="s">
        <v>1465</v>
      </c>
      <c r="I121" s="36">
        <f>IFERROR(_xlfn.XLOOKUP($B121,Raw_Data!$A$3:$A$273,Raw_Data!$I$3:$I$273),"")</f>
        <v>12.26</v>
      </c>
      <c r="J121" s="36">
        <f>IFERROR(_xlfn.XLOOKUP($B121,Raw_Data!$A$3:$A$273,Raw_Data!$L$3:$L$273),"")</f>
        <v>7</v>
      </c>
      <c r="K121" s="36">
        <f>IFERROR(_xlfn.XLOOKUP($B121,Raw_Data!$A$3:$A$273,Raw_Data!$M$3:$M$273),"")</f>
        <v>32.5</v>
      </c>
      <c r="L121" s="15">
        <f>IFERROR(_xlfn.XLOOKUP($B121,Raw_Data!$A$3:$A$273,Raw_Data!$Q$3:$Q$273),"")</f>
        <v>0</v>
      </c>
      <c r="M121" s="34" t="str">
        <f>IFERROR(_xlfn.XLOOKUP($B121,Raw_Data!$A$3:$A$273,Raw_Data!$R$3:$R$273),"")</f>
        <v xml:space="preserve">Ancora Holdings Group; Nottingham Unlimited Ventures </v>
      </c>
      <c r="N121" s="16" cm="1">
        <f t="array" ref="N121">IF(M121="",0,COUNTA(_xlfn._xlws.FILTER(_xlfn.TEXTSPLIT(M121,";"), _xlfn.TEXTSPLIT(M121,";")&lt;&gt;"")))</f>
        <v>2</v>
      </c>
      <c r="O121" s="16" t="str">
        <f t="shared" si="3"/>
        <v>N</v>
      </c>
      <c r="P121" s="19">
        <f>IFERROR(_xlfn.XLOOKUP($B121,Raw_Data!$A$3:$A$273,Raw_Data!$V$3:$V$273),"")</f>
        <v>0</v>
      </c>
      <c r="Q121" s="16" t="str">
        <f t="shared" si="4"/>
        <v>Y</v>
      </c>
      <c r="R121" s="32">
        <f>IFERROR(_xlfn.XLOOKUP($B121,Raw_Data!$A$3:$A$273,Raw_Data!$Y$3:$Y$273),"")</f>
        <v>1</v>
      </c>
      <c r="S121" s="4" t="str" cm="1">
        <f t="array" ref="S121">_xlfn.LET(_xlpm.s, Raw_Data!W121,_xlpm.strat, _xlfn._xlws.FILTER(REF_Setup!$B$3:$B$40, REF_Setup!$B$3:$B$40&lt;&gt;""),IF(OR(_xlpm.s="",_xlpm.s=0),"Unclassified",IF(SUM(--ISNUMBER(SEARCH(_xlpm.strat, _xlpm.s)))&gt;0, "Y", "N"))
)</f>
        <v>N</v>
      </c>
      <c r="T121" s="4" t="str" cm="1">
        <f t="array" ref="T121">_xlfn.LET(_xlpm.s,M121,_xlpm.phil, _xlfn._xlws.FILTER(REF_Setup!$D$3:$D$5, REF_Setup!$D$3:$D$5&lt;&gt;""),IF(OR(_xlpm.s="", _xlpm.s=0),"Unclassified",IF(SUM(--ISNUMBER(SEARCH(_xlpm.phil, _xlpm.s)))&gt;0, "Y", "N")))</f>
        <v>N</v>
      </c>
      <c r="U121" s="4" t="str" cm="1">
        <f t="array" ref="U121">IF(M121="", "Unclassified", IF(AND(SUMPRODUCT(--ISNUMBER(SEARCH(REF_Setup!$B$3:$B$40,M121)))&gt;0,SUMPRODUCT(--ISNUMBER(SEARCH(REF_Setup!$F$3:$F$15,M121)))&gt;0),"Mixed",IF(SUMPRODUCT(--ISNUMBER(SEARCH(REF_Setup!$B$3:$B$40,M121)))&gt;0,"Strategic Only",IF(SUMPRODUCT(--ISNUMBER(SEARCH(REF_Setup!$F$3:$F$15,M121)))&gt;0,"VC Only","Unclassified"))))</f>
        <v>VC Only</v>
      </c>
    </row>
    <row r="122" spans="2:21" x14ac:dyDescent="0.35">
      <c r="B122" s="4">
        <f t="shared" si="5"/>
        <v>120</v>
      </c>
      <c r="C122" s="4" t="str">
        <f>IFERROR(_xlfn.XLOOKUP($B122,Raw_Data!$A$3:$A$273,Raw_Data!$B$3:$B$273),"")</f>
        <v>Lapis Energy</v>
      </c>
      <c r="D122" s="4" t="str">
        <f>IFERROR(_xlfn.XLOOKUP($B122,Raw_Data!$A$3:$A$273,Raw_Data!$C$3:$C$273),"")</f>
        <v>Dallas, TX</v>
      </c>
      <c r="E122" s="4">
        <f>IFERROR(_xlfn.XLOOKUP($B122,Raw_Data!$A$3:$A$273,Raw_Data!$D$3:$D$273),"")</f>
        <v>2021</v>
      </c>
      <c r="F122" s="4" t="str">
        <f>IFERROR(_xlfn.XLOOKUP($B122,Raw_Data!$A$3:$A$273,Raw_Data!$F$3:$F$273),"")</f>
        <v>CDR</v>
      </c>
      <c r="G122" s="35">
        <f>IFERROR(_xlfn.XLOOKUP($B122,Raw_Data!$A$3:$A$273,Raw_Data!$J$3:$J$273),"")</f>
        <v>44524</v>
      </c>
      <c r="H122" s="4" t="s">
        <v>75</v>
      </c>
      <c r="I122" s="36">
        <f>IFERROR(_xlfn.XLOOKUP($B122,Raw_Data!$A$3:$A$273,Raw_Data!$I$3:$I$273),"")</f>
        <v>0</v>
      </c>
      <c r="J122" s="36">
        <f>IFERROR(_xlfn.XLOOKUP($B122,Raw_Data!$A$3:$A$273,Raw_Data!$L$3:$L$273),"")</f>
        <v>0</v>
      </c>
      <c r="K122" s="36">
        <f>IFERROR(_xlfn.XLOOKUP($B122,Raw_Data!$A$3:$A$273,Raw_Data!$M$3:$M$273),"")</f>
        <v>0</v>
      </c>
      <c r="L122" s="15" t="str">
        <f>IFERROR(_xlfn.XLOOKUP($B122,Raw_Data!$A$3:$A$273,Raw_Data!$Q$3:$Q$273),"")</f>
        <v>N/A</v>
      </c>
      <c r="M122" s="34" t="str">
        <f>IFERROR(_xlfn.XLOOKUP($B122,Raw_Data!$A$3:$A$273,Raw_Data!$R$3:$R$273),"")</f>
        <v xml:space="preserve">Cresta Fund Management </v>
      </c>
      <c r="N122" s="16" cm="1">
        <f t="array" ref="N122">IF(M122="",0,COUNTA(_xlfn._xlws.FILTER(_xlfn.TEXTSPLIT(M122,";"), _xlfn.TEXTSPLIT(M122,";")&lt;&gt;"")))</f>
        <v>1</v>
      </c>
      <c r="O122" s="16" t="str">
        <f t="shared" si="3"/>
        <v>N</v>
      </c>
      <c r="P122" s="19">
        <f>IFERROR(_xlfn.XLOOKUP($B122,Raw_Data!$A$3:$A$273,Raw_Data!$V$3:$V$273),"")</f>
        <v>0</v>
      </c>
      <c r="Q122" s="16" t="str">
        <f t="shared" si="4"/>
        <v>Y</v>
      </c>
      <c r="R122" s="32">
        <f>IFERROR(_xlfn.XLOOKUP($B122,Raw_Data!$A$3:$A$273,Raw_Data!$Y$3:$Y$273),"")</f>
        <v>1</v>
      </c>
      <c r="S122" s="4" t="str" cm="1">
        <f t="array" ref="S122">_xlfn.LET(_xlpm.s, Raw_Data!W122,_xlpm.strat, _xlfn._xlws.FILTER(REF_Setup!$B$3:$B$40, REF_Setup!$B$3:$B$40&lt;&gt;""),IF(OR(_xlpm.s="",_xlpm.s=0),"Unclassified",IF(SUM(--ISNUMBER(SEARCH(_xlpm.strat, _xlpm.s)))&gt;0, "Y", "N"))
)</f>
        <v>N</v>
      </c>
      <c r="T122" s="4" t="str" cm="1">
        <f t="array" ref="T122">_xlfn.LET(_xlpm.s,M122,_xlpm.phil, _xlfn._xlws.FILTER(REF_Setup!$D$3:$D$5, REF_Setup!$D$3:$D$5&lt;&gt;""),IF(OR(_xlpm.s="", _xlpm.s=0),"Unclassified",IF(SUM(--ISNUMBER(SEARCH(_xlpm.phil, _xlpm.s)))&gt;0, "Y", "N")))</f>
        <v>N</v>
      </c>
      <c r="U122" s="4" t="str" cm="1">
        <f t="array" ref="U122">IF(M122="", "Unclassified", IF(AND(SUMPRODUCT(--ISNUMBER(SEARCH(REF_Setup!$B$3:$B$40,M122)))&gt;0,SUMPRODUCT(--ISNUMBER(SEARCH(REF_Setup!$F$3:$F$15,M122)))&gt;0),"Mixed",IF(SUMPRODUCT(--ISNUMBER(SEARCH(REF_Setup!$B$3:$B$40,M122)))&gt;0,"Strategic Only",IF(SUMPRODUCT(--ISNUMBER(SEARCH(REF_Setup!$F$3:$F$15,M122)))&gt;0,"VC Only","Unclassified"))))</f>
        <v>VC Only</v>
      </c>
    </row>
    <row r="123" spans="2:21" x14ac:dyDescent="0.35">
      <c r="B123" s="4">
        <f t="shared" si="5"/>
        <v>121</v>
      </c>
      <c r="C123" s="4" t="str">
        <f>IFERROR(_xlfn.XLOOKUP($B123,Raw_Data!$A$3:$A$273,Raw_Data!$B$3:$B$273),"")</f>
        <v>Lilac</v>
      </c>
      <c r="D123" s="4" t="str">
        <f>IFERROR(_xlfn.XLOOKUP($B123,Raw_Data!$A$3:$A$273,Raw_Data!$C$3:$C$273),"")</f>
        <v>Oakland, CA</v>
      </c>
      <c r="E123" s="4">
        <f>IFERROR(_xlfn.XLOOKUP($B123,Raw_Data!$A$3:$A$273,Raw_Data!$D$3:$D$273),"")</f>
        <v>2016</v>
      </c>
      <c r="F123" s="4" t="str">
        <f>IFERROR(_xlfn.XLOOKUP($B123,Raw_Data!$A$3:$A$273,Raw_Data!$F$3:$F$273),"")</f>
        <v>Industrial Decarbonization</v>
      </c>
      <c r="G123" s="35">
        <f>IFERROR(_xlfn.XLOOKUP($B123,Raw_Data!$A$3:$A$273,Raw_Data!$J$3:$J$273),"")</f>
        <v>43084</v>
      </c>
      <c r="H123" s="16" t="s">
        <v>1465</v>
      </c>
      <c r="I123" s="36">
        <f>IFERROR(_xlfn.XLOOKUP($B123,Raw_Data!$A$3:$A$273,Raw_Data!$I$3:$I$273),"")</f>
        <v>0.8</v>
      </c>
      <c r="J123" s="36">
        <f>IFERROR(_xlfn.XLOOKUP($B123,Raw_Data!$A$3:$A$273,Raw_Data!$L$3:$L$273),"")</f>
        <v>0.8</v>
      </c>
      <c r="K123" s="36">
        <f>IFERROR(_xlfn.XLOOKUP($B123,Raw_Data!$A$3:$A$273,Raw_Data!$M$3:$M$273),"")</f>
        <v>3.8</v>
      </c>
      <c r="L123" s="15">
        <f>IFERROR(_xlfn.XLOOKUP($B123,Raw_Data!$A$3:$A$273,Raw_Data!$Q$3:$Q$273),"")</f>
        <v>0</v>
      </c>
      <c r="M123" s="34" t="str">
        <f>IFERROR(_xlfn.XLOOKUP($B123,Raw_Data!$A$3:$A$273,Raw_Data!$R$3:$R$273),"")</f>
        <v xml:space="preserve">Philippa Gawley </v>
      </c>
      <c r="N123" s="16" cm="1">
        <f t="array" ref="N123">IF(M123="",0,COUNTA(_xlfn._xlws.FILTER(_xlfn.TEXTSPLIT(M123,";"), _xlfn.TEXTSPLIT(M123,";")&lt;&gt;"")))</f>
        <v>1</v>
      </c>
      <c r="O123" s="16" t="str">
        <f t="shared" si="3"/>
        <v>N</v>
      </c>
      <c r="P123" s="19">
        <f>IFERROR(_xlfn.XLOOKUP($B123,Raw_Data!$A$3:$A$273,Raw_Data!$V$3:$V$273),"")</f>
        <v>0</v>
      </c>
      <c r="Q123" s="16" t="str">
        <f t="shared" si="4"/>
        <v>Y</v>
      </c>
      <c r="R123" s="32">
        <f>IFERROR(_xlfn.XLOOKUP($B123,Raw_Data!$A$3:$A$273,Raw_Data!$Y$3:$Y$273),"")</f>
        <v>1</v>
      </c>
      <c r="S123" s="4" t="str" cm="1">
        <f t="array" ref="S123">_xlfn.LET(_xlpm.s, Raw_Data!W123,_xlpm.strat, _xlfn._xlws.FILTER(REF_Setup!$B$3:$B$40, REF_Setup!$B$3:$B$40&lt;&gt;""),IF(OR(_xlpm.s="",_xlpm.s=0),"Unclassified",IF(SUM(--ISNUMBER(SEARCH(_xlpm.strat, _xlpm.s)))&gt;0, "Y", "N"))
)</f>
        <v>N</v>
      </c>
      <c r="T123" s="4" t="str" cm="1">
        <f t="array" ref="T123">_xlfn.LET(_xlpm.s,M123,_xlpm.phil, _xlfn._xlws.FILTER(REF_Setup!$D$3:$D$5, REF_Setup!$D$3:$D$5&lt;&gt;""),IF(OR(_xlpm.s="", _xlpm.s=0),"Unclassified",IF(SUM(--ISNUMBER(SEARCH(_xlpm.phil, _xlpm.s)))&gt;0, "Y", "N")))</f>
        <v>N</v>
      </c>
      <c r="U123" s="4" t="str" cm="1">
        <f t="array" ref="U123">IF(M123="", "Unclassified", IF(AND(SUMPRODUCT(--ISNUMBER(SEARCH(REF_Setup!$B$3:$B$40,M123)))&gt;0,SUMPRODUCT(--ISNUMBER(SEARCH(REF_Setup!$F$3:$F$15,M123)))&gt;0),"Mixed",IF(SUMPRODUCT(--ISNUMBER(SEARCH(REF_Setup!$B$3:$B$40,M123)))&gt;0,"Strategic Only",IF(SUMPRODUCT(--ISNUMBER(SEARCH(REF_Setup!$F$3:$F$15,M123)))&gt;0,"VC Only","Unclassified"))))</f>
        <v>Unclassified</v>
      </c>
    </row>
    <row r="124" spans="2:21" x14ac:dyDescent="0.35">
      <c r="B124" s="4">
        <f t="shared" si="5"/>
        <v>122</v>
      </c>
      <c r="C124" s="4" t="str">
        <f>IFERROR(_xlfn.XLOOKUP($B124,Raw_Data!$A$3:$A$273,Raw_Data!$B$3:$B$273),"")</f>
        <v>Lilac</v>
      </c>
      <c r="D124" s="4" t="str">
        <f>IFERROR(_xlfn.XLOOKUP($B124,Raw_Data!$A$3:$A$273,Raw_Data!$C$3:$C$273),"")</f>
        <v>Oakland, CA</v>
      </c>
      <c r="E124" s="4">
        <f>IFERROR(_xlfn.XLOOKUP($B124,Raw_Data!$A$3:$A$273,Raw_Data!$D$3:$D$273),"")</f>
        <v>2016</v>
      </c>
      <c r="F124" s="4" t="str">
        <f>IFERROR(_xlfn.XLOOKUP($B124,Raw_Data!$A$3:$A$273,Raw_Data!$F$3:$F$273),"")</f>
        <v>Industrial Decarbonization</v>
      </c>
      <c r="G124" s="35">
        <f>IFERROR(_xlfn.XLOOKUP($B124,Raw_Data!$A$3:$A$273,Raw_Data!$J$3:$J$273),"")</f>
        <v>43458</v>
      </c>
      <c r="H124" s="16" t="s">
        <v>1465</v>
      </c>
      <c r="I124" s="36">
        <f>IFERROR(_xlfn.XLOOKUP($B124,Raw_Data!$A$3:$A$273,Raw_Data!$I$3:$I$273),"")</f>
        <v>3.3</v>
      </c>
      <c r="J124" s="36">
        <f>IFERROR(_xlfn.XLOOKUP($B124,Raw_Data!$A$3:$A$273,Raw_Data!$L$3:$L$273),"")</f>
        <v>2.5</v>
      </c>
      <c r="K124" s="36">
        <f>IFERROR(_xlfn.XLOOKUP($B124,Raw_Data!$A$3:$A$273,Raw_Data!$M$3:$M$273),"")</f>
        <v>16.5</v>
      </c>
      <c r="L124" s="15">
        <f>IFERROR(_xlfn.XLOOKUP($B124,Raw_Data!$A$3:$A$273,Raw_Data!$Q$3:$Q$273),"")</f>
        <v>0</v>
      </c>
      <c r="M124" s="34" t="str">
        <f>IFERROR(_xlfn.XLOOKUP($B124,Raw_Data!$A$3:$A$273,Raw_Data!$R$3:$R$273),"")</f>
        <v>E8; Harbor Street Ventures; PRIME Coalition; Tribeca Early Stage Partners</v>
      </c>
      <c r="N124" s="16" cm="1">
        <f t="array" ref="N124">IF(M124="",0,COUNTA(_xlfn._xlws.FILTER(_xlfn.TEXTSPLIT(M124,";"), _xlfn.TEXTSPLIT(M124,";")&lt;&gt;"")))</f>
        <v>4</v>
      </c>
      <c r="O124" s="16" t="str">
        <f t="shared" si="3"/>
        <v>Y</v>
      </c>
      <c r="P124" s="19">
        <f>IFERROR(_xlfn.XLOOKUP($B124,Raw_Data!$A$3:$A$273,Raw_Data!$V$3:$V$273),"")</f>
        <v>0.25</v>
      </c>
      <c r="Q124" s="16" t="str">
        <f t="shared" si="4"/>
        <v>Y</v>
      </c>
      <c r="R124" s="32">
        <f>IFERROR(_xlfn.XLOOKUP($B124,Raw_Data!$A$3:$A$273,Raw_Data!$Y$3:$Y$273),"")</f>
        <v>0.75</v>
      </c>
      <c r="S124" s="4" t="str" cm="1">
        <f t="array" ref="S124">_xlfn.LET(_xlpm.s, Raw_Data!W124,_xlpm.strat, _xlfn._xlws.FILTER(REF_Setup!$B$3:$B$40, REF_Setup!$B$3:$B$40&lt;&gt;""),IF(OR(_xlpm.s="",_xlpm.s=0),"Unclassified",IF(SUM(--ISNUMBER(SEARCH(_xlpm.strat, _xlpm.s)))&gt;0, "Y", "N"))
)</f>
        <v>N</v>
      </c>
      <c r="T124" s="4" t="str" cm="1">
        <f t="array" ref="T124">_xlfn.LET(_xlpm.s,M124,_xlpm.phil, _xlfn._xlws.FILTER(REF_Setup!$D$3:$D$5, REF_Setup!$D$3:$D$5&lt;&gt;""),IF(OR(_xlpm.s="", _xlpm.s=0),"Unclassified",IF(SUM(--ISNUMBER(SEARCH(_xlpm.phil, _xlpm.s)))&gt;0, "Y", "N")))</f>
        <v>N</v>
      </c>
      <c r="U124" s="4" t="str" cm="1">
        <f t="array" ref="U124">IF(M124="", "Unclassified", IF(AND(SUMPRODUCT(--ISNUMBER(SEARCH(REF_Setup!$B$3:$B$40,M124)))&gt;0,SUMPRODUCT(--ISNUMBER(SEARCH(REF_Setup!$F$3:$F$15,M124)))&gt;0),"Mixed",IF(SUMPRODUCT(--ISNUMBER(SEARCH(REF_Setup!$B$3:$B$40,M124)))&gt;0,"Strategic Only",IF(SUMPRODUCT(--ISNUMBER(SEARCH(REF_Setup!$F$3:$F$15,M124)))&gt;0,"VC Only","Unclassified"))))</f>
        <v>VC Only</v>
      </c>
    </row>
    <row r="125" spans="2:21" ht="29" x14ac:dyDescent="0.35">
      <c r="B125" s="4">
        <f t="shared" si="5"/>
        <v>123</v>
      </c>
      <c r="C125" s="4" t="str">
        <f>IFERROR(_xlfn.XLOOKUP($B125,Raw_Data!$A$3:$A$273,Raw_Data!$B$3:$B$273),"")</f>
        <v>Limelight Steel</v>
      </c>
      <c r="D125" s="4" t="str">
        <f>IFERROR(_xlfn.XLOOKUP($B125,Raw_Data!$A$3:$A$273,Raw_Data!$C$3:$C$273),"")</f>
        <v>Oakland, CA</v>
      </c>
      <c r="E125" s="4">
        <f>IFERROR(_xlfn.XLOOKUP($B125,Raw_Data!$A$3:$A$273,Raw_Data!$D$3:$D$273),"")</f>
        <v>2021</v>
      </c>
      <c r="F125" s="4" t="str">
        <f>IFERROR(_xlfn.XLOOKUP($B125,Raw_Data!$A$3:$A$273,Raw_Data!$F$3:$F$273),"")</f>
        <v>Industrial Decarbonization</v>
      </c>
      <c r="G125" s="35">
        <f>IFERROR(_xlfn.XLOOKUP($B125,Raw_Data!$A$3:$A$273,Raw_Data!$J$3:$J$273),"")</f>
        <v>44501</v>
      </c>
      <c r="H125" s="16" t="s">
        <v>1466</v>
      </c>
      <c r="I125" s="36">
        <f>IFERROR(_xlfn.XLOOKUP($B125,Raw_Data!$A$3:$A$273,Raw_Data!$I$3:$I$273),"")</f>
        <v>3.25</v>
      </c>
      <c r="J125" s="36">
        <f>IFERROR(_xlfn.XLOOKUP($B125,Raw_Data!$A$3:$A$273,Raw_Data!$L$3:$L$273),"")</f>
        <v>3.25</v>
      </c>
      <c r="K125" s="36">
        <f>IFERROR(_xlfn.XLOOKUP($B125,Raw_Data!$A$3:$A$273,Raw_Data!$M$3:$M$273),"")</f>
        <v>0</v>
      </c>
      <c r="L125" s="15">
        <f>IFERROR(_xlfn.XLOOKUP($B125,Raw_Data!$A$3:$A$273,Raw_Data!$Q$3:$Q$273),"")</f>
        <v>0</v>
      </c>
      <c r="M125" s="34" t="str">
        <f>IFERROR(_xlfn.XLOOKUP($B125,Raw_Data!$A$3:$A$273,Raw_Data!$R$3:$R$273),"")</f>
        <v>Cantos Ventures; Cibersons; Collaborative Fund; Incite Ventures; Social Impact Capital; Voyager</v>
      </c>
      <c r="N125" s="16" cm="1">
        <f t="array" ref="N125">IF(M125="",0,COUNTA(_xlfn._xlws.FILTER(_xlfn.TEXTSPLIT(M125,";"), _xlfn.TEXTSPLIT(M125,";")&lt;&gt;"")))</f>
        <v>6</v>
      </c>
      <c r="O125" s="16" t="str">
        <f t="shared" si="3"/>
        <v>N</v>
      </c>
      <c r="P125" s="19">
        <f>IFERROR(_xlfn.XLOOKUP($B125,Raw_Data!$A$3:$A$273,Raw_Data!$V$3:$V$273),"")</f>
        <v>0</v>
      </c>
      <c r="Q125" s="16" t="str">
        <f t="shared" si="4"/>
        <v>Y</v>
      </c>
      <c r="R125" s="32">
        <f>IFERROR(_xlfn.XLOOKUP($B125,Raw_Data!$A$3:$A$273,Raw_Data!$Y$3:$Y$273),"")</f>
        <v>1</v>
      </c>
      <c r="S125" s="4" t="str" cm="1">
        <f t="array" ref="S125">_xlfn.LET(_xlpm.s, Raw_Data!W125,_xlpm.strat, _xlfn._xlws.FILTER(REF_Setup!$B$3:$B$40, REF_Setup!$B$3:$B$40&lt;&gt;""),IF(OR(_xlpm.s="",_xlpm.s=0),"Unclassified",IF(SUM(--ISNUMBER(SEARCH(_xlpm.strat, _xlpm.s)))&gt;0, "Y", "N"))
)</f>
        <v>N</v>
      </c>
      <c r="T125" s="4" t="str" cm="1">
        <f t="array" ref="T125">_xlfn.LET(_xlpm.s,M125,_xlpm.phil, _xlfn._xlws.FILTER(REF_Setup!$D$3:$D$5, REF_Setup!$D$3:$D$5&lt;&gt;""),IF(OR(_xlpm.s="", _xlpm.s=0),"Unclassified",IF(SUM(--ISNUMBER(SEARCH(_xlpm.phil, _xlpm.s)))&gt;0, "Y", "N")))</f>
        <v>N</v>
      </c>
      <c r="U125" s="4" t="str" cm="1">
        <f t="array" ref="U125">IF(M125="", "Unclassified", IF(AND(SUMPRODUCT(--ISNUMBER(SEARCH(REF_Setup!$B$3:$B$40,M125)))&gt;0,SUMPRODUCT(--ISNUMBER(SEARCH(REF_Setup!$F$3:$F$15,M125)))&gt;0),"Mixed",IF(SUMPRODUCT(--ISNUMBER(SEARCH(REF_Setup!$B$3:$B$40,M125)))&gt;0,"Strategic Only",IF(SUMPRODUCT(--ISNUMBER(SEARCH(REF_Setup!$F$3:$F$15,M125)))&gt;0,"VC Only","Unclassified"))))</f>
        <v>VC Only</v>
      </c>
    </row>
    <row r="126" spans="2:21" x14ac:dyDescent="0.35">
      <c r="B126" s="4">
        <f t="shared" si="5"/>
        <v>124</v>
      </c>
      <c r="C126" s="4" t="str">
        <f>IFERROR(_xlfn.XLOOKUP($B126,Raw_Data!$A$3:$A$273,Raw_Data!$B$3:$B$273),"")</f>
        <v>Limelight Steel</v>
      </c>
      <c r="D126" s="4" t="str">
        <f>IFERROR(_xlfn.XLOOKUP($B126,Raw_Data!$A$3:$A$273,Raw_Data!$C$3:$C$273),"")</f>
        <v>Oakland, CA</v>
      </c>
      <c r="E126" s="4">
        <f>IFERROR(_xlfn.XLOOKUP($B126,Raw_Data!$A$3:$A$273,Raw_Data!$D$3:$D$273),"")</f>
        <v>2021</v>
      </c>
      <c r="F126" s="4" t="str">
        <f>IFERROR(_xlfn.XLOOKUP($B126,Raw_Data!$A$3:$A$273,Raw_Data!$F$3:$F$273),"")</f>
        <v>Industrial Decarbonization</v>
      </c>
      <c r="G126" s="35">
        <f>IFERROR(_xlfn.XLOOKUP($B126,Raw_Data!$A$3:$A$273,Raw_Data!$J$3:$J$273),"")</f>
        <v>44851</v>
      </c>
      <c r="I126" s="36">
        <f>IFERROR(_xlfn.XLOOKUP($B126,Raw_Data!$A$3:$A$273,Raw_Data!$I$3:$I$273),"")</f>
        <v>3.35</v>
      </c>
      <c r="J126" s="36">
        <f>IFERROR(_xlfn.XLOOKUP($B126,Raw_Data!$A$3:$A$273,Raw_Data!$L$3:$L$273),"")</f>
        <v>0</v>
      </c>
      <c r="K126" s="36">
        <f>IFERROR(_xlfn.XLOOKUP($B126,Raw_Data!$A$3:$A$273,Raw_Data!$M$3:$M$273),"")</f>
        <v>0</v>
      </c>
      <c r="L126" s="15" t="str">
        <f>IFERROR(_xlfn.XLOOKUP($B126,Raw_Data!$A$3:$A$273,Raw_Data!$Q$3:$Q$273),"")</f>
        <v>N/A</v>
      </c>
      <c r="M126" s="34" t="str">
        <f>IFERROR(_xlfn.XLOOKUP($B126,Raw_Data!$A$3:$A$273,Raw_Data!$R$3:$R$273),"")</f>
        <v xml:space="preserve">Impact Science Ventures; Khosla Ventures </v>
      </c>
      <c r="N126" s="16" cm="1">
        <f t="array" ref="N126">IF(M126="",0,COUNTA(_xlfn._xlws.FILTER(_xlfn.TEXTSPLIT(M126,";"), _xlfn.TEXTSPLIT(M126,";")&lt;&gt;"")))</f>
        <v>2</v>
      </c>
      <c r="O126" s="16" t="str">
        <f t="shared" si="3"/>
        <v>N</v>
      </c>
      <c r="P126" s="19">
        <f>IFERROR(_xlfn.XLOOKUP($B126,Raw_Data!$A$3:$A$273,Raw_Data!$V$3:$V$273),"")</f>
        <v>0</v>
      </c>
      <c r="Q126" s="16" t="str">
        <f t="shared" si="4"/>
        <v>Y</v>
      </c>
      <c r="R126" s="32">
        <f>IFERROR(_xlfn.XLOOKUP($B126,Raw_Data!$A$3:$A$273,Raw_Data!$Y$3:$Y$273),"")</f>
        <v>1</v>
      </c>
      <c r="S126" s="4" t="str" cm="1">
        <f t="array" ref="S126">_xlfn.LET(_xlpm.s, Raw_Data!W126,_xlpm.strat, _xlfn._xlws.FILTER(REF_Setup!$B$3:$B$40, REF_Setup!$B$3:$B$40&lt;&gt;""),IF(OR(_xlpm.s="",_xlpm.s=0),"Unclassified",IF(SUM(--ISNUMBER(SEARCH(_xlpm.strat, _xlpm.s)))&gt;0, "Y", "N"))
)</f>
        <v>N</v>
      </c>
      <c r="T126" s="4" t="str" cm="1">
        <f t="array" ref="T126">_xlfn.LET(_xlpm.s,M126,_xlpm.phil, _xlfn._xlws.FILTER(REF_Setup!$D$3:$D$5, REF_Setup!$D$3:$D$5&lt;&gt;""),IF(OR(_xlpm.s="", _xlpm.s=0),"Unclassified",IF(SUM(--ISNUMBER(SEARCH(_xlpm.phil, _xlpm.s)))&gt;0, "Y", "N")))</f>
        <v>N</v>
      </c>
      <c r="U126" s="4" t="str" cm="1">
        <f t="array" ref="U126">IF(M126="", "Unclassified", IF(AND(SUMPRODUCT(--ISNUMBER(SEARCH(REF_Setup!$B$3:$B$40,M126)))&gt;0,SUMPRODUCT(--ISNUMBER(SEARCH(REF_Setup!$F$3:$F$15,M126)))&gt;0),"Mixed",IF(SUMPRODUCT(--ISNUMBER(SEARCH(REF_Setup!$B$3:$B$40,M126)))&gt;0,"Strategic Only",IF(SUMPRODUCT(--ISNUMBER(SEARCH(REF_Setup!$F$3:$F$15,M126)))&gt;0,"VC Only","Unclassified"))))</f>
        <v>VC Only</v>
      </c>
    </row>
    <row r="127" spans="2:21" x14ac:dyDescent="0.35">
      <c r="B127" s="4">
        <f t="shared" si="5"/>
        <v>125</v>
      </c>
      <c r="C127" s="4" t="str">
        <f>IFERROR(_xlfn.XLOOKUP($B127,Raw_Data!$A$3:$A$273,Raw_Data!$B$3:$B$273),"")</f>
        <v>LineVision</v>
      </c>
      <c r="D127" s="4" t="str">
        <f>IFERROR(_xlfn.XLOOKUP($B127,Raw_Data!$A$3:$A$273,Raw_Data!$C$3:$C$273),"")</f>
        <v>Boston, MA</v>
      </c>
      <c r="E127" s="4">
        <f>IFERROR(_xlfn.XLOOKUP($B127,Raw_Data!$A$3:$A$273,Raw_Data!$D$3:$D$273),"")</f>
        <v>2018</v>
      </c>
      <c r="F127" s="4" t="str">
        <f>IFERROR(_xlfn.XLOOKUP($B127,Raw_Data!$A$3:$A$273,Raw_Data!$F$3:$F$273),"")</f>
        <v>Renewables</v>
      </c>
      <c r="G127" s="35">
        <f>IFERROR(_xlfn.XLOOKUP($B127,Raw_Data!$A$3:$A$273,Raw_Data!$J$3:$J$273),"")</f>
        <v>43468</v>
      </c>
      <c r="H127" s="16" t="s">
        <v>1465</v>
      </c>
      <c r="I127" s="36">
        <f>IFERROR(_xlfn.XLOOKUP($B127,Raw_Data!$A$3:$A$273,Raw_Data!$I$3:$I$273),"")</f>
        <v>2</v>
      </c>
      <c r="J127" s="36">
        <f>IFERROR(_xlfn.XLOOKUP($B127,Raw_Data!$A$3:$A$273,Raw_Data!$L$3:$L$273),"")</f>
        <v>2</v>
      </c>
      <c r="K127" s="36">
        <f>IFERROR(_xlfn.XLOOKUP($B127,Raw_Data!$A$3:$A$273,Raw_Data!$M$3:$M$273),"")</f>
        <v>4.4000000000000004</v>
      </c>
      <c r="L127" s="15">
        <f>IFERROR(_xlfn.XLOOKUP($B127,Raw_Data!$A$3:$A$273,Raw_Data!$Q$3:$Q$273),"")</f>
        <v>0</v>
      </c>
      <c r="M127" s="34" t="str">
        <f>IFERROR(_xlfn.XLOOKUP($B127,Raw_Data!$A$3:$A$273,Raw_Data!$R$3:$R$273),"")</f>
        <v>Clean Energy Venture Group; Clean Energy Ventures; Greentown Labs</v>
      </c>
      <c r="N127" s="16" cm="1">
        <f t="array" ref="N127">IF(M127="",0,COUNTA(_xlfn._xlws.FILTER(_xlfn.TEXTSPLIT(M127,";"), _xlfn.TEXTSPLIT(M127,";")&lt;&gt;"")))</f>
        <v>3</v>
      </c>
      <c r="O127" s="16" t="str">
        <f t="shared" si="3"/>
        <v>N</v>
      </c>
      <c r="P127" s="19">
        <f>IFERROR(_xlfn.XLOOKUP($B127,Raw_Data!$A$3:$A$273,Raw_Data!$V$3:$V$273),"")</f>
        <v>0</v>
      </c>
      <c r="Q127" s="16" t="str">
        <f t="shared" si="4"/>
        <v>Y</v>
      </c>
      <c r="R127" s="32">
        <f>IFERROR(_xlfn.XLOOKUP($B127,Raw_Data!$A$3:$A$273,Raw_Data!$Y$3:$Y$273),"")</f>
        <v>1</v>
      </c>
      <c r="S127" s="4" t="str" cm="1">
        <f t="array" ref="S127">_xlfn.LET(_xlpm.s, Raw_Data!W127,_xlpm.strat, _xlfn._xlws.FILTER(REF_Setup!$B$3:$B$40, REF_Setup!$B$3:$B$40&lt;&gt;""),IF(OR(_xlpm.s="",_xlpm.s=0),"Unclassified",IF(SUM(--ISNUMBER(SEARCH(_xlpm.strat, _xlpm.s)))&gt;0, "Y", "N"))
)</f>
        <v>N</v>
      </c>
      <c r="T127" s="4" t="str" cm="1">
        <f t="array" ref="T127">_xlfn.LET(_xlpm.s,M127,_xlpm.phil, _xlfn._xlws.FILTER(REF_Setup!$D$3:$D$5, REF_Setup!$D$3:$D$5&lt;&gt;""),IF(OR(_xlpm.s="", _xlpm.s=0),"Unclassified",IF(SUM(--ISNUMBER(SEARCH(_xlpm.phil, _xlpm.s)))&gt;0, "Y", "N")))</f>
        <v>N</v>
      </c>
      <c r="U127" s="4" t="str" cm="1">
        <f t="array" ref="U127">IF(M127="", "Unclassified", IF(AND(SUMPRODUCT(--ISNUMBER(SEARCH(REF_Setup!$B$3:$B$40,M127)))&gt;0,SUMPRODUCT(--ISNUMBER(SEARCH(REF_Setup!$F$3:$F$15,M127)))&gt;0),"Mixed",IF(SUMPRODUCT(--ISNUMBER(SEARCH(REF_Setup!$B$3:$B$40,M127)))&gt;0,"Strategic Only",IF(SUMPRODUCT(--ISNUMBER(SEARCH(REF_Setup!$F$3:$F$15,M127)))&gt;0,"VC Only","Unclassified"))))</f>
        <v>VC Only</v>
      </c>
    </row>
    <row r="128" spans="2:21" ht="87" x14ac:dyDescent="0.35">
      <c r="B128" s="4">
        <f t="shared" si="5"/>
        <v>126</v>
      </c>
      <c r="C128" s="4" t="str">
        <f>IFERROR(_xlfn.XLOOKUP($B128,Raw_Data!$A$3:$A$273,Raw_Data!$B$3:$B$273),"")</f>
        <v>Loliware</v>
      </c>
      <c r="D128" s="4" t="str">
        <f>IFERROR(_xlfn.XLOOKUP($B128,Raw_Data!$A$3:$A$273,Raw_Data!$C$3:$C$273),"")</f>
        <v>San Jose, CA</v>
      </c>
      <c r="E128" s="4">
        <f>IFERROR(_xlfn.XLOOKUP($B128,Raw_Data!$A$3:$A$273,Raw_Data!$D$3:$D$273),"")</f>
        <v>0</v>
      </c>
      <c r="F128" s="4" t="str">
        <f>IFERROR(_xlfn.XLOOKUP($B128,Raw_Data!$A$3:$A$273,Raw_Data!$F$3:$F$273),"")</f>
        <v>Food &amp; Ag</v>
      </c>
      <c r="G128" s="35">
        <f>IFERROR(_xlfn.XLOOKUP($B128,Raw_Data!$A$3:$A$273,Raw_Data!$J$3:$J$273),"")</f>
        <v>44865</v>
      </c>
      <c r="H128" s="16" t="s">
        <v>1466</v>
      </c>
      <c r="I128" s="36">
        <f>IFERROR(_xlfn.XLOOKUP($B128,Raw_Data!$A$3:$A$273,Raw_Data!$I$3:$I$273),"")</f>
        <v>13.74</v>
      </c>
      <c r="J128" s="36">
        <f>IFERROR(_xlfn.XLOOKUP($B128,Raw_Data!$A$3:$A$273,Raw_Data!$L$3:$L$273),"")</f>
        <v>4.18</v>
      </c>
      <c r="K128" s="36">
        <f>IFERROR(_xlfn.XLOOKUP($B128,Raw_Data!$A$3:$A$273,Raw_Data!$M$3:$M$273),"")</f>
        <v>0</v>
      </c>
      <c r="L128" s="15">
        <f>IFERROR(_xlfn.XLOOKUP($B128,Raw_Data!$A$3:$A$273,Raw_Data!$Q$3:$Q$273),"")</f>
        <v>0.97607655502392354</v>
      </c>
      <c r="M128" s="34" t="str">
        <f>IFERROR(_xlfn.XLOOKUP($B128,Raw_Data!$A$3:$A$273,Raw_Data!$R$3:$R$273),"")</f>
        <v>H/L Ventures; Lighthouse; Apex Companies; Closed Loop Partners; KRG Capital Partners; Gratitude Railroad; Magic Hour (New York); Geekdom Fund; For Good Ventures; Loli On-The-Field; Alumni Ventures; Ehukai Investments; Trent Orr; Elizabeth S. Heavener; Serena Woodward; Clayton A. Rockefeller; Nathan G. Walworth; Brian Henry; Austin Henry; Eduardo Vitols; NaHCO3; German Property Group</v>
      </c>
      <c r="N128" s="16" cm="1">
        <f t="array" ref="N128">IF(M128="",0,COUNTA(_xlfn._xlws.FILTER(_xlfn.TEXTSPLIT(M128,";"), _xlfn.TEXTSPLIT(M128,";")&lt;&gt;"")))</f>
        <v>22</v>
      </c>
      <c r="O128" s="16" t="str">
        <f t="shared" si="3"/>
        <v>Y</v>
      </c>
      <c r="P128" s="19">
        <f>IFERROR(_xlfn.XLOOKUP($B128,Raw_Data!$A$3:$A$273,Raw_Data!$V$3:$V$273),"")</f>
        <v>0.40909090909090912</v>
      </c>
      <c r="Q128" s="16" t="str">
        <f t="shared" si="4"/>
        <v>Y</v>
      </c>
      <c r="R128" s="32">
        <f>IFERROR(_xlfn.XLOOKUP($B128,Raw_Data!$A$3:$A$273,Raw_Data!$Y$3:$Y$273),"")</f>
        <v>0.59090909090909094</v>
      </c>
      <c r="S128" s="4" t="str" cm="1">
        <f t="array" ref="S128">_xlfn.LET(_xlpm.s, Raw_Data!W128,_xlpm.strat, _xlfn._xlws.FILTER(REF_Setup!$B$3:$B$40, REF_Setup!$B$3:$B$40&lt;&gt;""),IF(OR(_xlpm.s="",_xlpm.s=0),"Unclassified",IF(SUM(--ISNUMBER(SEARCH(_xlpm.strat, _xlpm.s)))&gt;0, "Y", "N"))
)</f>
        <v>N</v>
      </c>
      <c r="T128" s="4" t="str" cm="1">
        <f t="array" ref="T128">_xlfn.LET(_xlpm.s,M128,_xlpm.phil, _xlfn._xlws.FILTER(REF_Setup!$D$3:$D$5, REF_Setup!$D$3:$D$5&lt;&gt;""),IF(OR(_xlpm.s="", _xlpm.s=0),"Unclassified",IF(SUM(--ISNUMBER(SEARCH(_xlpm.phil, _xlpm.s)))&gt;0, "Y", "N")))</f>
        <v>N</v>
      </c>
      <c r="U128" s="4" t="str" cm="1">
        <f t="array" ref="U128">IF(M128="", "Unclassified", IF(AND(SUMPRODUCT(--ISNUMBER(SEARCH(REF_Setup!$B$3:$B$40,M128)))&gt;0,SUMPRODUCT(--ISNUMBER(SEARCH(REF_Setup!$F$3:$F$15,M128)))&gt;0),"Mixed",IF(SUMPRODUCT(--ISNUMBER(SEARCH(REF_Setup!$B$3:$B$40,M128)))&gt;0,"Strategic Only",IF(SUMPRODUCT(--ISNUMBER(SEARCH(REF_Setup!$F$3:$F$15,M128)))&gt;0,"VC Only","Unclassified"))))</f>
        <v>VC Only</v>
      </c>
    </row>
    <row r="129" spans="2:21" ht="43.5" x14ac:dyDescent="0.35">
      <c r="B129" s="4">
        <f t="shared" si="5"/>
        <v>127</v>
      </c>
      <c r="C129" s="4" t="str">
        <f>IFERROR(_xlfn.XLOOKUP($B129,Raw_Data!$A$3:$A$273,Raw_Data!$B$3:$B$273),"")</f>
        <v>Loliware</v>
      </c>
      <c r="D129" s="4" t="str">
        <f>IFERROR(_xlfn.XLOOKUP($B129,Raw_Data!$A$3:$A$273,Raw_Data!$C$3:$C$273),"")</f>
        <v>San Jose, CA</v>
      </c>
      <c r="E129" s="4">
        <f>IFERROR(_xlfn.XLOOKUP($B129,Raw_Data!$A$3:$A$273,Raw_Data!$D$3:$D$273),"")</f>
        <v>0</v>
      </c>
      <c r="F129" s="4" t="str">
        <f>IFERROR(_xlfn.XLOOKUP($B129,Raw_Data!$A$3:$A$273,Raw_Data!$F$3:$F$273),"")</f>
        <v>Food &amp; Ag</v>
      </c>
      <c r="G129" s="35">
        <f>IFERROR(_xlfn.XLOOKUP($B129,Raw_Data!$A$3:$A$273,Raw_Data!$J$3:$J$273),"")</f>
        <v>45257</v>
      </c>
      <c r="H129" s="16" t="s">
        <v>1466</v>
      </c>
      <c r="I129" s="36">
        <f>IFERROR(_xlfn.XLOOKUP($B129,Raw_Data!$A$3:$A$273,Raw_Data!$I$3:$I$273),"")</f>
        <v>17.329999999999998</v>
      </c>
      <c r="J129" s="36">
        <f>IFERROR(_xlfn.XLOOKUP($B129,Raw_Data!$A$3:$A$273,Raw_Data!$L$3:$L$273),"")</f>
        <v>3.59</v>
      </c>
      <c r="K129" s="36">
        <f>IFERROR(_xlfn.XLOOKUP($B129,Raw_Data!$A$3:$A$273,Raw_Data!$M$3:$M$273),"")</f>
        <v>0</v>
      </c>
      <c r="L129" s="15">
        <f>IFERROR(_xlfn.XLOOKUP($B129,Raw_Data!$A$3:$A$273,Raw_Data!$Q$3:$Q$273),"")</f>
        <v>1</v>
      </c>
      <c r="M129" s="34" t="str">
        <f>IFERROR(_xlfn.XLOOKUP($B129,Raw_Data!$A$3:$A$273,Raw_Data!$R$3:$R$273),"")</f>
        <v xml:space="preserve">Ten Eighty Capital; Tuna Investments; K2X; Anthropocene Ventures; Engage Venture Partners; Joseph L Stornelli; Andrew J Kabatch; R. Brent Alderfer; Sachin S Joshi; John M. Bianchi; Robert Durr; German Property Group; Kilara Capital </v>
      </c>
      <c r="N129" s="16" cm="1">
        <f t="array" ref="N129">IF(M129="",0,COUNTA(_xlfn._xlws.FILTER(_xlfn.TEXTSPLIT(M129,";"), _xlfn.TEXTSPLIT(M129,";")&lt;&gt;"")))</f>
        <v>13</v>
      </c>
      <c r="O129" s="16" t="str">
        <f t="shared" si="3"/>
        <v>Y</v>
      </c>
      <c r="P129" s="19">
        <f>IFERROR(_xlfn.XLOOKUP($B129,Raw_Data!$A$3:$A$273,Raw_Data!$V$3:$V$273),"")</f>
        <v>0.15384615384615385</v>
      </c>
      <c r="Q129" s="16" t="str">
        <f t="shared" si="4"/>
        <v>Y</v>
      </c>
      <c r="R129" s="32">
        <f>IFERROR(_xlfn.XLOOKUP($B129,Raw_Data!$A$3:$A$273,Raw_Data!$Y$3:$Y$273),"")</f>
        <v>1</v>
      </c>
      <c r="S129" s="4" t="str" cm="1">
        <f t="array" ref="S129">_xlfn.LET(_xlpm.s, Raw_Data!W129,_xlpm.strat, _xlfn._xlws.FILTER(REF_Setup!$B$3:$B$40, REF_Setup!$B$3:$B$40&lt;&gt;""),IF(OR(_xlpm.s="",_xlpm.s=0),"Unclassified",IF(SUM(--ISNUMBER(SEARCH(_xlpm.strat, _xlpm.s)))&gt;0, "Y", "N"))
)</f>
        <v>N</v>
      </c>
      <c r="T129" s="4" t="str" cm="1">
        <f t="array" ref="T129">_xlfn.LET(_xlpm.s,M129,_xlpm.phil, _xlfn._xlws.FILTER(REF_Setup!$D$3:$D$5, REF_Setup!$D$3:$D$5&lt;&gt;""),IF(OR(_xlpm.s="", _xlpm.s=0),"Unclassified",IF(SUM(--ISNUMBER(SEARCH(_xlpm.phil, _xlpm.s)))&gt;0, "Y", "N")))</f>
        <v>N</v>
      </c>
      <c r="U129" s="4" t="str" cm="1">
        <f t="array" ref="U129">IF(M129="", "Unclassified", IF(AND(SUMPRODUCT(--ISNUMBER(SEARCH(REF_Setup!$B$3:$B$40,M129)))&gt;0,SUMPRODUCT(--ISNUMBER(SEARCH(REF_Setup!$F$3:$F$15,M129)))&gt;0),"Mixed",IF(SUMPRODUCT(--ISNUMBER(SEARCH(REF_Setup!$B$3:$B$40,M129)))&gt;0,"Strategic Only",IF(SUMPRODUCT(--ISNUMBER(SEARCH(REF_Setup!$F$3:$F$15,M129)))&gt;0,"VC Only","Unclassified"))))</f>
        <v>VC Only</v>
      </c>
    </row>
    <row r="130" spans="2:21" ht="87" x14ac:dyDescent="0.35">
      <c r="B130" s="4">
        <f t="shared" si="5"/>
        <v>128</v>
      </c>
      <c r="C130" s="4" t="str">
        <f>IFERROR(_xlfn.XLOOKUP($B130,Raw_Data!$A$3:$A$273,Raw_Data!$B$3:$B$273),"")</f>
        <v>Loliware</v>
      </c>
      <c r="D130" s="4" t="str">
        <f>IFERROR(_xlfn.XLOOKUP($B130,Raw_Data!$A$3:$A$273,Raw_Data!$C$3:$C$273),"")</f>
        <v>San Jose, CA</v>
      </c>
      <c r="E130" s="4">
        <f>IFERROR(_xlfn.XLOOKUP($B130,Raw_Data!$A$3:$A$273,Raw_Data!$D$3:$D$273),"")</f>
        <v>0</v>
      </c>
      <c r="F130" s="4" t="str">
        <f>IFERROR(_xlfn.XLOOKUP($B130,Raw_Data!$A$3:$A$273,Raw_Data!$F$3:$F$273),"")</f>
        <v>Food &amp; Ag</v>
      </c>
      <c r="G130" s="35">
        <f>IFERROR(_xlfn.XLOOKUP($B130,Raw_Data!$A$3:$A$273,Raw_Data!$J$3:$J$273),"")</f>
        <v>43819</v>
      </c>
      <c r="H130" s="16" t="s">
        <v>1466</v>
      </c>
      <c r="I130" s="36">
        <f>IFERROR(_xlfn.XLOOKUP($B130,Raw_Data!$A$3:$A$273,Raw_Data!$I$3:$I$273),"")</f>
        <v>7.75</v>
      </c>
      <c r="J130" s="36">
        <f>IFERROR(_xlfn.XLOOKUP($B130,Raw_Data!$A$3:$A$273,Raw_Data!$L$3:$L$273),"")</f>
        <v>5.56</v>
      </c>
      <c r="K130" s="36">
        <f>IFERROR(_xlfn.XLOOKUP($B130,Raw_Data!$A$3:$A$273,Raw_Data!$M$3:$M$273),"")</f>
        <v>0</v>
      </c>
      <c r="L130" s="15">
        <f>IFERROR(_xlfn.XLOOKUP($B130,Raw_Data!$A$3:$A$273,Raw_Data!$Q$3:$Q$273),"")</f>
        <v>7.9136690647482022E-2</v>
      </c>
      <c r="M130" s="34" t="str">
        <f>IFERROR(_xlfn.XLOOKUP($B130,Raw_Data!$A$3:$A$273,Raw_Data!$R$3:$R$273),"")</f>
        <v>Kingswood Capital Partners; KRG Capital Partners; Closed Loop Partners; For Good Ventures; Moskal Capital Partners; TWB Investment; Gratitude Railroad; Sunset Ventures; H/L Ventures; Geekdom Fund; Sustainable Ocean Alliance; Alan Chung; Eduardo Vitols; Gisele Brisson; Beth S. Horowitz; Margaret Segal; Howard Levine; Peter Libby; Seabird Ventures; Impact Assets; NaHCO3 and Empire State Developmen</v>
      </c>
      <c r="N130" s="16" cm="1">
        <f t="array" ref="N130">IF(M130="",0,COUNTA(_xlfn._xlws.FILTER(_xlfn.TEXTSPLIT(M130,";"), _xlfn.TEXTSPLIT(M130,";")&lt;&gt;"")))</f>
        <v>21</v>
      </c>
      <c r="O130" s="16" t="str">
        <f t="shared" si="3"/>
        <v>Y</v>
      </c>
      <c r="P130" s="19">
        <f>IFERROR(_xlfn.XLOOKUP($B130,Raw_Data!$A$3:$A$273,Raw_Data!$V$3:$V$273),"")</f>
        <v>0.19047619047619047</v>
      </c>
      <c r="Q130" s="16" t="str">
        <f t="shared" si="4"/>
        <v>Y</v>
      </c>
      <c r="R130" s="32">
        <f>IFERROR(_xlfn.XLOOKUP($B130,Raw_Data!$A$3:$A$273,Raw_Data!$Y$3:$Y$273),"")</f>
        <v>0.80952380952380953</v>
      </c>
      <c r="S130" s="4" t="str" cm="1">
        <f t="array" ref="S130">_xlfn.LET(_xlpm.s, Raw_Data!W130,_xlpm.strat, _xlfn._xlws.FILTER(REF_Setup!$B$3:$B$40, REF_Setup!$B$3:$B$40&lt;&gt;""),IF(OR(_xlpm.s="",_xlpm.s=0),"Unclassified",IF(SUM(--ISNUMBER(SEARCH(_xlpm.strat, _xlpm.s)))&gt;0, "Y", "N"))
)</f>
        <v>N</v>
      </c>
      <c r="T130" s="4" t="str" cm="1">
        <f t="array" ref="T130">_xlfn.LET(_xlpm.s,M130,_xlpm.phil, _xlfn._xlws.FILTER(REF_Setup!$D$3:$D$5, REF_Setup!$D$3:$D$5&lt;&gt;""),IF(OR(_xlpm.s="", _xlpm.s=0),"Unclassified",IF(SUM(--ISNUMBER(SEARCH(_xlpm.phil, _xlpm.s)))&gt;0, "Y", "N")))</f>
        <v>N</v>
      </c>
      <c r="U130" s="4" t="str" cm="1">
        <f t="array" ref="U130">IF(M130="", "Unclassified", IF(AND(SUMPRODUCT(--ISNUMBER(SEARCH(REF_Setup!$B$3:$B$40,M130)))&gt;0,SUMPRODUCT(--ISNUMBER(SEARCH(REF_Setup!$F$3:$F$15,M130)))&gt;0),"Mixed",IF(SUMPRODUCT(--ISNUMBER(SEARCH(REF_Setup!$B$3:$B$40,M130)))&gt;0,"Strategic Only",IF(SUMPRODUCT(--ISNUMBER(SEARCH(REF_Setup!$F$3:$F$15,M130)))&gt;0,"VC Only","Unclassified"))))</f>
        <v>VC Only</v>
      </c>
    </row>
    <row r="131" spans="2:21" x14ac:dyDescent="0.35">
      <c r="B131" s="4">
        <f t="shared" si="5"/>
        <v>129</v>
      </c>
      <c r="C131" s="4" t="str">
        <f>IFERROR(_xlfn.XLOOKUP($B131,Raw_Data!$A$3:$A$273,Raw_Data!$B$3:$B$273),"")</f>
        <v>Loop (Electrical Equipment)</v>
      </c>
      <c r="D131" s="4" t="str">
        <f>IFERROR(_xlfn.XLOOKUP($B131,Raw_Data!$A$3:$A$273,Raw_Data!$C$3:$C$273),"")</f>
        <v>El Segundo, CA</v>
      </c>
      <c r="E131" s="4">
        <f>IFERROR(_xlfn.XLOOKUP($B131,Raw_Data!$A$3:$A$273,Raw_Data!$D$3:$D$273),"")</f>
        <v>2017</v>
      </c>
      <c r="F131" s="4" t="str">
        <f>IFERROR(_xlfn.XLOOKUP($B131,Raw_Data!$A$3:$A$273,Raw_Data!$F$3:$F$273),"")</f>
        <v>Hydrogen</v>
      </c>
      <c r="G131" s="35">
        <f>IFERROR(_xlfn.XLOOKUP($B131,Raw_Data!$A$3:$A$273,Raw_Data!$J$3:$J$273),"")</f>
        <v>44837</v>
      </c>
      <c r="H131" s="16" t="s">
        <v>1465</v>
      </c>
      <c r="I131" s="36">
        <f>IFERROR(_xlfn.XLOOKUP($B131,Raw_Data!$A$3:$A$273,Raw_Data!$I$3:$I$273),"")</f>
        <v>60</v>
      </c>
      <c r="J131" s="36">
        <f>IFERROR(_xlfn.XLOOKUP($B131,Raw_Data!$A$3:$A$273,Raw_Data!$L$3:$L$273),"")</f>
        <v>60</v>
      </c>
      <c r="K131" s="36">
        <f>IFERROR(_xlfn.XLOOKUP($B131,Raw_Data!$A$3:$A$273,Raw_Data!$M$3:$M$273),"")</f>
        <v>0</v>
      </c>
      <c r="L131" s="15">
        <f>IFERROR(_xlfn.XLOOKUP($B131,Raw_Data!$A$3:$A$273,Raw_Data!$Q$3:$Q$273),"")</f>
        <v>0.33333333333333331</v>
      </c>
      <c r="M131" s="34" t="str">
        <f>IFERROR(_xlfn.XLOOKUP($B131,Raw_Data!$A$3:$A$273,Raw_Data!$R$3:$R$273),"")</f>
        <v>Agility Ventures; Fifth Wall; Keystone National Group</v>
      </c>
      <c r="N131" s="16" cm="1">
        <f t="array" ref="N131">IF(M131="",0,COUNTA(_xlfn._xlws.FILTER(_xlfn.TEXTSPLIT(M131,";"), _xlfn.TEXTSPLIT(M131,";")&lt;&gt;"")))</f>
        <v>3</v>
      </c>
      <c r="O131" s="16" t="str">
        <f t="shared" si="3"/>
        <v>N</v>
      </c>
      <c r="P131" s="19">
        <f>IFERROR(_xlfn.XLOOKUP($B131,Raw_Data!$A$3:$A$273,Raw_Data!$V$3:$V$273),"")</f>
        <v>0</v>
      </c>
      <c r="Q131" s="16" t="str">
        <f t="shared" si="4"/>
        <v>Y</v>
      </c>
      <c r="R131" s="32">
        <f>IFERROR(_xlfn.XLOOKUP($B131,Raw_Data!$A$3:$A$273,Raw_Data!$Y$3:$Y$273),"")</f>
        <v>1</v>
      </c>
      <c r="S131" s="4" t="str" cm="1">
        <f t="array" ref="S131">_xlfn.LET(_xlpm.s, Raw_Data!W131,_xlpm.strat, _xlfn._xlws.FILTER(REF_Setup!$B$3:$B$40, REF_Setup!$B$3:$B$40&lt;&gt;""),IF(OR(_xlpm.s="",_xlpm.s=0),"Unclassified",IF(SUM(--ISNUMBER(SEARCH(_xlpm.strat, _xlpm.s)))&gt;0, "Y", "N"))
)</f>
        <v>N</v>
      </c>
      <c r="T131" s="4" t="str" cm="1">
        <f t="array" ref="T131">_xlfn.LET(_xlpm.s,M131,_xlpm.phil, _xlfn._xlws.FILTER(REF_Setup!$D$3:$D$5, REF_Setup!$D$3:$D$5&lt;&gt;""),IF(OR(_xlpm.s="", _xlpm.s=0),"Unclassified",IF(SUM(--ISNUMBER(SEARCH(_xlpm.phil, _xlpm.s)))&gt;0, "Y", "N")))</f>
        <v>N</v>
      </c>
      <c r="U131" s="4" t="str" cm="1">
        <f t="array" ref="U131">IF(M131="", "Unclassified", IF(AND(SUMPRODUCT(--ISNUMBER(SEARCH(REF_Setup!$B$3:$B$40,M131)))&gt;0,SUMPRODUCT(--ISNUMBER(SEARCH(REF_Setup!$F$3:$F$15,M131)))&gt;0),"Mixed",IF(SUMPRODUCT(--ISNUMBER(SEARCH(REF_Setup!$B$3:$B$40,M131)))&gt;0,"Strategic Only",IF(SUMPRODUCT(--ISNUMBER(SEARCH(REF_Setup!$F$3:$F$15,M131)))&gt;0,"VC Only","Unclassified"))))</f>
        <v>VC Only</v>
      </c>
    </row>
    <row r="132" spans="2:21" x14ac:dyDescent="0.35">
      <c r="B132" s="4">
        <f t="shared" si="5"/>
        <v>130</v>
      </c>
      <c r="C132" s="4" t="str">
        <f>IFERROR(_xlfn.XLOOKUP($B132,Raw_Data!$A$3:$A$273,Raw_Data!$B$3:$B$273),"")</f>
        <v>Lygos</v>
      </c>
      <c r="D132" s="4" t="str">
        <f>IFERROR(_xlfn.XLOOKUP($B132,Raw_Data!$A$3:$A$273,Raw_Data!$C$3:$C$273),"")</f>
        <v>Hayward, CA</v>
      </c>
      <c r="E132" s="4">
        <f>IFERROR(_xlfn.XLOOKUP($B132,Raw_Data!$A$3:$A$273,Raw_Data!$D$3:$D$273),"")</f>
        <v>2010</v>
      </c>
      <c r="F132" s="4" t="str">
        <f>IFERROR(_xlfn.XLOOKUP($B132,Raw_Data!$A$3:$A$273,Raw_Data!$F$3:$F$273),"")</f>
        <v>Industrial Decarbonization</v>
      </c>
      <c r="G132" s="35">
        <f>IFERROR(_xlfn.XLOOKUP($B132,Raw_Data!$A$3:$A$273,Raw_Data!$J$3:$J$273),"")</f>
        <v>43488</v>
      </c>
      <c r="H132" s="16" t="s">
        <v>1467</v>
      </c>
      <c r="I132" s="36">
        <f>IFERROR(_xlfn.XLOOKUP($B132,Raw_Data!$A$3:$A$273,Raw_Data!$I$3:$I$273),"")</f>
        <v>49.68</v>
      </c>
      <c r="J132" s="36">
        <f>IFERROR(_xlfn.XLOOKUP($B132,Raw_Data!$A$3:$A$273,Raw_Data!$L$3:$L$273),"")</f>
        <v>15</v>
      </c>
      <c r="K132" s="36">
        <f>IFERROR(_xlfn.XLOOKUP($B132,Raw_Data!$A$3:$A$273,Raw_Data!$M$3:$M$273),"")</f>
        <v>95</v>
      </c>
      <c r="L132" s="15">
        <f>IFERROR(_xlfn.XLOOKUP($B132,Raw_Data!$A$3:$A$273,Raw_Data!$Q$3:$Q$273),"")</f>
        <v>0</v>
      </c>
      <c r="M132" s="34" t="str">
        <f>IFERROR(_xlfn.XLOOKUP($B132,Raw_Data!$A$3:$A$273,Raw_Data!$R$3:$R$273),"")</f>
        <v xml:space="preserve">Kalyan Vepuri; LG Technology Ventures </v>
      </c>
      <c r="N132" s="16" cm="1">
        <f t="array" ref="N132">IF(M132="",0,COUNTA(_xlfn._xlws.FILTER(_xlfn.TEXTSPLIT(M132,";"), _xlfn.TEXTSPLIT(M132,";")&lt;&gt;"")))</f>
        <v>2</v>
      </c>
      <c r="O132" s="16" t="str">
        <f t="shared" ref="O132:O195" si="6">IF(P132&gt;0,"Y","N")</f>
        <v>N</v>
      </c>
      <c r="P132" s="19">
        <f>IFERROR(_xlfn.XLOOKUP($B132,Raw_Data!$A$3:$A$273,Raw_Data!$V$3:$V$273),"")</f>
        <v>0</v>
      </c>
      <c r="Q132" s="16" t="str">
        <f t="shared" ref="Q132:Q195" si="7">IF(R132&gt;0,"Y","N")</f>
        <v>Y</v>
      </c>
      <c r="R132" s="32">
        <f>IFERROR(_xlfn.XLOOKUP($B132,Raw_Data!$A$3:$A$273,Raw_Data!$Y$3:$Y$273),"")</f>
        <v>1</v>
      </c>
      <c r="S132" s="4" t="str" cm="1">
        <f t="array" ref="S132">_xlfn.LET(_xlpm.s, Raw_Data!W132,_xlpm.strat, _xlfn._xlws.FILTER(REF_Setup!$B$3:$B$40, REF_Setup!$B$3:$B$40&lt;&gt;""),IF(OR(_xlpm.s="",_xlpm.s=0),"Unclassified",IF(SUM(--ISNUMBER(SEARCH(_xlpm.strat, _xlpm.s)))&gt;0, "Y", "N"))
)</f>
        <v>N</v>
      </c>
      <c r="T132" s="4" t="str" cm="1">
        <f t="array" ref="T132">_xlfn.LET(_xlpm.s,M132,_xlpm.phil, _xlfn._xlws.FILTER(REF_Setup!$D$3:$D$5, REF_Setup!$D$3:$D$5&lt;&gt;""),IF(OR(_xlpm.s="", _xlpm.s=0),"Unclassified",IF(SUM(--ISNUMBER(SEARCH(_xlpm.phil, _xlpm.s)))&gt;0, "Y", "N")))</f>
        <v>N</v>
      </c>
      <c r="U132" s="4" t="str" cm="1">
        <f t="array" ref="U132">IF(M132="", "Unclassified", IF(AND(SUMPRODUCT(--ISNUMBER(SEARCH(REF_Setup!$B$3:$B$40,M132)))&gt;0,SUMPRODUCT(--ISNUMBER(SEARCH(REF_Setup!$F$3:$F$15,M132)))&gt;0),"Mixed",IF(SUMPRODUCT(--ISNUMBER(SEARCH(REF_Setup!$B$3:$B$40,M132)))&gt;0,"Strategic Only",IF(SUMPRODUCT(--ISNUMBER(SEARCH(REF_Setup!$F$3:$F$15,M132)))&gt;0,"VC Only","Unclassified"))))</f>
        <v>VC Only</v>
      </c>
    </row>
    <row r="133" spans="2:21" x14ac:dyDescent="0.35">
      <c r="B133" s="4">
        <f t="shared" ref="B133:B196" si="8">B132+1</f>
        <v>131</v>
      </c>
      <c r="C133" s="4" t="str">
        <f>IFERROR(_xlfn.XLOOKUP($B133,Raw_Data!$A$3:$A$273,Raw_Data!$B$3:$B$273),"")</f>
        <v>Maas Energy Works</v>
      </c>
      <c r="D133" s="4" t="str">
        <f>IFERROR(_xlfn.XLOOKUP($B133,Raw_Data!$A$3:$A$273,Raw_Data!$C$3:$C$273),"")</f>
        <v>Redding. CA</v>
      </c>
      <c r="E133" s="4">
        <f>IFERROR(_xlfn.XLOOKUP($B133,Raw_Data!$A$3:$A$273,Raw_Data!$D$3:$D$273),"")</f>
        <v>2010</v>
      </c>
      <c r="F133" s="4" t="str">
        <f>IFERROR(_xlfn.XLOOKUP($B133,Raw_Data!$A$3:$A$273,Raw_Data!$F$3:$F$273),"")</f>
        <v>Renewables</v>
      </c>
      <c r="G133" s="35">
        <f>IFERROR(_xlfn.XLOOKUP($B133,Raw_Data!$A$3:$A$273,Raw_Data!$J$3:$J$273),"")</f>
        <v>44866</v>
      </c>
      <c r="H133" s="4" t="s">
        <v>75</v>
      </c>
      <c r="I133" s="36">
        <f>IFERROR(_xlfn.XLOOKUP($B133,Raw_Data!$A$3:$A$273,Raw_Data!$I$3:$I$273),"")</f>
        <v>1.31</v>
      </c>
      <c r="J133" s="36">
        <f>IFERROR(_xlfn.XLOOKUP($B133,Raw_Data!$A$3:$A$273,Raw_Data!$L$3:$L$273),"")</f>
        <v>0</v>
      </c>
      <c r="K133" s="36">
        <f>IFERROR(_xlfn.XLOOKUP($B133,Raw_Data!$A$3:$A$273,Raw_Data!$M$3:$M$273),"")</f>
        <v>0</v>
      </c>
      <c r="L133" s="15" t="str">
        <f>IFERROR(_xlfn.XLOOKUP($B133,Raw_Data!$A$3:$A$273,Raw_Data!$Q$3:$Q$273),"")</f>
        <v>N/A</v>
      </c>
      <c r="M133" s="34" t="str">
        <f>IFERROR(_xlfn.XLOOKUP($B133,Raw_Data!$A$3:$A$273,Raw_Data!$R$3:$R$273),"")</f>
        <v xml:space="preserve">Stonepeak Partners </v>
      </c>
      <c r="N133" s="16" cm="1">
        <f t="array" ref="N133">IF(M133="",0,COUNTA(_xlfn._xlws.FILTER(_xlfn.TEXTSPLIT(M133,";"), _xlfn.TEXTSPLIT(M133,";")&lt;&gt;"")))</f>
        <v>1</v>
      </c>
      <c r="O133" s="16" t="str">
        <f t="shared" si="6"/>
        <v>N</v>
      </c>
      <c r="P133" s="19">
        <f>IFERROR(_xlfn.XLOOKUP($B133,Raw_Data!$A$3:$A$273,Raw_Data!$V$3:$V$273),"")</f>
        <v>0</v>
      </c>
      <c r="Q133" s="16" t="str">
        <f t="shared" si="7"/>
        <v>Y</v>
      </c>
      <c r="R133" s="32">
        <f>IFERROR(_xlfn.XLOOKUP($B133,Raw_Data!$A$3:$A$273,Raw_Data!$Y$3:$Y$273),"")</f>
        <v>1</v>
      </c>
      <c r="S133" s="4" t="str" cm="1">
        <f t="array" ref="S133">_xlfn.LET(_xlpm.s, Raw_Data!W133,_xlpm.strat, _xlfn._xlws.FILTER(REF_Setup!$B$3:$B$40, REF_Setup!$B$3:$B$40&lt;&gt;""),IF(OR(_xlpm.s="",_xlpm.s=0),"Unclassified",IF(SUM(--ISNUMBER(SEARCH(_xlpm.strat, _xlpm.s)))&gt;0, "Y", "N"))
)</f>
        <v>N</v>
      </c>
      <c r="T133" s="4" t="str" cm="1">
        <f t="array" ref="T133">_xlfn.LET(_xlpm.s,M133,_xlpm.phil, _xlfn._xlws.FILTER(REF_Setup!$D$3:$D$5, REF_Setup!$D$3:$D$5&lt;&gt;""),IF(OR(_xlpm.s="", _xlpm.s=0),"Unclassified",IF(SUM(--ISNUMBER(SEARCH(_xlpm.phil, _xlpm.s)))&gt;0, "Y", "N")))</f>
        <v>N</v>
      </c>
      <c r="U133" s="4" t="str" cm="1">
        <f t="array" ref="U133">IF(M133="", "Unclassified", IF(AND(SUMPRODUCT(--ISNUMBER(SEARCH(REF_Setup!$B$3:$B$40,M133)))&gt;0,SUMPRODUCT(--ISNUMBER(SEARCH(REF_Setup!$F$3:$F$15,M133)))&gt;0),"Mixed",IF(SUMPRODUCT(--ISNUMBER(SEARCH(REF_Setup!$B$3:$B$40,M133)))&gt;0,"Strategic Only",IF(SUMPRODUCT(--ISNUMBER(SEARCH(REF_Setup!$F$3:$F$15,M133)))&gt;0,"VC Only","Unclassified"))))</f>
        <v>VC Only</v>
      </c>
    </row>
    <row r="134" spans="2:21" x14ac:dyDescent="0.35">
      <c r="B134" s="4">
        <f t="shared" si="8"/>
        <v>132</v>
      </c>
      <c r="C134" s="4" t="str">
        <f>IFERROR(_xlfn.XLOOKUP($B134,Raw_Data!$A$3:$A$273,Raw_Data!$B$3:$B$273),"")</f>
        <v>Manus</v>
      </c>
      <c r="D134" s="4" t="str">
        <f>IFERROR(_xlfn.XLOOKUP($B134,Raw_Data!$A$3:$A$273,Raw_Data!$C$3:$C$273),"")</f>
        <v>Waltham, MA</v>
      </c>
      <c r="E134" s="4">
        <f>IFERROR(_xlfn.XLOOKUP($B134,Raw_Data!$A$3:$A$273,Raw_Data!$D$3:$D$273),"")</f>
        <v>2011</v>
      </c>
      <c r="F134" s="4" t="str">
        <f>IFERROR(_xlfn.XLOOKUP($B134,Raw_Data!$A$3:$A$273,Raw_Data!$F$3:$F$273),"")</f>
        <v>Industrial Decarbonization</v>
      </c>
      <c r="G134" s="35">
        <f>IFERROR(_xlfn.XLOOKUP($B134,Raw_Data!$A$3:$A$273,Raw_Data!$J$3:$J$273),"")</f>
        <v>43256</v>
      </c>
      <c r="H134" s="16" t="s">
        <v>1465</v>
      </c>
      <c r="I134" s="36">
        <f>IFERROR(_xlfn.XLOOKUP($B134,Raw_Data!$A$3:$A$273,Raw_Data!$I$3:$I$273),"")</f>
        <v>22.12</v>
      </c>
      <c r="J134" s="36">
        <f>IFERROR(_xlfn.XLOOKUP($B134,Raw_Data!$A$3:$A$273,Raw_Data!$L$3:$L$273),"")</f>
        <v>9.4</v>
      </c>
      <c r="K134" s="36">
        <f>IFERROR(_xlfn.XLOOKUP($B134,Raw_Data!$A$3:$A$273,Raw_Data!$M$3:$M$273),"")</f>
        <v>79</v>
      </c>
      <c r="L134" s="15">
        <f>IFERROR(_xlfn.XLOOKUP($B134,Raw_Data!$A$3:$A$273,Raw_Data!$Q$3:$Q$273),"")</f>
        <v>0</v>
      </c>
      <c r="M134" s="34" t="str">
        <f>IFERROR(_xlfn.XLOOKUP($B134,Raw_Data!$A$3:$A$273,Raw_Data!$R$3:$R$273),"")</f>
        <v xml:space="preserve">EGI Capital; Taihill Venture </v>
      </c>
      <c r="N134" s="16" cm="1">
        <f t="array" ref="N134">IF(M134="",0,COUNTA(_xlfn._xlws.FILTER(_xlfn.TEXTSPLIT(M134,";"), _xlfn.TEXTSPLIT(M134,";")&lt;&gt;"")))</f>
        <v>2</v>
      </c>
      <c r="O134" s="16" t="str">
        <f t="shared" si="6"/>
        <v>N</v>
      </c>
      <c r="P134" s="19">
        <f>IFERROR(_xlfn.XLOOKUP($B134,Raw_Data!$A$3:$A$273,Raw_Data!$V$3:$V$273),"")</f>
        <v>0</v>
      </c>
      <c r="Q134" s="16" t="str">
        <f t="shared" si="7"/>
        <v>Y</v>
      </c>
      <c r="R134" s="32">
        <f>IFERROR(_xlfn.XLOOKUP($B134,Raw_Data!$A$3:$A$273,Raw_Data!$Y$3:$Y$273),"")</f>
        <v>1</v>
      </c>
      <c r="S134" s="4" t="str" cm="1">
        <f t="array" ref="S134">_xlfn.LET(_xlpm.s, Raw_Data!W134,_xlpm.strat, _xlfn._xlws.FILTER(REF_Setup!$B$3:$B$40, REF_Setup!$B$3:$B$40&lt;&gt;""),IF(OR(_xlpm.s="",_xlpm.s=0),"Unclassified",IF(SUM(--ISNUMBER(SEARCH(_xlpm.strat, _xlpm.s)))&gt;0, "Y", "N"))
)</f>
        <v>N</v>
      </c>
      <c r="T134" s="4" t="str" cm="1">
        <f t="array" ref="T134">_xlfn.LET(_xlpm.s,M134,_xlpm.phil, _xlfn._xlws.FILTER(REF_Setup!$D$3:$D$5, REF_Setup!$D$3:$D$5&lt;&gt;""),IF(OR(_xlpm.s="", _xlpm.s=0),"Unclassified",IF(SUM(--ISNUMBER(SEARCH(_xlpm.phil, _xlpm.s)))&gt;0, "Y", "N")))</f>
        <v>N</v>
      </c>
      <c r="U134" s="4" t="str" cm="1">
        <f t="array" ref="U134">IF(M134="", "Unclassified", IF(AND(SUMPRODUCT(--ISNUMBER(SEARCH(REF_Setup!$B$3:$B$40,M134)))&gt;0,SUMPRODUCT(--ISNUMBER(SEARCH(REF_Setup!$F$3:$F$15,M134)))&gt;0),"Mixed",IF(SUMPRODUCT(--ISNUMBER(SEARCH(REF_Setup!$B$3:$B$40,M134)))&gt;0,"Strategic Only",IF(SUMPRODUCT(--ISNUMBER(SEARCH(REF_Setup!$F$3:$F$15,M134)))&gt;0,"VC Only","Unclassified"))))</f>
        <v>VC Only</v>
      </c>
    </row>
    <row r="135" spans="2:21" x14ac:dyDescent="0.35">
      <c r="B135" s="4">
        <f t="shared" si="8"/>
        <v>133</v>
      </c>
      <c r="C135" s="4" t="str">
        <f>IFERROR(_xlfn.XLOOKUP($B135,Raw_Data!$A$3:$A$273,Raw_Data!$B$3:$B$273),"")</f>
        <v>Membrion</v>
      </c>
      <c r="D135" s="4" t="str">
        <f>IFERROR(_xlfn.XLOOKUP($B135,Raw_Data!$A$3:$A$273,Raw_Data!$C$3:$C$273),"")</f>
        <v>Seattle, WA</v>
      </c>
      <c r="E135" s="4">
        <f>IFERROR(_xlfn.XLOOKUP($B135,Raw_Data!$A$3:$A$273,Raw_Data!$D$3:$D$273),"")</f>
        <v>2016</v>
      </c>
      <c r="F135" s="4" t="str">
        <f>IFERROR(_xlfn.XLOOKUP($B135,Raw_Data!$A$3:$A$273,Raw_Data!$F$3:$F$273),"")</f>
        <v>Industrial Decarbonization</v>
      </c>
      <c r="G135" s="35">
        <f>IFERROR(_xlfn.XLOOKUP($B135,Raw_Data!$A$3:$A$273,Raw_Data!$J$3:$J$273),"")</f>
        <v>44455</v>
      </c>
      <c r="H135" s="16" t="s">
        <v>1465</v>
      </c>
      <c r="I135" s="36">
        <f>IFERROR(_xlfn.XLOOKUP($B135,Raw_Data!$A$3:$A$273,Raw_Data!$I$3:$I$273),"")</f>
        <v>10.88</v>
      </c>
      <c r="J135" s="36">
        <f>IFERROR(_xlfn.XLOOKUP($B135,Raw_Data!$A$3:$A$273,Raw_Data!$L$3:$L$273),"")</f>
        <v>2.96</v>
      </c>
      <c r="K135" s="36">
        <f>IFERROR(_xlfn.XLOOKUP($B135,Raw_Data!$A$3:$A$273,Raw_Data!$M$3:$M$273),"")</f>
        <v>18.96</v>
      </c>
      <c r="L135" s="15">
        <f>IFERROR(_xlfn.XLOOKUP($B135,Raw_Data!$A$3:$A$273,Raw_Data!$Q$3:$Q$273),"")</f>
        <v>0</v>
      </c>
      <c r="M135" s="34" t="str">
        <f>IFERROR(_xlfn.XLOOKUP($B135,Raw_Data!$A$3:$A$273,Raw_Data!$R$3:$R$273),"")</f>
        <v xml:space="preserve">Sand Hill Angels </v>
      </c>
      <c r="N135" s="16" cm="1">
        <f t="array" ref="N135">IF(M135="",0,COUNTA(_xlfn._xlws.FILTER(_xlfn.TEXTSPLIT(M135,";"), _xlfn.TEXTSPLIT(M135,";")&lt;&gt;"")))</f>
        <v>1</v>
      </c>
      <c r="O135" s="16" t="str">
        <f t="shared" si="6"/>
        <v>Y</v>
      </c>
      <c r="P135" s="19">
        <f>IFERROR(_xlfn.XLOOKUP($B135,Raw_Data!$A$3:$A$273,Raw_Data!$V$3:$V$273),"")</f>
        <v>1</v>
      </c>
      <c r="Q135" s="16" t="str">
        <f t="shared" si="7"/>
        <v>Y</v>
      </c>
      <c r="R135" s="32" t="str">
        <f>IFERROR(_xlfn.XLOOKUP($B135,Raw_Data!$A$3:$A$273,Raw_Data!$Y$3:$Y$273),"")</f>
        <v>N/A</v>
      </c>
      <c r="S135" s="4" t="str" cm="1">
        <f t="array" ref="S135">_xlfn.LET(_xlpm.s, Raw_Data!W135,_xlpm.strat, _xlfn._xlws.FILTER(REF_Setup!$B$3:$B$40, REF_Setup!$B$3:$B$40&lt;&gt;""),IF(OR(_xlpm.s="",_xlpm.s=0),"Unclassified",IF(SUM(--ISNUMBER(SEARCH(_xlpm.strat, _xlpm.s)))&gt;0, "Y", "N"))
)</f>
        <v>Unclassified</v>
      </c>
      <c r="T135" s="4" t="str" cm="1">
        <f t="array" ref="T135">_xlfn.LET(_xlpm.s,M135,_xlpm.phil, _xlfn._xlws.FILTER(REF_Setup!$D$3:$D$5, REF_Setup!$D$3:$D$5&lt;&gt;""),IF(OR(_xlpm.s="", _xlpm.s=0),"Unclassified",IF(SUM(--ISNUMBER(SEARCH(_xlpm.phil, _xlpm.s)))&gt;0, "Y", "N")))</f>
        <v>N</v>
      </c>
      <c r="U135" s="4" t="str" cm="1">
        <f t="array" ref="U135">IF(M135="", "Unclassified", IF(AND(SUMPRODUCT(--ISNUMBER(SEARCH(REF_Setup!$B$3:$B$40,M135)))&gt;0,SUMPRODUCT(--ISNUMBER(SEARCH(REF_Setup!$F$3:$F$15,M135)))&gt;0),"Mixed",IF(SUMPRODUCT(--ISNUMBER(SEARCH(REF_Setup!$B$3:$B$40,M135)))&gt;0,"Strategic Only",IF(SUMPRODUCT(--ISNUMBER(SEARCH(REF_Setup!$F$3:$F$15,M135)))&gt;0,"VC Only","Unclassified"))))</f>
        <v>Unclassified</v>
      </c>
    </row>
    <row r="136" spans="2:21" ht="43.5" x14ac:dyDescent="0.35">
      <c r="B136" s="4">
        <f t="shared" si="8"/>
        <v>134</v>
      </c>
      <c r="C136" s="4" t="str">
        <f>IFERROR(_xlfn.XLOOKUP($B136,Raw_Data!$A$3:$A$273,Raw_Data!$B$3:$B$273),"")</f>
        <v>Membrion</v>
      </c>
      <c r="D136" s="4" t="str">
        <f>IFERROR(_xlfn.XLOOKUP($B136,Raw_Data!$A$3:$A$273,Raw_Data!$C$3:$C$273),"")</f>
        <v>Seattle, WA</v>
      </c>
      <c r="E136" s="4">
        <f>IFERROR(_xlfn.XLOOKUP($B136,Raw_Data!$A$3:$A$273,Raw_Data!$D$3:$D$273),"")</f>
        <v>2016</v>
      </c>
      <c r="F136" s="4" t="str">
        <f>IFERROR(_xlfn.XLOOKUP($B136,Raw_Data!$A$3:$A$273,Raw_Data!$F$3:$F$273),"")</f>
        <v>Industrial Decarbonization</v>
      </c>
      <c r="G136" s="35">
        <f>IFERROR(_xlfn.XLOOKUP($B136,Raw_Data!$A$3:$A$273,Raw_Data!$J$3:$J$273),"")</f>
        <v>45944</v>
      </c>
      <c r="H136" s="16" t="s">
        <v>1467</v>
      </c>
      <c r="I136" s="36">
        <f>IFERROR(_xlfn.XLOOKUP($B136,Raw_Data!$A$3:$A$273,Raw_Data!$I$3:$I$273),"")</f>
        <v>46.33</v>
      </c>
      <c r="J136" s="36">
        <f>IFERROR(_xlfn.XLOOKUP($B136,Raw_Data!$A$3:$A$273,Raw_Data!$L$3:$L$273),"")</f>
        <v>22.95</v>
      </c>
      <c r="K136" s="36">
        <f>IFERROR(_xlfn.XLOOKUP($B136,Raw_Data!$A$3:$A$273,Raw_Data!$M$3:$M$273),"")</f>
        <v>0</v>
      </c>
      <c r="L136" s="15">
        <f>IFERROR(_xlfn.XLOOKUP($B136,Raw_Data!$A$3:$A$273,Raw_Data!$Q$3:$Q$273),"")</f>
        <v>0.12854030501089325</v>
      </c>
      <c r="M136" s="34" t="str">
        <f>IFERROR(_xlfn.XLOOKUP($B136,Raw_Data!$A$3:$A$273,Raw_Data!$R$3:$R$273),"")</f>
        <v>Ecolab; GiantLeap Capital; Indico Capital Partners; Lam Research; New York Angels; Pangaea Ventures; PuraTerra Ventures; Safar Partners; W.L. Gore &amp; Associates</v>
      </c>
      <c r="N136" s="16" cm="1">
        <f t="array" ref="N136">IF(M136="",0,COUNTA(_xlfn._xlws.FILTER(_xlfn.TEXTSPLIT(M136,";"), _xlfn.TEXTSPLIT(M136,";")&lt;&gt;"")))</f>
        <v>9</v>
      </c>
      <c r="O136" s="16" t="str">
        <f t="shared" si="6"/>
        <v>Y</v>
      </c>
      <c r="P136" s="19">
        <f>IFERROR(_xlfn.XLOOKUP($B136,Raw_Data!$A$3:$A$273,Raw_Data!$V$3:$V$273),"")</f>
        <v>0.44444444444444442</v>
      </c>
      <c r="Q136" s="16" t="str">
        <f t="shared" si="7"/>
        <v>Y</v>
      </c>
      <c r="R136" s="32">
        <f>IFERROR(_xlfn.XLOOKUP($B136,Raw_Data!$A$3:$A$273,Raw_Data!$Y$3:$Y$273),"")</f>
        <v>0.66666666666666663</v>
      </c>
      <c r="S136" s="4" t="str" cm="1">
        <f t="array" ref="S136">_xlfn.LET(_xlpm.s, Raw_Data!W136,_xlpm.strat, _xlfn._xlws.FILTER(REF_Setup!$B$3:$B$40, REF_Setup!$B$3:$B$40&lt;&gt;""),IF(OR(_xlpm.s="",_xlpm.s=0),"Unclassified",IF(SUM(--ISNUMBER(SEARCH(_xlpm.strat, _xlpm.s)))&gt;0, "Y", "N"))
)</f>
        <v>N</v>
      </c>
      <c r="T136" s="4" t="str" cm="1">
        <f t="array" ref="T136">_xlfn.LET(_xlpm.s,M136,_xlpm.phil, _xlfn._xlws.FILTER(REF_Setup!$D$3:$D$5, REF_Setup!$D$3:$D$5&lt;&gt;""),IF(OR(_xlpm.s="", _xlpm.s=0),"Unclassified",IF(SUM(--ISNUMBER(SEARCH(_xlpm.phil, _xlpm.s)))&gt;0, "Y", "N")))</f>
        <v>N</v>
      </c>
      <c r="U136" s="4" t="str" cm="1">
        <f t="array" ref="U136">IF(M136="", "Unclassified", IF(AND(SUMPRODUCT(--ISNUMBER(SEARCH(REF_Setup!$B$3:$B$40,M136)))&gt;0,SUMPRODUCT(--ISNUMBER(SEARCH(REF_Setup!$F$3:$F$15,M136)))&gt;0),"Mixed",IF(SUMPRODUCT(--ISNUMBER(SEARCH(REF_Setup!$B$3:$B$40,M136)))&gt;0,"Strategic Only",IF(SUMPRODUCT(--ISNUMBER(SEARCH(REF_Setup!$F$3:$F$15,M136)))&gt;0,"VC Only","Unclassified"))))</f>
        <v>VC Only</v>
      </c>
    </row>
    <row r="137" spans="2:21" x14ac:dyDescent="0.35">
      <c r="B137" s="4">
        <f t="shared" si="8"/>
        <v>135</v>
      </c>
      <c r="C137" s="4" t="str">
        <f>IFERROR(_xlfn.XLOOKUP($B137,Raw_Data!$A$3:$A$273,Raw_Data!$B$3:$B$273),"")</f>
        <v>Mesodyme</v>
      </c>
      <c r="D137" s="4" t="str">
        <f>IFERROR(_xlfn.XLOOKUP($B137,Raw_Data!$A$3:$A$273,Raw_Data!$C$3:$C$273),"")</f>
        <v>Somerville, MA</v>
      </c>
      <c r="E137" s="4">
        <f>IFERROR(_xlfn.XLOOKUP($B137,Raw_Data!$A$3:$A$273,Raw_Data!$D$3:$D$273),"")</f>
        <v>2017</v>
      </c>
      <c r="F137" s="4" t="str">
        <f>IFERROR(_xlfn.XLOOKUP($B137,Raw_Data!$A$3:$A$273,Raw_Data!$F$3:$F$273),"")</f>
        <v>Industrial Decarbonization</v>
      </c>
      <c r="G137" s="35">
        <f>IFERROR(_xlfn.XLOOKUP($B137,Raw_Data!$A$3:$A$273,Raw_Data!$J$3:$J$273),"")</f>
        <v>44315</v>
      </c>
      <c r="H137" s="16" t="s">
        <v>1466</v>
      </c>
      <c r="I137" s="36">
        <f>IFERROR(_xlfn.XLOOKUP($B137,Raw_Data!$A$3:$A$273,Raw_Data!$I$3:$I$273),"")</f>
        <v>0.72</v>
      </c>
      <c r="J137" s="36">
        <f>IFERROR(_xlfn.XLOOKUP($B137,Raw_Data!$A$3:$A$273,Raw_Data!$L$3:$L$273),"")</f>
        <v>0.1</v>
      </c>
      <c r="K137" s="36">
        <f>IFERROR(_xlfn.XLOOKUP($B137,Raw_Data!$A$3:$A$273,Raw_Data!$M$3:$M$273),"")</f>
        <v>0</v>
      </c>
      <c r="L137" s="15">
        <f>IFERROR(_xlfn.XLOOKUP($B137,Raw_Data!$A$3:$A$273,Raw_Data!$Q$3:$Q$273),"")</f>
        <v>0</v>
      </c>
      <c r="M137" s="34" t="str">
        <f>IFERROR(_xlfn.XLOOKUP($B137,Raw_Data!$A$3:$A$273,Raw_Data!$R$3:$R$273),"")</f>
        <v>NextCorps Luminate</v>
      </c>
      <c r="N137" s="16" cm="1">
        <f t="array" ref="N137">IF(M137="",0,COUNTA(_xlfn._xlws.FILTER(_xlfn.TEXTSPLIT(M137,";"), _xlfn.TEXTSPLIT(M137,";")&lt;&gt;"")))</f>
        <v>1</v>
      </c>
      <c r="O137" s="16" t="str">
        <f t="shared" si="6"/>
        <v>N</v>
      </c>
      <c r="P137" s="19">
        <f>IFERROR(_xlfn.XLOOKUP($B137,Raw_Data!$A$3:$A$273,Raw_Data!$V$3:$V$273),"")</f>
        <v>0</v>
      </c>
      <c r="Q137" s="16" t="str">
        <f t="shared" si="7"/>
        <v>Y</v>
      </c>
      <c r="R137" s="32">
        <f>IFERROR(_xlfn.XLOOKUP($B137,Raw_Data!$A$3:$A$273,Raw_Data!$Y$3:$Y$273),"")</f>
        <v>1</v>
      </c>
      <c r="S137" s="4" t="str" cm="1">
        <f t="array" ref="S137">_xlfn.LET(_xlpm.s, Raw_Data!W137,_xlpm.strat, _xlfn._xlws.FILTER(REF_Setup!$B$3:$B$40, REF_Setup!$B$3:$B$40&lt;&gt;""),IF(OR(_xlpm.s="",_xlpm.s=0),"Unclassified",IF(SUM(--ISNUMBER(SEARCH(_xlpm.strat, _xlpm.s)))&gt;0, "Y", "N"))
)</f>
        <v>N</v>
      </c>
      <c r="T137" s="4" t="str" cm="1">
        <f t="array" ref="T137">_xlfn.LET(_xlpm.s,M137,_xlpm.phil, _xlfn._xlws.FILTER(REF_Setup!$D$3:$D$5, REF_Setup!$D$3:$D$5&lt;&gt;""),IF(OR(_xlpm.s="", _xlpm.s=0),"Unclassified",IF(SUM(--ISNUMBER(SEARCH(_xlpm.phil, _xlpm.s)))&gt;0, "Y", "N")))</f>
        <v>N</v>
      </c>
      <c r="U137" s="4" t="str" cm="1">
        <f t="array" ref="U137">IF(M137="", "Unclassified", IF(AND(SUMPRODUCT(--ISNUMBER(SEARCH(REF_Setup!$B$3:$B$40,M137)))&gt;0,SUMPRODUCT(--ISNUMBER(SEARCH(REF_Setup!$F$3:$F$15,M137)))&gt;0),"Mixed",IF(SUMPRODUCT(--ISNUMBER(SEARCH(REF_Setup!$B$3:$B$40,M137)))&gt;0,"Strategic Only",IF(SUMPRODUCT(--ISNUMBER(SEARCH(REF_Setup!$F$3:$F$15,M137)))&gt;0,"VC Only","Unclassified"))))</f>
        <v>Unclassified</v>
      </c>
    </row>
    <row r="138" spans="2:21" x14ac:dyDescent="0.35">
      <c r="B138" s="4">
        <f t="shared" si="8"/>
        <v>136</v>
      </c>
      <c r="C138" s="4" t="str">
        <f>IFERROR(_xlfn.XLOOKUP($B138,Raw_Data!$A$3:$A$273,Raw_Data!$B$3:$B$273),"")</f>
        <v>Mitra Chem</v>
      </c>
      <c r="D138" s="4" t="str">
        <f>IFERROR(_xlfn.XLOOKUP($B138,Raw_Data!$A$3:$A$273,Raw_Data!$C$3:$C$273),"")</f>
        <v>Mountain View, CA</v>
      </c>
      <c r="E138" s="4">
        <f>IFERROR(_xlfn.XLOOKUP($B138,Raw_Data!$A$3:$A$273,Raw_Data!$D$3:$D$273),"")</f>
        <v>2021</v>
      </c>
      <c r="F138" s="4" t="str">
        <f>IFERROR(_xlfn.XLOOKUP($B138,Raw_Data!$A$3:$A$273,Raw_Data!$F$3:$F$273),"")</f>
        <v>Industrial Decarbonization</v>
      </c>
      <c r="G138" s="35">
        <f>IFERROR(_xlfn.XLOOKUP($B138,Raw_Data!$A$3:$A$273,Raw_Data!$J$3:$J$273),"")</f>
        <v>45814</v>
      </c>
      <c r="H138" s="16" t="s">
        <v>1467</v>
      </c>
      <c r="I138" s="36">
        <f>IFERROR(_xlfn.XLOOKUP($B138,Raw_Data!$A$3:$A$273,Raw_Data!$I$3:$I$273),"")</f>
        <v>95.6</v>
      </c>
      <c r="J138" s="36">
        <f>IFERROR(_xlfn.XLOOKUP($B138,Raw_Data!$A$3:$A$273,Raw_Data!$L$3:$L$273),"")</f>
        <v>15.6</v>
      </c>
      <c r="K138" s="36">
        <f>IFERROR(_xlfn.XLOOKUP($B138,Raw_Data!$A$3:$A$273,Raw_Data!$M$3:$M$273),"")</f>
        <v>280</v>
      </c>
      <c r="L138" s="15">
        <f>IFERROR(_xlfn.XLOOKUP($B138,Raw_Data!$A$3:$A$273,Raw_Data!$Q$3:$Q$273),"")</f>
        <v>0</v>
      </c>
      <c r="M138" s="34" t="str">
        <f>IFERROR(_xlfn.XLOOKUP($B138,Raw_Data!$A$3:$A$273,Raw_Data!$R$3:$R$273),"")</f>
        <v>Bidra Innovation Ventures; Bricks Capital Management; L&amp;F; Lane VC</v>
      </c>
      <c r="N138" s="16" cm="1">
        <f t="array" ref="N138">IF(M138="",0,COUNTA(_xlfn._xlws.FILTER(_xlfn.TEXTSPLIT(M138,";"), _xlfn.TEXTSPLIT(M138,";")&lt;&gt;"")))</f>
        <v>4</v>
      </c>
      <c r="O138" s="16" t="str">
        <f t="shared" si="6"/>
        <v>Y</v>
      </c>
      <c r="P138" s="19">
        <f>IFERROR(_xlfn.XLOOKUP($B138,Raw_Data!$A$3:$A$273,Raw_Data!$V$3:$V$273),"")</f>
        <v>0.25</v>
      </c>
      <c r="Q138" s="16" t="str">
        <f t="shared" si="7"/>
        <v>Y</v>
      </c>
      <c r="R138" s="32">
        <f>IFERROR(_xlfn.XLOOKUP($B138,Raw_Data!$A$3:$A$273,Raw_Data!$Y$3:$Y$273),"")</f>
        <v>0.75</v>
      </c>
      <c r="S138" s="4" t="str" cm="1">
        <f t="array" ref="S138">_xlfn.LET(_xlpm.s, Raw_Data!W138,_xlpm.strat, _xlfn._xlws.FILTER(REF_Setup!$B$3:$B$40, REF_Setup!$B$3:$B$40&lt;&gt;""),IF(OR(_xlpm.s="",_xlpm.s=0),"Unclassified",IF(SUM(--ISNUMBER(SEARCH(_xlpm.strat, _xlpm.s)))&gt;0, "Y", "N"))
)</f>
        <v>N</v>
      </c>
      <c r="T138" s="4" t="str" cm="1">
        <f t="array" ref="T138">_xlfn.LET(_xlpm.s,M138,_xlpm.phil, _xlfn._xlws.FILTER(REF_Setup!$D$3:$D$5, REF_Setup!$D$3:$D$5&lt;&gt;""),IF(OR(_xlpm.s="", _xlpm.s=0),"Unclassified",IF(SUM(--ISNUMBER(SEARCH(_xlpm.phil, _xlpm.s)))&gt;0, "Y", "N")))</f>
        <v>N</v>
      </c>
      <c r="U138" s="4" t="str" cm="1">
        <f t="array" ref="U138">IF(M138="", "Unclassified", IF(AND(SUMPRODUCT(--ISNUMBER(SEARCH(REF_Setup!$B$3:$B$40,M138)))&gt;0,SUMPRODUCT(--ISNUMBER(SEARCH(REF_Setup!$F$3:$F$15,M138)))&gt;0),"Mixed",IF(SUMPRODUCT(--ISNUMBER(SEARCH(REF_Setup!$B$3:$B$40,M138)))&gt;0,"Strategic Only",IF(SUMPRODUCT(--ISNUMBER(SEARCH(REF_Setup!$F$3:$F$15,M138)))&gt;0,"VC Only","Unclassified"))))</f>
        <v>VC Only</v>
      </c>
    </row>
    <row r="139" spans="2:21" x14ac:dyDescent="0.35">
      <c r="B139" s="4">
        <f t="shared" si="8"/>
        <v>137</v>
      </c>
      <c r="C139" s="4" t="str">
        <f>IFERROR(_xlfn.XLOOKUP($B139,Raw_Data!$A$3:$A$273,Raw_Data!$B$3:$B$273),"")</f>
        <v>Mobius Energy</v>
      </c>
      <c r="D139" s="4" t="str">
        <f>IFERROR(_xlfn.XLOOKUP($B139,Raw_Data!$A$3:$A$273,Raw_Data!$C$3:$C$273),"")</f>
        <v>Tusti n, CA</v>
      </c>
      <c r="E139" s="4">
        <f>IFERROR(_xlfn.XLOOKUP($B139,Raw_Data!$A$3:$A$273,Raw_Data!$D$3:$D$273),"")</f>
        <v>2020</v>
      </c>
      <c r="F139" s="4" t="str">
        <f>IFERROR(_xlfn.XLOOKUP($B139,Raw_Data!$A$3:$A$273,Raw_Data!$F$3:$F$273),"")</f>
        <v>Mobility</v>
      </c>
      <c r="G139" s="35">
        <f>IFERROR(_xlfn.XLOOKUP($B139,Raw_Data!$A$3:$A$273,Raw_Data!$J$3:$J$273),"")</f>
        <v>44621</v>
      </c>
      <c r="H139" s="4" t="s">
        <v>75</v>
      </c>
      <c r="I139" s="36">
        <f>IFERROR(_xlfn.XLOOKUP($B139,Raw_Data!$A$3:$A$273,Raw_Data!$I$3:$I$273),"")</f>
        <v>101.02</v>
      </c>
      <c r="J139" s="36">
        <f>IFERROR(_xlfn.XLOOKUP($B139,Raw_Data!$A$3:$A$273,Raw_Data!$L$3:$L$273),"")</f>
        <v>100</v>
      </c>
      <c r="K139" s="36">
        <f>IFERROR(_xlfn.XLOOKUP($B139,Raw_Data!$A$3:$A$273,Raw_Data!$M$3:$M$273),"")</f>
        <v>0</v>
      </c>
      <c r="L139" s="15">
        <f>IFERROR(_xlfn.XLOOKUP($B139,Raw_Data!$A$3:$A$273,Raw_Data!$Q$3:$Q$273),"")</f>
        <v>0</v>
      </c>
      <c r="M139" s="34" t="str">
        <f>IFERROR(_xlfn.XLOOKUP($B139,Raw_Data!$A$3:$A$273,Raw_Data!$R$3:$R$273),"")</f>
        <v>Global Emerging Markets</v>
      </c>
      <c r="N139" s="16" cm="1">
        <f t="array" ref="N139">IF(M139="",0,COUNTA(_xlfn._xlws.FILTER(_xlfn.TEXTSPLIT(M139,";"), _xlfn.TEXTSPLIT(M139,";")&lt;&gt;"")))</f>
        <v>1</v>
      </c>
      <c r="O139" s="16" t="str">
        <f t="shared" si="6"/>
        <v>N</v>
      </c>
      <c r="P139" s="19">
        <f>IFERROR(_xlfn.XLOOKUP($B139,Raw_Data!$A$3:$A$273,Raw_Data!$V$3:$V$273),"")</f>
        <v>0</v>
      </c>
      <c r="Q139" s="16" t="str">
        <f t="shared" si="7"/>
        <v>Y</v>
      </c>
      <c r="R139" s="32">
        <f>IFERROR(_xlfn.XLOOKUP($B139,Raw_Data!$A$3:$A$273,Raw_Data!$Y$3:$Y$273),"")</f>
        <v>1</v>
      </c>
      <c r="S139" s="4" t="str" cm="1">
        <f t="array" ref="S139">_xlfn.LET(_xlpm.s, Raw_Data!W139,_xlpm.strat, _xlfn._xlws.FILTER(REF_Setup!$B$3:$B$40, REF_Setup!$B$3:$B$40&lt;&gt;""),IF(OR(_xlpm.s="",_xlpm.s=0),"Unclassified",IF(SUM(--ISNUMBER(SEARCH(_xlpm.strat, _xlpm.s)))&gt;0, "Y", "N"))
)</f>
        <v>N</v>
      </c>
      <c r="T139" s="4" t="str" cm="1">
        <f t="array" ref="T139">_xlfn.LET(_xlpm.s,M139,_xlpm.phil, _xlfn._xlws.FILTER(REF_Setup!$D$3:$D$5, REF_Setup!$D$3:$D$5&lt;&gt;""),IF(OR(_xlpm.s="", _xlpm.s=0),"Unclassified",IF(SUM(--ISNUMBER(SEARCH(_xlpm.phil, _xlpm.s)))&gt;0, "Y", "N")))</f>
        <v>N</v>
      </c>
      <c r="U139" s="4" t="str" cm="1">
        <f t="array" ref="U139">IF(M139="", "Unclassified", IF(AND(SUMPRODUCT(--ISNUMBER(SEARCH(REF_Setup!$B$3:$B$40,M139)))&gt;0,SUMPRODUCT(--ISNUMBER(SEARCH(REF_Setup!$F$3:$F$15,M139)))&gt;0),"Mixed",IF(SUMPRODUCT(--ISNUMBER(SEARCH(REF_Setup!$B$3:$B$40,M139)))&gt;0,"Strategic Only",IF(SUMPRODUCT(--ISNUMBER(SEARCH(REF_Setup!$F$3:$F$15,M139)))&gt;0,"VC Only","Unclassified"))))</f>
        <v>Unclassified</v>
      </c>
    </row>
    <row r="140" spans="2:21" x14ac:dyDescent="0.35">
      <c r="B140" s="4">
        <f t="shared" si="8"/>
        <v>138</v>
      </c>
      <c r="C140" s="4" t="str">
        <f>IFERROR(_xlfn.XLOOKUP($B140,Raw_Data!$A$3:$A$273,Raw_Data!$B$3:$B$273),"")</f>
        <v>Mobius Energy</v>
      </c>
      <c r="D140" s="4" t="str">
        <f>IFERROR(_xlfn.XLOOKUP($B140,Raw_Data!$A$3:$A$273,Raw_Data!$C$3:$C$273),"")</f>
        <v>Tusti n, CA</v>
      </c>
      <c r="E140" s="4">
        <f>IFERROR(_xlfn.XLOOKUP($B140,Raw_Data!$A$3:$A$273,Raw_Data!$D$3:$D$273),"")</f>
        <v>2020</v>
      </c>
      <c r="F140" s="4" t="str">
        <f>IFERROR(_xlfn.XLOOKUP($B140,Raw_Data!$A$3:$A$273,Raw_Data!$F$3:$F$273),"")</f>
        <v>Mobility</v>
      </c>
      <c r="G140" s="35">
        <f>IFERROR(_xlfn.XLOOKUP($B140,Raw_Data!$A$3:$A$273,Raw_Data!$J$3:$J$273),"")</f>
        <v>45078</v>
      </c>
      <c r="H140" s="4" t="s">
        <v>75</v>
      </c>
      <c r="I140" s="36">
        <f>IFERROR(_xlfn.XLOOKUP($B140,Raw_Data!$A$3:$A$273,Raw_Data!$I$3:$I$273),"")</f>
        <v>101.02</v>
      </c>
      <c r="J140" s="36">
        <f>IFERROR(_xlfn.XLOOKUP($B140,Raw_Data!$A$3:$A$273,Raw_Data!$L$3:$L$273),"")</f>
        <v>0</v>
      </c>
      <c r="K140" s="36">
        <f>IFERROR(_xlfn.XLOOKUP($B140,Raw_Data!$A$3:$A$273,Raw_Data!$M$3:$M$273),"")</f>
        <v>0</v>
      </c>
      <c r="L140" s="15" t="str">
        <f>IFERROR(_xlfn.XLOOKUP($B140,Raw_Data!$A$3:$A$273,Raw_Data!$Q$3:$Q$273),"")</f>
        <v>N/A</v>
      </c>
      <c r="M140" s="34" t="str">
        <f>IFERROR(_xlfn.XLOOKUP($B140,Raw_Data!$A$3:$A$273,Raw_Data!$R$3:$R$273),"")</f>
        <v xml:space="preserve">Krypton </v>
      </c>
      <c r="N140" s="16" cm="1">
        <f t="array" ref="N140">IF(M140="",0,COUNTA(_xlfn._xlws.FILTER(_xlfn.TEXTSPLIT(M140,";"), _xlfn.TEXTSPLIT(M140,";")&lt;&gt;"")))</f>
        <v>1</v>
      </c>
      <c r="O140" s="16" t="str">
        <f t="shared" si="6"/>
        <v>N</v>
      </c>
      <c r="P140" s="19">
        <f>IFERROR(_xlfn.XLOOKUP($B140,Raw_Data!$A$3:$A$273,Raw_Data!$V$3:$V$273),"")</f>
        <v>0</v>
      </c>
      <c r="Q140" s="16" t="str">
        <f t="shared" si="7"/>
        <v>Y</v>
      </c>
      <c r="R140" s="32">
        <f>IFERROR(_xlfn.XLOOKUP($B140,Raw_Data!$A$3:$A$273,Raw_Data!$Y$3:$Y$273),"")</f>
        <v>1</v>
      </c>
      <c r="S140" s="4" t="str" cm="1">
        <f t="array" ref="S140">_xlfn.LET(_xlpm.s, Raw_Data!W140,_xlpm.strat, _xlfn._xlws.FILTER(REF_Setup!$B$3:$B$40, REF_Setup!$B$3:$B$40&lt;&gt;""),IF(OR(_xlpm.s="",_xlpm.s=0),"Unclassified",IF(SUM(--ISNUMBER(SEARCH(_xlpm.strat, _xlpm.s)))&gt;0, "Y", "N"))
)</f>
        <v>N</v>
      </c>
      <c r="T140" s="4" t="str" cm="1">
        <f t="array" ref="T140">_xlfn.LET(_xlpm.s,M140,_xlpm.phil, _xlfn._xlws.FILTER(REF_Setup!$D$3:$D$5, REF_Setup!$D$3:$D$5&lt;&gt;""),IF(OR(_xlpm.s="", _xlpm.s=0),"Unclassified",IF(SUM(--ISNUMBER(SEARCH(_xlpm.phil, _xlpm.s)))&gt;0, "Y", "N")))</f>
        <v>N</v>
      </c>
      <c r="U140" s="4" t="str" cm="1">
        <f t="array" ref="U140">IF(M140="", "Unclassified", IF(AND(SUMPRODUCT(--ISNUMBER(SEARCH(REF_Setup!$B$3:$B$40,M140)))&gt;0,SUMPRODUCT(--ISNUMBER(SEARCH(REF_Setup!$F$3:$F$15,M140)))&gt;0),"Mixed",IF(SUMPRODUCT(--ISNUMBER(SEARCH(REF_Setup!$B$3:$B$40,M140)))&gt;0,"Strategic Only",IF(SUMPRODUCT(--ISNUMBER(SEARCH(REF_Setup!$F$3:$F$15,M140)))&gt;0,"VC Only","Unclassified"))))</f>
        <v>Unclassified</v>
      </c>
    </row>
    <row r="141" spans="2:21" x14ac:dyDescent="0.35">
      <c r="B141" s="4">
        <f t="shared" si="8"/>
        <v>139</v>
      </c>
      <c r="C141" s="4" t="str">
        <f>IFERROR(_xlfn.XLOOKUP($B141,Raw_Data!$A$3:$A$273,Raw_Data!$B$3:$B$273),"")</f>
        <v>Modern Hydrogen</v>
      </c>
      <c r="D141" s="4" t="str">
        <f>IFERROR(_xlfn.XLOOKUP($B141,Raw_Data!$A$3:$A$273,Raw_Data!$C$3:$C$273),"")</f>
        <v>Woodinville, WA</v>
      </c>
      <c r="E141" s="4">
        <f>IFERROR(_xlfn.XLOOKUP($B141,Raw_Data!$A$3:$A$273,Raw_Data!$D$3:$D$273),"")</f>
        <v>2015</v>
      </c>
      <c r="F141" s="4" t="str">
        <f>IFERROR(_xlfn.XLOOKUP($B141,Raw_Data!$A$3:$A$273,Raw_Data!$F$3:$F$273),"")</f>
        <v>Hydrogen</v>
      </c>
      <c r="G141" s="35">
        <f>IFERROR(_xlfn.XLOOKUP($B141,Raw_Data!$A$3:$A$273,Raw_Data!$J$3:$J$273),"")</f>
        <v>44112</v>
      </c>
      <c r="H141" s="16" t="s">
        <v>1465</v>
      </c>
      <c r="I141" s="36">
        <f>IFERROR(_xlfn.XLOOKUP($B141,Raw_Data!$A$3:$A$273,Raw_Data!$I$3:$I$273),"")</f>
        <v>40.4</v>
      </c>
      <c r="J141" s="36">
        <f>IFERROR(_xlfn.XLOOKUP($B141,Raw_Data!$A$3:$A$273,Raw_Data!$L$3:$L$273),"")</f>
        <v>30</v>
      </c>
      <c r="K141" s="36">
        <f>IFERROR(_xlfn.XLOOKUP($B141,Raw_Data!$A$3:$A$273,Raw_Data!$M$3:$M$273),"")</f>
        <v>70</v>
      </c>
      <c r="L141" s="15">
        <f>IFERROR(_xlfn.XLOOKUP($B141,Raw_Data!$A$3:$A$273,Raw_Data!$Q$3:$Q$273),"")</f>
        <v>0</v>
      </c>
      <c r="M141" s="34" t="str">
        <f>IFERROR(_xlfn.XLOOKUP($B141,Raw_Data!$A$3:$A$273,Raw_Data!$R$3:$R$273),"")</f>
        <v xml:space="preserve">At One Ventures; Metaplanet Holdings; William Gates </v>
      </c>
      <c r="N141" s="16" cm="1">
        <f t="array" ref="N141">IF(M141="",0,COUNTA(_xlfn._xlws.FILTER(_xlfn.TEXTSPLIT(M141,";"), _xlfn.TEXTSPLIT(M141,";")&lt;&gt;"")))</f>
        <v>3</v>
      </c>
      <c r="O141" s="16" t="str">
        <f t="shared" si="6"/>
        <v>N</v>
      </c>
      <c r="P141" s="19">
        <f>IFERROR(_xlfn.XLOOKUP($B141,Raw_Data!$A$3:$A$273,Raw_Data!$V$3:$V$273),"")</f>
        <v>0</v>
      </c>
      <c r="Q141" s="16" t="str">
        <f t="shared" si="7"/>
        <v>Y</v>
      </c>
      <c r="R141" s="32">
        <f>IFERROR(_xlfn.XLOOKUP($B141,Raw_Data!$A$3:$A$273,Raw_Data!$Y$3:$Y$273),"")</f>
        <v>1</v>
      </c>
      <c r="S141" s="4" t="str" cm="1">
        <f t="array" ref="S141">_xlfn.LET(_xlpm.s, Raw_Data!W141,_xlpm.strat, _xlfn._xlws.FILTER(REF_Setup!$B$3:$B$40, REF_Setup!$B$3:$B$40&lt;&gt;""),IF(OR(_xlpm.s="",_xlpm.s=0),"Unclassified",IF(SUM(--ISNUMBER(SEARCH(_xlpm.strat, _xlpm.s)))&gt;0, "Y", "N"))
)</f>
        <v>Y</v>
      </c>
      <c r="T141" s="4" t="str" cm="1">
        <f t="array" ref="T141">_xlfn.LET(_xlpm.s,M141,_xlpm.phil, _xlfn._xlws.FILTER(REF_Setup!$D$3:$D$5, REF_Setup!$D$3:$D$5&lt;&gt;""),IF(OR(_xlpm.s="", _xlpm.s=0),"Unclassified",IF(SUM(--ISNUMBER(SEARCH(_xlpm.phil, _xlpm.s)))&gt;0, "Y", "N")))</f>
        <v>N</v>
      </c>
      <c r="U141" s="4" t="str" cm="1">
        <f t="array" ref="U141">IF(M141="", "Unclassified", IF(AND(SUMPRODUCT(--ISNUMBER(SEARCH(REF_Setup!$B$3:$B$40,M141)))&gt;0,SUMPRODUCT(--ISNUMBER(SEARCH(REF_Setup!$F$3:$F$15,M141)))&gt;0),"Mixed",IF(SUMPRODUCT(--ISNUMBER(SEARCH(REF_Setup!$B$3:$B$40,M141)))&gt;0,"Strategic Only",IF(SUMPRODUCT(--ISNUMBER(SEARCH(REF_Setup!$F$3:$F$15,M141)))&gt;0,"VC Only","Unclassified"))))</f>
        <v>Mixed</v>
      </c>
    </row>
    <row r="142" spans="2:21" ht="43.5" x14ac:dyDescent="0.35">
      <c r="B142" s="4">
        <f t="shared" si="8"/>
        <v>140</v>
      </c>
      <c r="C142" s="4" t="str">
        <f>IFERROR(_xlfn.XLOOKUP($B142,Raw_Data!$A$3:$A$273,Raw_Data!$B$3:$B$273),"")</f>
        <v>Modern Hydrogen</v>
      </c>
      <c r="D142" s="4" t="str">
        <f>IFERROR(_xlfn.XLOOKUP($B142,Raw_Data!$A$3:$A$273,Raw_Data!$C$3:$C$273),"")</f>
        <v>Woodinville, WA</v>
      </c>
      <c r="E142" s="4">
        <f>IFERROR(_xlfn.XLOOKUP($B142,Raw_Data!$A$3:$A$273,Raw_Data!$D$3:$D$273),"")</f>
        <v>2015</v>
      </c>
      <c r="F142" s="4" t="str">
        <f>IFERROR(_xlfn.XLOOKUP($B142,Raw_Data!$A$3:$A$273,Raw_Data!$F$3:$F$273),"")</f>
        <v>Hydrogen</v>
      </c>
      <c r="G142" s="35">
        <f>IFERROR(_xlfn.XLOOKUP($B142,Raw_Data!$A$3:$A$273,Raw_Data!$J$3:$J$273),"")</f>
        <v>45013</v>
      </c>
      <c r="H142" s="16" t="s">
        <v>1467</v>
      </c>
      <c r="I142" s="36">
        <f>IFERROR(_xlfn.XLOOKUP($B142,Raw_Data!$A$3:$A$273,Raw_Data!$I$3:$I$273),"")</f>
        <v>103.2</v>
      </c>
      <c r="J142" s="36">
        <f>IFERROR(_xlfn.XLOOKUP($B142,Raw_Data!$A$3:$A$273,Raw_Data!$L$3:$L$273),"")</f>
        <v>32.799999999999997</v>
      </c>
      <c r="K142" s="36">
        <f>IFERROR(_xlfn.XLOOKUP($B142,Raw_Data!$A$3:$A$273,Raw_Data!$M$3:$M$273),"")</f>
        <v>180.8</v>
      </c>
      <c r="L142" s="15">
        <f>IFERROR(_xlfn.XLOOKUP($B142,Raw_Data!$A$3:$A$273,Raw_Data!$Q$3:$Q$273),"")</f>
        <v>0</v>
      </c>
      <c r="M142" s="34" t="str">
        <f>IFERROR(_xlfn.XLOOKUP($B142,Raw_Data!$A$3:$A$273,Raw_Data!$R$3:$R$273),"")</f>
        <v>Gates Frontier; IRONGREY; Metaplanet Holdings; Miura Partners; National Grid Partners; NextEra Energy; Starlight Ventures; Towards Net Zero; Unreasonable Impact; Valo Ventures</v>
      </c>
      <c r="N142" s="16" cm="1">
        <f t="array" ref="N142">IF(M142="",0,COUNTA(_xlfn._xlws.FILTER(_xlfn.TEXTSPLIT(M142,";"), _xlfn.TEXTSPLIT(M142,";")&lt;&gt;"")))</f>
        <v>10</v>
      </c>
      <c r="O142" s="16" t="str">
        <f t="shared" si="6"/>
        <v>Y</v>
      </c>
      <c r="P142" s="19">
        <f>IFERROR(_xlfn.XLOOKUP($B142,Raw_Data!$A$3:$A$273,Raw_Data!$V$3:$V$273),"")</f>
        <v>0.4</v>
      </c>
      <c r="Q142" s="16" t="str">
        <f t="shared" si="7"/>
        <v>Y</v>
      </c>
      <c r="R142" s="32">
        <f>IFERROR(_xlfn.XLOOKUP($B142,Raw_Data!$A$3:$A$273,Raw_Data!$Y$3:$Y$273),"")</f>
        <v>0.6</v>
      </c>
      <c r="S142" s="4" t="str" cm="1">
        <f t="array" ref="S142">_xlfn.LET(_xlpm.s, Raw_Data!W142,_xlpm.strat, _xlfn._xlws.FILTER(REF_Setup!$B$3:$B$40, REF_Setup!$B$3:$B$40&lt;&gt;""),IF(OR(_xlpm.s="",_xlpm.s=0),"Unclassified",IF(SUM(--ISNUMBER(SEARCH(_xlpm.strat, _xlpm.s)))&gt;0, "Y", "N"))
)</f>
        <v>Y</v>
      </c>
      <c r="T142" s="4" t="str" cm="1">
        <f t="array" ref="T142">_xlfn.LET(_xlpm.s,M142,_xlpm.phil, _xlfn._xlws.FILTER(REF_Setup!$D$3:$D$5, REF_Setup!$D$3:$D$5&lt;&gt;""),IF(OR(_xlpm.s="", _xlpm.s=0),"Unclassified",IF(SUM(--ISNUMBER(SEARCH(_xlpm.phil, _xlpm.s)))&gt;0, "Y", "N")))</f>
        <v>N</v>
      </c>
      <c r="U142" s="4" t="str" cm="1">
        <f t="array" ref="U142">IF(M142="", "Unclassified", IF(AND(SUMPRODUCT(--ISNUMBER(SEARCH(REF_Setup!$B$3:$B$40,M142)))&gt;0,SUMPRODUCT(--ISNUMBER(SEARCH(REF_Setup!$F$3:$F$15,M142)))&gt;0),"Mixed",IF(SUMPRODUCT(--ISNUMBER(SEARCH(REF_Setup!$B$3:$B$40,M142)))&gt;0,"Strategic Only",IF(SUMPRODUCT(--ISNUMBER(SEARCH(REF_Setup!$F$3:$F$15,M142)))&gt;0,"VC Only","Unclassified"))))</f>
        <v>Mixed</v>
      </c>
    </row>
    <row r="143" spans="2:21" x14ac:dyDescent="0.35">
      <c r="B143" s="4">
        <f t="shared" si="8"/>
        <v>141</v>
      </c>
      <c r="C143" s="4" t="str">
        <f>IFERROR(_xlfn.XLOOKUP($B143,Raw_Data!$A$3:$A$273,Raw_Data!$B$3:$B$273),"")</f>
        <v>Momentum Technologies (Dallas)</v>
      </c>
      <c r="D143" s="4" t="str">
        <f>IFERROR(_xlfn.XLOOKUP($B143,Raw_Data!$A$3:$A$273,Raw_Data!$C$3:$C$273),"")</f>
        <v>Carrollton, TX</v>
      </c>
      <c r="E143" s="4">
        <f>IFERROR(_xlfn.XLOOKUP($B143,Raw_Data!$A$3:$A$273,Raw_Data!$D$3:$D$273),"")</f>
        <v>2016</v>
      </c>
      <c r="F143" s="4" t="str">
        <f>IFERROR(_xlfn.XLOOKUP($B143,Raw_Data!$A$3:$A$273,Raw_Data!$F$3:$F$273),"")</f>
        <v>Industrial Decarbonization</v>
      </c>
      <c r="G143" s="35">
        <f>IFERROR(_xlfn.XLOOKUP($B143,Raw_Data!$A$3:$A$273,Raw_Data!$J$3:$J$273),"")</f>
        <v>44544</v>
      </c>
      <c r="H143" s="4" t="s">
        <v>75</v>
      </c>
      <c r="I143" s="36">
        <f>IFERROR(_xlfn.XLOOKUP($B143,Raw_Data!$A$3:$A$273,Raw_Data!$I$3:$I$273),"")</f>
        <v>20.100000000000001</v>
      </c>
      <c r="J143" s="36">
        <f>IFERROR(_xlfn.XLOOKUP($B143,Raw_Data!$A$3:$A$273,Raw_Data!$L$3:$L$273),"")</f>
        <v>20</v>
      </c>
      <c r="K143" s="36">
        <f>IFERROR(_xlfn.XLOOKUP($B143,Raw_Data!$A$3:$A$273,Raw_Data!$M$3:$M$273),"")</f>
        <v>0</v>
      </c>
      <c r="L143" s="15">
        <f>IFERROR(_xlfn.XLOOKUP($B143,Raw_Data!$A$3:$A$273,Raw_Data!$Q$3:$Q$273),"")</f>
        <v>0</v>
      </c>
      <c r="M143" s="34" t="str">
        <f>IFERROR(_xlfn.XLOOKUP($B143,Raw_Data!$A$3:$A$273,Raw_Data!$R$3:$R$273),"")</f>
        <v xml:space="preserve">Freestone Sponsors </v>
      </c>
      <c r="N143" s="16" cm="1">
        <f t="array" ref="N143">IF(M143="",0,COUNTA(_xlfn._xlws.FILTER(_xlfn.TEXTSPLIT(M143,";"), _xlfn.TEXTSPLIT(M143,";")&lt;&gt;"")))</f>
        <v>1</v>
      </c>
      <c r="O143" s="16" t="str">
        <f t="shared" si="6"/>
        <v>N</v>
      </c>
      <c r="P143" s="19">
        <f>IFERROR(_xlfn.XLOOKUP($B143,Raw_Data!$A$3:$A$273,Raw_Data!$V$3:$V$273),"")</f>
        <v>0</v>
      </c>
      <c r="Q143" s="16" t="str">
        <f t="shared" si="7"/>
        <v>Y</v>
      </c>
      <c r="R143" s="32">
        <f>IFERROR(_xlfn.XLOOKUP($B143,Raw_Data!$A$3:$A$273,Raw_Data!$Y$3:$Y$273),"")</f>
        <v>1</v>
      </c>
      <c r="S143" s="4" t="str" cm="1">
        <f t="array" ref="S143">_xlfn.LET(_xlpm.s, Raw_Data!W143,_xlpm.strat, _xlfn._xlws.FILTER(REF_Setup!$B$3:$B$40, REF_Setup!$B$3:$B$40&lt;&gt;""),IF(OR(_xlpm.s="",_xlpm.s=0),"Unclassified",IF(SUM(--ISNUMBER(SEARCH(_xlpm.strat, _xlpm.s)))&gt;0, "Y", "N"))
)</f>
        <v>N</v>
      </c>
      <c r="T143" s="4" t="str" cm="1">
        <f t="array" ref="T143">_xlfn.LET(_xlpm.s,M143,_xlpm.phil, _xlfn._xlws.FILTER(REF_Setup!$D$3:$D$5, REF_Setup!$D$3:$D$5&lt;&gt;""),IF(OR(_xlpm.s="", _xlpm.s=0),"Unclassified",IF(SUM(--ISNUMBER(SEARCH(_xlpm.phil, _xlpm.s)))&gt;0, "Y", "N")))</f>
        <v>N</v>
      </c>
      <c r="U143" s="4" t="str" cm="1">
        <f t="array" ref="U143">IF(M143="", "Unclassified", IF(AND(SUMPRODUCT(--ISNUMBER(SEARCH(REF_Setup!$B$3:$B$40,M143)))&gt;0,SUMPRODUCT(--ISNUMBER(SEARCH(REF_Setup!$F$3:$F$15,M143)))&gt;0),"Mixed",IF(SUMPRODUCT(--ISNUMBER(SEARCH(REF_Setup!$B$3:$B$40,M143)))&gt;0,"Strategic Only",IF(SUMPRODUCT(--ISNUMBER(SEARCH(REF_Setup!$F$3:$F$15,M143)))&gt;0,"VC Only","Unclassified"))))</f>
        <v>Unclassified</v>
      </c>
    </row>
    <row r="144" spans="2:21" x14ac:dyDescent="0.35">
      <c r="B144" s="4">
        <f t="shared" si="8"/>
        <v>142</v>
      </c>
      <c r="C144" s="4" t="str">
        <f>IFERROR(_xlfn.XLOOKUP($B144,Raw_Data!$A$3:$A$273,Raw_Data!$B$3:$B$273),"")</f>
        <v>Montana Renewables</v>
      </c>
      <c r="D144" s="4" t="str">
        <f>IFERROR(_xlfn.XLOOKUP($B144,Raw_Data!$A$3:$A$273,Raw_Data!$C$3:$C$273),"")</f>
        <v>Great Fais, MT</v>
      </c>
      <c r="E144" s="4">
        <f>IFERROR(_xlfn.XLOOKUP($B144,Raw_Data!$A$3:$A$273,Raw_Data!$D$3:$D$273),"")</f>
        <v>2021</v>
      </c>
      <c r="F144" s="4" t="str">
        <f>IFERROR(_xlfn.XLOOKUP($B144,Raw_Data!$A$3:$A$273,Raw_Data!$F$3:$F$273),"")</f>
        <v>Renewables</v>
      </c>
      <c r="G144" s="35">
        <f>IFERROR(_xlfn.XLOOKUP($B144,Raw_Data!$A$3:$A$273,Raw_Data!$J$3:$J$273),"")</f>
        <v>44778</v>
      </c>
      <c r="H144" s="4" t="s">
        <v>75</v>
      </c>
      <c r="I144" s="36">
        <f>IFERROR(_xlfn.XLOOKUP($B144,Raw_Data!$A$3:$A$273,Raw_Data!$I$3:$I$273),"")</f>
        <v>1150</v>
      </c>
      <c r="J144" s="36">
        <f>IFERROR(_xlfn.XLOOKUP($B144,Raw_Data!$A$3:$A$273,Raw_Data!$L$3:$L$273),"")</f>
        <v>250</v>
      </c>
      <c r="K144" s="36">
        <f>IFERROR(_xlfn.XLOOKUP($B144,Raw_Data!$A$3:$A$273,Raw_Data!$M$3:$M$273),"")</f>
        <v>2250</v>
      </c>
      <c r="L144" s="15">
        <f>IFERROR(_xlfn.XLOOKUP($B144,Raw_Data!$A$3:$A$273,Raw_Data!$Q$3:$Q$273),"")</f>
        <v>0</v>
      </c>
      <c r="M144" s="34" t="str">
        <f>IFERROR(_xlfn.XLOOKUP($B144,Raw_Data!$A$3:$A$273,Raw_Data!$R$3:$R$273),"")</f>
        <v xml:space="preserve">Warburg Pincus </v>
      </c>
      <c r="N144" s="16" cm="1">
        <f t="array" ref="N144">IF(M144="",0,COUNTA(_xlfn._xlws.FILTER(_xlfn.TEXTSPLIT(M144,";"), _xlfn.TEXTSPLIT(M144,";")&lt;&gt;"")))</f>
        <v>1</v>
      </c>
      <c r="O144" s="16" t="str">
        <f t="shared" si="6"/>
        <v>N</v>
      </c>
      <c r="P144" s="19">
        <f>IFERROR(_xlfn.XLOOKUP($B144,Raw_Data!$A$3:$A$273,Raw_Data!$V$3:$V$273),"")</f>
        <v>0</v>
      </c>
      <c r="Q144" s="16" t="str">
        <f t="shared" si="7"/>
        <v>Y</v>
      </c>
      <c r="R144" s="32">
        <f>IFERROR(_xlfn.XLOOKUP($B144,Raw_Data!$A$3:$A$273,Raw_Data!$Y$3:$Y$273),"")</f>
        <v>1</v>
      </c>
      <c r="S144" s="4" t="str" cm="1">
        <f t="array" ref="S144">_xlfn.LET(_xlpm.s, Raw_Data!W144,_xlpm.strat, _xlfn._xlws.FILTER(REF_Setup!$B$3:$B$40, REF_Setup!$B$3:$B$40&lt;&gt;""),IF(OR(_xlpm.s="",_xlpm.s=0),"Unclassified",IF(SUM(--ISNUMBER(SEARCH(_xlpm.strat, _xlpm.s)))&gt;0, "Y", "N"))
)</f>
        <v>N</v>
      </c>
      <c r="T144" s="4" t="str" cm="1">
        <f t="array" ref="T144">_xlfn.LET(_xlpm.s,M144,_xlpm.phil, _xlfn._xlws.FILTER(REF_Setup!$D$3:$D$5, REF_Setup!$D$3:$D$5&lt;&gt;""),IF(OR(_xlpm.s="", _xlpm.s=0),"Unclassified",IF(SUM(--ISNUMBER(SEARCH(_xlpm.phil, _xlpm.s)))&gt;0, "Y", "N")))</f>
        <v>N</v>
      </c>
      <c r="U144" s="4" t="str" cm="1">
        <f t="array" ref="U144">IF(M144="", "Unclassified", IF(AND(SUMPRODUCT(--ISNUMBER(SEARCH(REF_Setup!$B$3:$B$40,M144)))&gt;0,SUMPRODUCT(--ISNUMBER(SEARCH(REF_Setup!$F$3:$F$15,M144)))&gt;0),"Mixed",IF(SUMPRODUCT(--ISNUMBER(SEARCH(REF_Setup!$B$3:$B$40,M144)))&gt;0,"Strategic Only",IF(SUMPRODUCT(--ISNUMBER(SEARCH(REF_Setup!$F$3:$F$15,M144)))&gt;0,"VC Only","Unclassified"))))</f>
        <v>Unclassified</v>
      </c>
    </row>
    <row r="145" spans="2:21" ht="43.5" x14ac:dyDescent="0.35">
      <c r="B145" s="4">
        <f t="shared" si="8"/>
        <v>143</v>
      </c>
      <c r="C145" s="4" t="str">
        <f>IFERROR(_xlfn.XLOOKUP($B145,Raw_Data!$A$3:$A$273,Raw_Data!$B$3:$B$273),"")</f>
        <v>Mori (Specialty Chemicals)</v>
      </c>
      <c r="D145" s="4" t="str">
        <f>IFERROR(_xlfn.XLOOKUP($B145,Raw_Data!$A$3:$A$273,Raw_Data!$C$3:$C$273),"")</f>
        <v>Boston, MA</v>
      </c>
      <c r="E145" s="4">
        <f>IFERROR(_xlfn.XLOOKUP($B145,Raw_Data!$A$3:$A$273,Raw_Data!$D$3:$D$273),"")</f>
        <v>2016</v>
      </c>
      <c r="F145" s="4" t="str">
        <f>IFERROR(_xlfn.XLOOKUP($B145,Raw_Data!$A$3:$A$273,Raw_Data!$F$3:$F$273),"")</f>
        <v>Food &amp; Ag</v>
      </c>
      <c r="G145" s="35">
        <f>IFERROR(_xlfn.XLOOKUP($B145,Raw_Data!$A$3:$A$273,Raw_Data!$J$3:$J$273),"")</f>
        <v>44622</v>
      </c>
      <c r="H145" s="16" t="s">
        <v>1467</v>
      </c>
      <c r="I145" s="36">
        <f>IFERROR(_xlfn.XLOOKUP($B145,Raw_Data!$A$3:$A$273,Raw_Data!$I$3:$I$273),"")</f>
        <v>85.75</v>
      </c>
      <c r="J145" s="36">
        <f>IFERROR(_xlfn.XLOOKUP($B145,Raw_Data!$A$3:$A$273,Raw_Data!$L$3:$L$273),"")</f>
        <v>52.35</v>
      </c>
      <c r="K145" s="36">
        <f>IFERROR(_xlfn.XLOOKUP($B145,Raw_Data!$A$3:$A$273,Raw_Data!$M$3:$M$273),"")</f>
        <v>212.35</v>
      </c>
      <c r="L145" s="15">
        <f>IFERROR(_xlfn.XLOOKUP($B145,Raw_Data!$A$3:$A$273,Raw_Data!$Q$3:$Q$273),"")</f>
        <v>0</v>
      </c>
      <c r="M145" s="34" t="str">
        <f>IFERROR(_xlfn.XLOOKUP($B145,Raw_Data!$A$3:$A$273,Raw_Data!$R$3:$R$273),"")</f>
        <v>Accelr8; Bluestein Ventures; Collaborative Fund; DNS Capital; Engine Ventures; For Good Ventures; Plug &amp; Play Tech Center; Prelude Ventures; Thia Ventures; Toba Capital</v>
      </c>
      <c r="N145" s="16" cm="1">
        <f t="array" ref="N145">IF(M145="",0,COUNTA(_xlfn._xlws.FILTER(_xlfn.TEXTSPLIT(M145,";"), _xlfn.TEXTSPLIT(M145,";")&lt;&gt;"")))</f>
        <v>10</v>
      </c>
      <c r="O145" s="16" t="str">
        <f t="shared" si="6"/>
        <v>Y</v>
      </c>
      <c r="P145" s="19">
        <f>IFERROR(_xlfn.XLOOKUP($B145,Raw_Data!$A$3:$A$273,Raw_Data!$V$3:$V$273),"")</f>
        <v>0.3</v>
      </c>
      <c r="Q145" s="16" t="str">
        <f t="shared" si="7"/>
        <v>Y</v>
      </c>
      <c r="R145" s="32">
        <f>IFERROR(_xlfn.XLOOKUP($B145,Raw_Data!$A$3:$A$273,Raw_Data!$Y$3:$Y$273),"")</f>
        <v>0.7</v>
      </c>
      <c r="S145" s="4" t="str" cm="1">
        <f t="array" ref="S145">_xlfn.LET(_xlpm.s, Raw_Data!W145,_xlpm.strat, _xlfn._xlws.FILTER(REF_Setup!$B$3:$B$40, REF_Setup!$B$3:$B$40&lt;&gt;""),IF(OR(_xlpm.s="",_xlpm.s=0),"Unclassified",IF(SUM(--ISNUMBER(SEARCH(_xlpm.strat, _xlpm.s)))&gt;0, "Y", "N"))
)</f>
        <v>N</v>
      </c>
      <c r="T145" s="4" t="str" cm="1">
        <f t="array" ref="T145">_xlfn.LET(_xlpm.s,M145,_xlpm.phil, _xlfn._xlws.FILTER(REF_Setup!$D$3:$D$5, REF_Setup!$D$3:$D$5&lt;&gt;""),IF(OR(_xlpm.s="", _xlpm.s=0),"Unclassified",IF(SUM(--ISNUMBER(SEARCH(_xlpm.phil, _xlpm.s)))&gt;0, "Y", "N")))</f>
        <v>N</v>
      </c>
      <c r="U145" s="4" t="str" cm="1">
        <f t="array" ref="U145">IF(M145="", "Unclassified", IF(AND(SUMPRODUCT(--ISNUMBER(SEARCH(REF_Setup!$B$3:$B$40,M145)))&gt;0,SUMPRODUCT(--ISNUMBER(SEARCH(REF_Setup!$F$3:$F$15,M145)))&gt;0),"Mixed",IF(SUMPRODUCT(--ISNUMBER(SEARCH(REF_Setup!$B$3:$B$40,M145)))&gt;0,"Strategic Only",IF(SUMPRODUCT(--ISNUMBER(SEARCH(REF_Setup!$F$3:$F$15,M145)))&gt;0,"VC Only","Unclassified"))))</f>
        <v>VC Only</v>
      </c>
    </row>
    <row r="146" spans="2:21" x14ac:dyDescent="0.35">
      <c r="B146" s="4">
        <f t="shared" si="8"/>
        <v>144</v>
      </c>
      <c r="C146" s="4" t="str">
        <f>IFERROR(_xlfn.XLOOKUP($B146,Raw_Data!$A$3:$A$273,Raw_Data!$B$3:$B$273),"")</f>
        <v>Mozza</v>
      </c>
      <c r="D146" s="4" t="str">
        <f>IFERROR(_xlfn.XLOOKUP($B146,Raw_Data!$A$3:$A$273,Raw_Data!$C$3:$C$273),"")</f>
        <v>Los Angeles, CA</v>
      </c>
      <c r="E146" s="4">
        <f>IFERROR(_xlfn.XLOOKUP($B146,Raw_Data!$A$3:$A$273,Raw_Data!$D$3:$D$273),"")</f>
        <v>2018</v>
      </c>
      <c r="F146" s="4" t="str">
        <f>IFERROR(_xlfn.XLOOKUP($B146,Raw_Data!$A$3:$A$273,Raw_Data!$F$3:$F$273),"")</f>
        <v>Food &amp; Ag</v>
      </c>
      <c r="G146" s="35">
        <f>IFERROR(_xlfn.XLOOKUP($B146,Raw_Data!$A$3:$A$273,Raw_Data!$J$3:$J$273),"")</f>
        <v>45377</v>
      </c>
      <c r="H146" s="16" t="s">
        <v>1465</v>
      </c>
      <c r="I146" s="36">
        <f>IFERROR(_xlfn.XLOOKUP($B146,Raw_Data!$A$3:$A$273,Raw_Data!$I$3:$I$273),"")</f>
        <v>23.16</v>
      </c>
      <c r="J146" s="36">
        <f>IFERROR(_xlfn.XLOOKUP($B146,Raw_Data!$A$3:$A$273,Raw_Data!$L$3:$L$273),"")</f>
        <v>5.2</v>
      </c>
      <c r="K146" s="36">
        <f>IFERROR(_xlfn.XLOOKUP($B146,Raw_Data!$A$3:$A$273,Raw_Data!$M$3:$M$273),"")</f>
        <v>58.2</v>
      </c>
      <c r="L146" s="15">
        <f>IFERROR(_xlfn.XLOOKUP($B146,Raw_Data!$A$3:$A$273,Raw_Data!$Q$3:$Q$273),"")</f>
        <v>0</v>
      </c>
      <c r="M146" s="34"/>
      <c r="N146" s="16" cm="1">
        <f t="array" ref="N146">IF(M146="",0,COUNTA(_xlfn._xlws.FILTER(_xlfn.TEXTSPLIT(M146,";"), _xlfn.TEXTSPLIT(M146,";")&lt;&gt;"")))</f>
        <v>0</v>
      </c>
      <c r="O146" s="16" t="str">
        <f t="shared" si="6"/>
        <v>Y</v>
      </c>
      <c r="P146" s="19" t="str">
        <f>IFERROR(_xlfn.XLOOKUP($B146,Raw_Data!$A$3:$A$273,Raw_Data!$V$3:$V$273),"")</f>
        <v>N/A</v>
      </c>
      <c r="Q146" s="16" t="str">
        <f t="shared" si="7"/>
        <v>Y</v>
      </c>
      <c r="R146" s="32" t="str">
        <f>IFERROR(_xlfn.XLOOKUP($B146,Raw_Data!$A$3:$A$273,Raw_Data!$Y$3:$Y$273),"")</f>
        <v>N/A</v>
      </c>
      <c r="S146" s="4" t="str" cm="1">
        <f t="array" ref="S146">_xlfn.LET(_xlpm.s, Raw_Data!W146,_xlpm.strat, _xlfn._xlws.FILTER(REF_Setup!$B$3:$B$40, REF_Setup!$B$3:$B$40&lt;&gt;""),IF(OR(_xlpm.s="",_xlpm.s=0),"Unclassified",IF(SUM(--ISNUMBER(SEARCH(_xlpm.strat, _xlpm.s)))&gt;0, "Y", "N"))
)</f>
        <v>Unclassified</v>
      </c>
      <c r="T146" s="4" t="str" cm="1">
        <f t="array" ref="T146">_xlfn.LET(_xlpm.s,M146,_xlpm.phil, _xlfn._xlws.FILTER(REF_Setup!$D$3:$D$5, REF_Setup!$D$3:$D$5&lt;&gt;""),IF(OR(_xlpm.s="", _xlpm.s=0),"Unclassified",IF(SUM(--ISNUMBER(SEARCH(_xlpm.phil, _xlpm.s)))&gt;0, "Y", "N")))</f>
        <v>Unclassified</v>
      </c>
      <c r="U146" s="4" t="str" cm="1">
        <f t="array" ref="U146">IF(M146="", "Unclassified", IF(AND(SUMPRODUCT(--ISNUMBER(SEARCH(REF_Setup!$B$3:$B$40,M146)))&gt;0,SUMPRODUCT(--ISNUMBER(SEARCH(REF_Setup!$F$3:$F$15,M146)))&gt;0),"Mixed",IF(SUMPRODUCT(--ISNUMBER(SEARCH(REF_Setup!$B$3:$B$40,M146)))&gt;0,"Strategic Only",IF(SUMPRODUCT(--ISNUMBER(SEARCH(REF_Setup!$F$3:$F$15,M146)))&gt;0,"VC Only","Unclassified"))))</f>
        <v>Unclassified</v>
      </c>
    </row>
    <row r="147" spans="2:21" x14ac:dyDescent="0.35">
      <c r="B147" s="4">
        <f t="shared" si="8"/>
        <v>145</v>
      </c>
      <c r="C147" s="4" t="str">
        <f>IFERROR(_xlfn.XLOOKUP($B147,Raw_Data!$A$3:$A$273,Raw_Data!$B$3:$B$273),"")</f>
        <v>MVCE Gulf coast</v>
      </c>
      <c r="D147" s="4" t="str">
        <f>IFERROR(_xlfn.XLOOKUP($B147,Raw_Data!$A$3:$A$273,Raw_Data!$C$3:$C$273),"")</f>
        <v>New Castle, DE</v>
      </c>
      <c r="E147" s="4">
        <f>IFERROR(_xlfn.XLOOKUP($B147,Raw_Data!$A$3:$A$273,Raw_Data!$D$3:$D$273),"")</f>
        <v>0</v>
      </c>
      <c r="F147" s="4" t="str">
        <f>IFERROR(_xlfn.XLOOKUP($B147,Raw_Data!$A$3:$A$273,Raw_Data!$F$3:$F$273),"")</f>
        <v>Hydrogen</v>
      </c>
      <c r="G147" s="35">
        <f>IFERROR(_xlfn.XLOOKUP($B147,Raw_Data!$A$3:$A$273,Raw_Data!$J$3:$J$273),"")</f>
        <v>45302</v>
      </c>
      <c r="H147" s="4" t="s">
        <v>75</v>
      </c>
      <c r="I147" s="36">
        <f>IFERROR(_xlfn.XLOOKUP($B147,Raw_Data!$A$3:$A$273,Raw_Data!$I$3:$I$273),"")</f>
        <v>0</v>
      </c>
      <c r="J147" s="36">
        <f>IFERROR(_xlfn.XLOOKUP($B147,Raw_Data!$A$3:$A$273,Raw_Data!$L$3:$L$273),"")</f>
        <v>0</v>
      </c>
      <c r="K147" s="36">
        <f>IFERROR(_xlfn.XLOOKUP($B147,Raw_Data!$A$3:$A$273,Raw_Data!$M$3:$M$273),"")</f>
        <v>0</v>
      </c>
      <c r="L147" s="15" t="str">
        <f>IFERROR(_xlfn.XLOOKUP($B147,Raw_Data!$A$3:$A$273,Raw_Data!$Q$3:$Q$273),"")</f>
        <v>N/A</v>
      </c>
      <c r="M147" s="34" t="str">
        <f>IFERROR(_xlfn.XLOOKUP($B147,Raw_Data!$A$3:$A$273,Raw_Data!$R$3:$R$273),"")</f>
        <v xml:space="preserve">ENEOS Holdings </v>
      </c>
      <c r="N147" s="16" cm="1">
        <f t="array" ref="N147">IF(M147="",0,COUNTA(_xlfn._xlws.FILTER(_xlfn.TEXTSPLIT(M147,";"), _xlfn.TEXTSPLIT(M147,";")&lt;&gt;"")))</f>
        <v>1</v>
      </c>
      <c r="O147" s="16" t="str">
        <f t="shared" si="6"/>
        <v>N</v>
      </c>
      <c r="P147" s="19">
        <f>IFERROR(_xlfn.XLOOKUP($B147,Raw_Data!$A$3:$A$273,Raw_Data!$V$3:$V$273),"")</f>
        <v>0</v>
      </c>
      <c r="Q147" s="16" t="str">
        <f t="shared" si="7"/>
        <v>Y</v>
      </c>
      <c r="R147" s="32">
        <f>IFERROR(_xlfn.XLOOKUP($B147,Raw_Data!$A$3:$A$273,Raw_Data!$Y$3:$Y$273),"")</f>
        <v>1</v>
      </c>
      <c r="S147" s="4" t="str" cm="1">
        <f t="array" ref="S147">_xlfn.LET(_xlpm.s, Raw_Data!W147,_xlpm.strat, _xlfn._xlws.FILTER(REF_Setup!$B$3:$B$40, REF_Setup!$B$3:$B$40&lt;&gt;""),IF(OR(_xlpm.s="",_xlpm.s=0),"Unclassified",IF(SUM(--ISNUMBER(SEARCH(_xlpm.strat, _xlpm.s)))&gt;0, "Y", "N"))
)</f>
        <v>Y</v>
      </c>
      <c r="T147" s="4" t="str" cm="1">
        <f t="array" ref="T147">_xlfn.LET(_xlpm.s,M147,_xlpm.phil, _xlfn._xlws.FILTER(REF_Setup!$D$3:$D$5, REF_Setup!$D$3:$D$5&lt;&gt;""),IF(OR(_xlpm.s="", _xlpm.s=0),"Unclassified",IF(SUM(--ISNUMBER(SEARCH(_xlpm.phil, _xlpm.s)))&gt;0, "Y", "N")))</f>
        <v>N</v>
      </c>
      <c r="U147" s="4" t="str" cm="1">
        <f t="array" ref="U147">IF(M147="", "Unclassified", IF(AND(SUMPRODUCT(--ISNUMBER(SEARCH(REF_Setup!$B$3:$B$40,M147)))&gt;0,SUMPRODUCT(--ISNUMBER(SEARCH(REF_Setup!$F$3:$F$15,M147)))&gt;0),"Mixed",IF(SUMPRODUCT(--ISNUMBER(SEARCH(REF_Setup!$B$3:$B$40,M147)))&gt;0,"Strategic Only",IF(SUMPRODUCT(--ISNUMBER(SEARCH(REF_Setup!$F$3:$F$15,M147)))&gt;0,"VC Only","Unclassified"))))</f>
        <v>Mixed</v>
      </c>
    </row>
    <row r="148" spans="2:21" ht="29" x14ac:dyDescent="0.35">
      <c r="B148" s="4">
        <f t="shared" si="8"/>
        <v>146</v>
      </c>
      <c r="C148" s="4" t="str">
        <f>IFERROR(_xlfn.XLOOKUP($B148,Raw_Data!$A$3:$A$273,Raw_Data!$B$3:$B$273),"")</f>
        <v>Mycocycle</v>
      </c>
      <c r="D148" s="4" t="str">
        <f>IFERROR(_xlfn.XLOOKUP($B148,Raw_Data!$A$3:$A$273,Raw_Data!$C$3:$C$273),"")</f>
        <v>Bolingbrook, IL</v>
      </c>
      <c r="E148" s="4">
        <f>IFERROR(_xlfn.XLOOKUP($B148,Raw_Data!$A$3:$A$273,Raw_Data!$D$3:$D$273),"")</f>
        <v>2018</v>
      </c>
      <c r="F148" s="4" t="str">
        <f>IFERROR(_xlfn.XLOOKUP($B148,Raw_Data!$A$3:$A$273,Raw_Data!$F$3:$F$273),"")</f>
        <v>Buildings</v>
      </c>
      <c r="G148" s="35">
        <f>IFERROR(_xlfn.XLOOKUP($B148,Raw_Data!$A$3:$A$273,Raw_Data!$J$3:$J$273),"")</f>
        <v>44756</v>
      </c>
      <c r="H148" s="16" t="s">
        <v>1466</v>
      </c>
      <c r="I148" s="36">
        <f>IFERROR(_xlfn.XLOOKUP($B148,Raw_Data!$A$3:$A$273,Raw_Data!$I$3:$I$273),"")</f>
        <v>0.9</v>
      </c>
      <c r="J148" s="36">
        <f>IFERROR(_xlfn.XLOOKUP($B148,Raw_Data!$A$3:$A$273,Raw_Data!$L$3:$L$273),"")</f>
        <v>0.8</v>
      </c>
      <c r="K148" s="36">
        <f>IFERROR(_xlfn.XLOOKUP($B148,Raw_Data!$A$3:$A$273,Raw_Data!$M$3:$M$273),"")</f>
        <v>0</v>
      </c>
      <c r="L148" s="15">
        <f>IFERROR(_xlfn.XLOOKUP($B148,Raw_Data!$A$3:$A$273,Raw_Data!$Q$3:$Q$273),"")</f>
        <v>0</v>
      </c>
      <c r="M148" s="34" t="str">
        <f>IFERROR(_xlfn.XLOOKUP($B148,Raw_Data!$A$3:$A$273,Raw_Data!$R$3:$R$273),"")</f>
        <v>4WARD.vc; Alumni Ventures; Anthropocene Ventures; Lofty Ventures; Right Side Capital Management; Service Provider Capital; TELUS Global Ventures</v>
      </c>
      <c r="N148" s="16" cm="1">
        <f t="array" ref="N148">IF(M148="",0,COUNTA(_xlfn._xlws.FILTER(_xlfn.TEXTSPLIT(M148,";"), _xlfn.TEXTSPLIT(M148,";")&lt;&gt;"")))</f>
        <v>7</v>
      </c>
      <c r="O148" s="16" t="str">
        <f t="shared" si="6"/>
        <v>N</v>
      </c>
      <c r="P148" s="19">
        <f>IFERROR(_xlfn.XLOOKUP($B148,Raw_Data!$A$3:$A$273,Raw_Data!$V$3:$V$273),"")</f>
        <v>0</v>
      </c>
      <c r="Q148" s="16" t="str">
        <f t="shared" si="7"/>
        <v>Y</v>
      </c>
      <c r="R148" s="32">
        <f>IFERROR(_xlfn.XLOOKUP($B148,Raw_Data!$A$3:$A$273,Raw_Data!$Y$3:$Y$273),"")</f>
        <v>1</v>
      </c>
      <c r="S148" s="4" t="str" cm="1">
        <f t="array" ref="S148">_xlfn.LET(_xlpm.s, Raw_Data!W148,_xlpm.strat, _xlfn._xlws.FILTER(REF_Setup!$B$3:$B$40, REF_Setup!$B$3:$B$40&lt;&gt;""),IF(OR(_xlpm.s="",_xlpm.s=0),"Unclassified",IF(SUM(--ISNUMBER(SEARCH(_xlpm.strat, _xlpm.s)))&gt;0, "Y", "N"))
)</f>
        <v>N</v>
      </c>
      <c r="T148" s="4" t="str" cm="1">
        <f t="array" ref="T148">_xlfn.LET(_xlpm.s,M148,_xlpm.phil, _xlfn._xlws.FILTER(REF_Setup!$D$3:$D$5, REF_Setup!$D$3:$D$5&lt;&gt;""),IF(OR(_xlpm.s="", _xlpm.s=0),"Unclassified",IF(SUM(--ISNUMBER(SEARCH(_xlpm.phil, _xlpm.s)))&gt;0, "Y", "N")))</f>
        <v>N</v>
      </c>
      <c r="U148" s="4" t="str" cm="1">
        <f t="array" ref="U148">IF(M148="", "Unclassified", IF(AND(SUMPRODUCT(--ISNUMBER(SEARCH(REF_Setup!$B$3:$B$40,M148)))&gt;0,SUMPRODUCT(--ISNUMBER(SEARCH(REF_Setup!$F$3:$F$15,M148)))&gt;0),"Mixed",IF(SUMPRODUCT(--ISNUMBER(SEARCH(REF_Setup!$B$3:$B$40,M148)))&gt;0,"Strategic Only",IF(SUMPRODUCT(--ISNUMBER(SEARCH(REF_Setup!$F$3:$F$15,M148)))&gt;0,"VC Only","Unclassified"))))</f>
        <v>VC Only</v>
      </c>
    </row>
    <row r="149" spans="2:21" x14ac:dyDescent="0.35">
      <c r="B149" s="4">
        <f t="shared" si="8"/>
        <v>147</v>
      </c>
      <c r="C149" s="4" t="str">
        <f>IFERROR(_xlfn.XLOOKUP($B149,Raw_Data!$A$3:$A$273,Raw_Data!$B$3:$B$273),"")</f>
        <v>MyForest Foods</v>
      </c>
      <c r="D149" s="4" t="str">
        <f>IFERROR(_xlfn.XLOOKUP($B149,Raw_Data!$A$3:$A$273,Raw_Data!$C$3:$C$273),"")</f>
        <v>Albany, NY</v>
      </c>
      <c r="E149" s="4">
        <f>IFERROR(_xlfn.XLOOKUP($B149,Raw_Data!$A$3:$A$273,Raw_Data!$D$3:$D$273),"")</f>
        <v>2019</v>
      </c>
      <c r="F149" s="4" t="str">
        <f>IFERROR(_xlfn.XLOOKUP($B149,Raw_Data!$A$3:$A$273,Raw_Data!$F$3:$F$273),"")</f>
        <v>Food &amp; Ag</v>
      </c>
      <c r="G149" s="35">
        <f>IFERROR(_xlfn.XLOOKUP($B149,Raw_Data!$A$3:$A$273,Raw_Data!$J$3:$J$273),"")</f>
        <v>45077</v>
      </c>
      <c r="H149" s="16" t="s">
        <v>1465</v>
      </c>
      <c r="I149" s="36">
        <f>IFERROR(_xlfn.XLOOKUP($B149,Raw_Data!$A$3:$A$273,Raw_Data!$I$3:$I$273),"")</f>
        <v>77.290000000000006</v>
      </c>
      <c r="J149" s="36">
        <f>IFERROR(_xlfn.XLOOKUP($B149,Raw_Data!$A$3:$A$273,Raw_Data!$L$3:$L$273),"")</f>
        <v>15.25</v>
      </c>
      <c r="K149" s="36">
        <f>IFERROR(_xlfn.XLOOKUP($B149,Raw_Data!$A$3:$A$273,Raw_Data!$M$3:$M$273),"")</f>
        <v>125.25</v>
      </c>
      <c r="L149" s="15">
        <f>IFERROR(_xlfn.XLOOKUP($B149,Raw_Data!$A$3:$A$273,Raw_Data!$Q$3:$Q$273),"")</f>
        <v>0</v>
      </c>
      <c r="M149" s="34" t="str">
        <f>IFERROR(_xlfn.XLOOKUP($B149,Raw_Data!$A$3:$A$273,Raw_Data!$R$3:$R$273),"")</f>
        <v>AiiM Partners; Footprint Coalition; Standard Investments; Viking Global Investors</v>
      </c>
      <c r="N149" s="16" cm="1">
        <f t="array" ref="N149">IF(M149="",0,COUNTA(_xlfn._xlws.FILTER(_xlfn.TEXTSPLIT(M149,";"), _xlfn.TEXTSPLIT(M149,";")&lt;&gt;"")))</f>
        <v>4</v>
      </c>
      <c r="O149" s="16" t="str">
        <f t="shared" si="6"/>
        <v>Y</v>
      </c>
      <c r="P149" s="19">
        <f>IFERROR(_xlfn.XLOOKUP($B149,Raw_Data!$A$3:$A$273,Raw_Data!$V$3:$V$273),"")</f>
        <v>1</v>
      </c>
      <c r="Q149" s="16" t="str">
        <f t="shared" si="7"/>
        <v>Y</v>
      </c>
      <c r="R149" s="32" t="str">
        <f>IFERROR(_xlfn.XLOOKUP($B149,Raw_Data!$A$3:$A$273,Raw_Data!$Y$3:$Y$273),"")</f>
        <v>N/A</v>
      </c>
      <c r="S149" s="4" t="str" cm="1">
        <f t="array" ref="S149">_xlfn.LET(_xlpm.s, Raw_Data!W149,_xlpm.strat, _xlfn._xlws.FILTER(REF_Setup!$B$3:$B$40, REF_Setup!$B$3:$B$40&lt;&gt;""),IF(OR(_xlpm.s="",_xlpm.s=0),"Unclassified",IF(SUM(--ISNUMBER(SEARCH(_xlpm.strat, _xlpm.s)))&gt;0, "Y", "N"))
)</f>
        <v>Unclassified</v>
      </c>
      <c r="T149" s="4" t="str" cm="1">
        <f t="array" ref="T149">_xlfn.LET(_xlpm.s,M149,_xlpm.phil, _xlfn._xlws.FILTER(REF_Setup!$D$3:$D$5, REF_Setup!$D$3:$D$5&lt;&gt;""),IF(OR(_xlpm.s="", _xlpm.s=0),"Unclassified",IF(SUM(--ISNUMBER(SEARCH(_xlpm.phil, _xlpm.s)))&gt;0, "Y", "N")))</f>
        <v>N</v>
      </c>
      <c r="U149" s="4" t="str" cm="1">
        <f t="array" ref="U149">IF(M149="", "Unclassified", IF(AND(SUMPRODUCT(--ISNUMBER(SEARCH(REF_Setup!$B$3:$B$40,M149)))&gt;0,SUMPRODUCT(--ISNUMBER(SEARCH(REF_Setup!$F$3:$F$15,M149)))&gt;0),"Mixed",IF(SUMPRODUCT(--ISNUMBER(SEARCH(REF_Setup!$B$3:$B$40,M149)))&gt;0,"Strategic Only",IF(SUMPRODUCT(--ISNUMBER(SEARCH(REF_Setup!$F$3:$F$15,M149)))&gt;0,"VC Only","Unclassified"))))</f>
        <v>VC Only</v>
      </c>
    </row>
    <row r="150" spans="2:21" x14ac:dyDescent="0.35">
      <c r="B150" s="4">
        <f t="shared" si="8"/>
        <v>148</v>
      </c>
      <c r="C150" s="4" t="str">
        <f>IFERROR(_xlfn.XLOOKUP($B150,Raw_Data!$A$3:$A$273,Raw_Data!$B$3:$B$273),"")</f>
        <v>Nacero</v>
      </c>
      <c r="D150" s="4" t="str">
        <f>IFERROR(_xlfn.XLOOKUP($B150,Raw_Data!$A$3:$A$273,Raw_Data!$C$3:$C$273),"")</f>
        <v>Houston, TX</v>
      </c>
      <c r="E150" s="4">
        <f>IFERROR(_xlfn.XLOOKUP($B150,Raw_Data!$A$3:$A$273,Raw_Data!$D$3:$D$273),"")</f>
        <v>2015</v>
      </c>
      <c r="F150" s="4" t="str">
        <f>IFERROR(_xlfn.XLOOKUP($B150,Raw_Data!$A$3:$A$273,Raw_Data!$F$3:$F$273),"")</f>
        <v>Mobility</v>
      </c>
      <c r="G150" s="35">
        <f>IFERROR(_xlfn.XLOOKUP($B150,Raw_Data!$A$3:$A$273,Raw_Data!$J$3:$J$273),"")</f>
        <v>43371</v>
      </c>
      <c r="H150" s="4" t="s">
        <v>75</v>
      </c>
      <c r="I150" s="36">
        <f>IFERROR(_xlfn.XLOOKUP($B150,Raw_Data!$A$3:$A$273,Raw_Data!$I$3:$I$273),"")</f>
        <v>34.5</v>
      </c>
      <c r="J150" s="36">
        <f>IFERROR(_xlfn.XLOOKUP($B150,Raw_Data!$A$3:$A$273,Raw_Data!$L$3:$L$273),"")</f>
        <v>34.5</v>
      </c>
      <c r="K150" s="36">
        <f>IFERROR(_xlfn.XLOOKUP($B150,Raw_Data!$A$3:$A$273,Raw_Data!$M$3:$M$273),"")</f>
        <v>0</v>
      </c>
      <c r="L150" s="15">
        <f>IFERROR(_xlfn.XLOOKUP($B150,Raw_Data!$A$3:$A$273,Raw_Data!$Q$3:$Q$273),"")</f>
        <v>0</v>
      </c>
      <c r="M150" s="34"/>
      <c r="N150" s="16" cm="1">
        <f t="array" ref="N150">IF(M150="",0,COUNTA(_xlfn._xlws.FILTER(_xlfn.TEXTSPLIT(M150,";"), _xlfn.TEXTSPLIT(M150,";")&lt;&gt;"")))</f>
        <v>0</v>
      </c>
      <c r="O150" s="16" t="str">
        <f t="shared" si="6"/>
        <v>Y</v>
      </c>
      <c r="P150" s="19" t="str">
        <f>IFERROR(_xlfn.XLOOKUP($B150,Raw_Data!$A$3:$A$273,Raw_Data!$V$3:$V$273),"")</f>
        <v>N/A</v>
      </c>
      <c r="Q150" s="16" t="str">
        <f t="shared" si="7"/>
        <v>Y</v>
      </c>
      <c r="R150" s="32" t="str">
        <f>IFERROR(_xlfn.XLOOKUP($B150,Raw_Data!$A$3:$A$273,Raw_Data!$Y$3:$Y$273),"")</f>
        <v>N/A</v>
      </c>
      <c r="S150" s="4" t="str" cm="1">
        <f t="array" ref="S150">_xlfn.LET(_xlpm.s, Raw_Data!W150,_xlpm.strat, _xlfn._xlws.FILTER(REF_Setup!$B$3:$B$40, REF_Setup!$B$3:$B$40&lt;&gt;""),IF(OR(_xlpm.s="",_xlpm.s=0),"Unclassified",IF(SUM(--ISNUMBER(SEARCH(_xlpm.strat, _xlpm.s)))&gt;0, "Y", "N"))
)</f>
        <v>Unclassified</v>
      </c>
      <c r="T150" s="4" t="str" cm="1">
        <f t="array" ref="T150">_xlfn.LET(_xlpm.s,M150,_xlpm.phil, _xlfn._xlws.FILTER(REF_Setup!$D$3:$D$5, REF_Setup!$D$3:$D$5&lt;&gt;""),IF(OR(_xlpm.s="", _xlpm.s=0),"Unclassified",IF(SUM(--ISNUMBER(SEARCH(_xlpm.phil, _xlpm.s)))&gt;0, "Y", "N")))</f>
        <v>Unclassified</v>
      </c>
      <c r="U150" s="4" t="str" cm="1">
        <f t="array" ref="U150">IF(M150="", "Unclassified", IF(AND(SUMPRODUCT(--ISNUMBER(SEARCH(REF_Setup!$B$3:$B$40,M150)))&gt;0,SUMPRODUCT(--ISNUMBER(SEARCH(REF_Setup!$F$3:$F$15,M150)))&gt;0),"Mixed",IF(SUMPRODUCT(--ISNUMBER(SEARCH(REF_Setup!$B$3:$B$40,M150)))&gt;0,"Strategic Only",IF(SUMPRODUCT(--ISNUMBER(SEARCH(REF_Setup!$F$3:$F$15,M150)))&gt;0,"VC Only","Unclassified"))))</f>
        <v>Unclassified</v>
      </c>
    </row>
    <row r="151" spans="2:21" x14ac:dyDescent="0.35">
      <c r="B151" s="4">
        <f t="shared" si="8"/>
        <v>149</v>
      </c>
      <c r="C151" s="4" t="str">
        <f>IFERROR(_xlfn.XLOOKUP($B151,Raw_Data!$A$3:$A$273,Raw_Data!$B$3:$B$273),"")</f>
        <v>Nacero</v>
      </c>
      <c r="D151" s="4" t="str">
        <f>IFERROR(_xlfn.XLOOKUP($B151,Raw_Data!$A$3:$A$273,Raw_Data!$C$3:$C$273),"")</f>
        <v>Houston, TX</v>
      </c>
      <c r="E151" s="4">
        <f>IFERROR(_xlfn.XLOOKUP($B151,Raw_Data!$A$3:$A$273,Raw_Data!$D$3:$D$273),"")</f>
        <v>2015</v>
      </c>
      <c r="F151" s="4" t="str">
        <f>IFERROR(_xlfn.XLOOKUP($B151,Raw_Data!$A$3:$A$273,Raw_Data!$F$3:$F$273),"")</f>
        <v>Mobility</v>
      </c>
      <c r="G151" s="35">
        <f>IFERROR(_xlfn.XLOOKUP($B151,Raw_Data!$A$3:$A$273,Raw_Data!$J$3:$J$273),"")</f>
        <v>44321</v>
      </c>
      <c r="H151" s="4" t="s">
        <v>75</v>
      </c>
      <c r="I151" s="36">
        <f>IFERROR(_xlfn.XLOOKUP($B151,Raw_Data!$A$3:$A$273,Raw_Data!$I$3:$I$273),"")</f>
        <v>34.5</v>
      </c>
      <c r="J151" s="36">
        <f>IFERROR(_xlfn.XLOOKUP($B151,Raw_Data!$A$3:$A$273,Raw_Data!$L$3:$L$273),"")</f>
        <v>0</v>
      </c>
      <c r="K151" s="36">
        <f>IFERROR(_xlfn.XLOOKUP($B151,Raw_Data!$A$3:$A$273,Raw_Data!$M$3:$M$273),"")</f>
        <v>0</v>
      </c>
      <c r="L151" s="15" t="str">
        <f>IFERROR(_xlfn.XLOOKUP($B151,Raw_Data!$A$3:$A$273,Raw_Data!$Q$3:$Q$273),"")</f>
        <v>N/A</v>
      </c>
      <c r="M151" s="34" t="str">
        <f>IFERROR(_xlfn.XLOOKUP($B151,Raw_Data!$A$3:$A$273,Raw_Data!$R$3:$R$273),"")</f>
        <v xml:space="preserve">Global Cleantech Capital </v>
      </c>
      <c r="N151" s="16" cm="1">
        <f t="array" ref="N151">IF(M151="",0,COUNTA(_xlfn._xlws.FILTER(_xlfn.TEXTSPLIT(M151,";"), _xlfn.TEXTSPLIT(M151,";")&lt;&gt;"")))</f>
        <v>1</v>
      </c>
      <c r="O151" s="16" t="str">
        <f t="shared" si="6"/>
        <v>N</v>
      </c>
      <c r="P151" s="19">
        <f>IFERROR(_xlfn.XLOOKUP($B151,Raw_Data!$A$3:$A$273,Raw_Data!$V$3:$V$273),"")</f>
        <v>0</v>
      </c>
      <c r="Q151" s="16" t="str">
        <f t="shared" si="7"/>
        <v>Y</v>
      </c>
      <c r="R151" s="32">
        <f>IFERROR(_xlfn.XLOOKUP($B151,Raw_Data!$A$3:$A$273,Raw_Data!$Y$3:$Y$273),"")</f>
        <v>1</v>
      </c>
      <c r="S151" s="4" t="str" cm="1">
        <f t="array" ref="S151">_xlfn.LET(_xlpm.s, Raw_Data!W151,_xlpm.strat, _xlfn._xlws.FILTER(REF_Setup!$B$3:$B$40, REF_Setup!$B$3:$B$40&lt;&gt;""),IF(OR(_xlpm.s="",_xlpm.s=0),"Unclassified",IF(SUM(--ISNUMBER(SEARCH(_xlpm.strat, _xlpm.s)))&gt;0, "Y", "N"))
)</f>
        <v>N</v>
      </c>
      <c r="T151" s="4" t="str" cm="1">
        <f t="array" ref="T151">_xlfn.LET(_xlpm.s,M151,_xlpm.phil, _xlfn._xlws.FILTER(REF_Setup!$D$3:$D$5, REF_Setup!$D$3:$D$5&lt;&gt;""),IF(OR(_xlpm.s="", _xlpm.s=0),"Unclassified",IF(SUM(--ISNUMBER(SEARCH(_xlpm.phil, _xlpm.s)))&gt;0, "Y", "N")))</f>
        <v>N</v>
      </c>
      <c r="U151" s="4" t="str" cm="1">
        <f t="array" ref="U151">IF(M151="", "Unclassified", IF(AND(SUMPRODUCT(--ISNUMBER(SEARCH(REF_Setup!$B$3:$B$40,M151)))&gt;0,SUMPRODUCT(--ISNUMBER(SEARCH(REF_Setup!$F$3:$F$15,M151)))&gt;0),"Mixed",IF(SUMPRODUCT(--ISNUMBER(SEARCH(REF_Setup!$B$3:$B$40,M151)))&gt;0,"Strategic Only",IF(SUMPRODUCT(--ISNUMBER(SEARCH(REF_Setup!$F$3:$F$15,M151)))&gt;0,"VC Only","Unclassified"))))</f>
        <v>VC Only</v>
      </c>
    </row>
    <row r="152" spans="2:21" ht="29" x14ac:dyDescent="0.35">
      <c r="B152" s="4">
        <f t="shared" si="8"/>
        <v>150</v>
      </c>
      <c r="C152" s="4" t="str">
        <f>IFERROR(_xlfn.XLOOKUP($B152,Raw_Data!$A$3:$A$273,Raw_Data!$B$3:$B$273),"")</f>
        <v>Natel Energy</v>
      </c>
      <c r="D152" s="4" t="str">
        <f>IFERROR(_xlfn.XLOOKUP($B152,Raw_Data!$A$3:$A$273,Raw_Data!$C$3:$C$273),"")</f>
        <v>Alameda, CA</v>
      </c>
      <c r="E152" s="4">
        <f>IFERROR(_xlfn.XLOOKUP($B152,Raw_Data!$A$3:$A$273,Raw_Data!$D$3:$D$273),"")</f>
        <v>2009</v>
      </c>
      <c r="F152" s="4" t="str">
        <f>IFERROR(_xlfn.XLOOKUP($B152,Raw_Data!$A$3:$A$273,Raw_Data!$F$3:$F$273),"")</f>
        <v>Renewables</v>
      </c>
      <c r="G152" s="35">
        <f>IFERROR(_xlfn.XLOOKUP($B152,Raw_Data!$A$3:$A$273,Raw_Data!$J$3:$J$273),"")</f>
        <v>43916</v>
      </c>
      <c r="I152" s="36">
        <f>IFERROR(_xlfn.XLOOKUP($B152,Raw_Data!$A$3:$A$273,Raw_Data!$I$3:$I$273),"")</f>
        <v>68.36</v>
      </c>
      <c r="J152" s="36">
        <f>IFERROR(_xlfn.XLOOKUP($B152,Raw_Data!$A$3:$A$273,Raw_Data!$L$3:$L$273),"")</f>
        <v>41.59</v>
      </c>
      <c r="K152" s="36">
        <f>IFERROR(_xlfn.XLOOKUP($B152,Raw_Data!$A$3:$A$273,Raw_Data!$M$3:$M$273),"")</f>
        <v>0</v>
      </c>
      <c r="L152" s="15">
        <f>IFERROR(_xlfn.XLOOKUP($B152,Raw_Data!$A$3:$A$273,Raw_Data!$Q$3:$Q$273),"")</f>
        <v>0</v>
      </c>
      <c r="M152" s="34" t="str">
        <f>IFERROR(_xlfn.XLOOKUP($B152,Raw_Data!$A$3:$A$273,Raw_Data!$R$3:$R$273),"")</f>
        <v>Ajax Strategies; Breakthrough Energy; Emerson Collective; mTerra Ventures; Schneider Electric; SE Ventures</v>
      </c>
      <c r="N152" s="16" cm="1">
        <f t="array" ref="N152">IF(M152="",0,COUNTA(_xlfn._xlws.FILTER(_xlfn.TEXTSPLIT(M152,";"), _xlfn.TEXTSPLIT(M152,";")&lt;&gt;"")))</f>
        <v>6</v>
      </c>
      <c r="O152" s="16" t="str">
        <f t="shared" si="6"/>
        <v>N</v>
      </c>
      <c r="P152" s="19">
        <f>IFERROR(_xlfn.XLOOKUP($B152,Raw_Data!$A$3:$A$273,Raw_Data!$V$3:$V$273),"")</f>
        <v>0</v>
      </c>
      <c r="Q152" s="16" t="str">
        <f t="shared" si="7"/>
        <v>Y</v>
      </c>
      <c r="R152" s="32">
        <f>IFERROR(_xlfn.XLOOKUP($B152,Raw_Data!$A$3:$A$273,Raw_Data!$Y$3:$Y$273),"")</f>
        <v>1</v>
      </c>
      <c r="S152" s="4" t="str" cm="1">
        <f t="array" ref="S152">_xlfn.LET(_xlpm.s, Raw_Data!W152,_xlpm.strat, _xlfn._xlws.FILTER(REF_Setup!$B$3:$B$40, REF_Setup!$B$3:$B$40&lt;&gt;""),IF(OR(_xlpm.s="",_xlpm.s=0),"Unclassified",IF(SUM(--ISNUMBER(SEARCH(_xlpm.strat, _xlpm.s)))&gt;0, "Y", "N"))
)</f>
        <v>Y</v>
      </c>
      <c r="T152" s="4" t="str" cm="1">
        <f t="array" ref="T152">_xlfn.LET(_xlpm.s,M152,_xlpm.phil, _xlfn._xlws.FILTER(REF_Setup!$D$3:$D$5, REF_Setup!$D$3:$D$5&lt;&gt;""),IF(OR(_xlpm.s="", _xlpm.s=0),"Unclassified",IF(SUM(--ISNUMBER(SEARCH(_xlpm.phil, _xlpm.s)))&gt;0, "Y", "N")))</f>
        <v>N</v>
      </c>
      <c r="U152" s="4" t="str" cm="1">
        <f t="array" ref="U152">IF(M152="", "Unclassified", IF(AND(SUMPRODUCT(--ISNUMBER(SEARCH(REF_Setup!$B$3:$B$40,M152)))&gt;0,SUMPRODUCT(--ISNUMBER(SEARCH(REF_Setup!$F$3:$F$15,M152)))&gt;0),"Mixed",IF(SUMPRODUCT(--ISNUMBER(SEARCH(REF_Setup!$B$3:$B$40,M152)))&gt;0,"Strategic Only",IF(SUMPRODUCT(--ISNUMBER(SEARCH(REF_Setup!$F$3:$F$15,M152)))&gt;0,"VC Only","Unclassified"))))</f>
        <v>Mixed</v>
      </c>
    </row>
    <row r="153" spans="2:21" x14ac:dyDescent="0.35">
      <c r="B153" s="4">
        <f t="shared" si="8"/>
        <v>151</v>
      </c>
      <c r="C153" s="4" t="str">
        <f>IFERROR(_xlfn.XLOOKUP($B153,Raw_Data!$A$3:$A$273,Raw_Data!$B$3:$B$273),"")</f>
        <v>Natel Energy</v>
      </c>
      <c r="D153" s="4" t="str">
        <f>IFERROR(_xlfn.XLOOKUP($B153,Raw_Data!$A$3:$A$273,Raw_Data!$C$3:$C$273),"")</f>
        <v>Alameda, CA</v>
      </c>
      <c r="E153" s="4">
        <f>IFERROR(_xlfn.XLOOKUP($B153,Raw_Data!$A$3:$A$273,Raw_Data!$D$3:$D$273),"")</f>
        <v>2009</v>
      </c>
      <c r="F153" s="4" t="str">
        <f>IFERROR(_xlfn.XLOOKUP($B153,Raw_Data!$A$3:$A$273,Raw_Data!$F$3:$F$273),"")</f>
        <v>Renewables</v>
      </c>
      <c r="G153" s="35">
        <f>IFERROR(_xlfn.XLOOKUP($B153,Raw_Data!$A$3:$A$273,Raw_Data!$J$3:$J$273),"")</f>
        <v>44398</v>
      </c>
      <c r="I153" s="36">
        <f>IFERROR(_xlfn.XLOOKUP($B153,Raw_Data!$A$3:$A$273,Raw_Data!$I$3:$I$273),"")</f>
        <v>88.36</v>
      </c>
      <c r="J153" s="36">
        <f>IFERROR(_xlfn.XLOOKUP($B153,Raw_Data!$A$3:$A$273,Raw_Data!$L$3:$L$273),"")</f>
        <v>20</v>
      </c>
      <c r="K153" s="36">
        <f>IFERROR(_xlfn.XLOOKUP($B153,Raw_Data!$A$3:$A$273,Raw_Data!$M$3:$M$273),"")</f>
        <v>55</v>
      </c>
      <c r="L153" s="15">
        <f>IFERROR(_xlfn.XLOOKUP($B153,Raw_Data!$A$3:$A$273,Raw_Data!$Q$3:$Q$273),"")</f>
        <v>0</v>
      </c>
      <c r="M153" s="34" t="str">
        <f>IFERROR(_xlfn.XLOOKUP($B153,Raw_Data!$A$3:$A$273,Raw_Data!$R$3:$R$273),"")</f>
        <v>Breakthrough Energy; Chevron Technology Ventures; Prithvi Ventures</v>
      </c>
      <c r="N153" s="16" cm="1">
        <f t="array" ref="N153">IF(M153="",0,COUNTA(_xlfn._xlws.FILTER(_xlfn.TEXTSPLIT(M153,";"), _xlfn.TEXTSPLIT(M153,";")&lt;&gt;"")))</f>
        <v>3</v>
      </c>
      <c r="O153" s="16" t="str">
        <f t="shared" si="6"/>
        <v>Y</v>
      </c>
      <c r="P153" s="19">
        <f>IFERROR(_xlfn.XLOOKUP($B153,Raw_Data!$A$3:$A$273,Raw_Data!$V$3:$V$273),"")</f>
        <v>0.33333333333333331</v>
      </c>
      <c r="Q153" s="16" t="str">
        <f t="shared" si="7"/>
        <v>Y</v>
      </c>
      <c r="R153" s="32">
        <f>IFERROR(_xlfn.XLOOKUP($B153,Raw_Data!$A$3:$A$273,Raw_Data!$Y$3:$Y$273),"")</f>
        <v>0.66666666666666663</v>
      </c>
      <c r="S153" s="4" t="str" cm="1">
        <f t="array" ref="S153">_xlfn.LET(_xlpm.s, Raw_Data!W153,_xlpm.strat, _xlfn._xlws.FILTER(REF_Setup!$B$3:$B$40, REF_Setup!$B$3:$B$40&lt;&gt;""),IF(OR(_xlpm.s="",_xlpm.s=0),"Unclassified",IF(SUM(--ISNUMBER(SEARCH(_xlpm.strat, _xlpm.s)))&gt;0, "Y", "N"))
)</f>
        <v>Y</v>
      </c>
      <c r="T153" s="4" t="str" cm="1">
        <f t="array" ref="T153">_xlfn.LET(_xlpm.s,M153,_xlpm.phil, _xlfn._xlws.FILTER(REF_Setup!$D$3:$D$5, REF_Setup!$D$3:$D$5&lt;&gt;""),IF(OR(_xlpm.s="", _xlpm.s=0),"Unclassified",IF(SUM(--ISNUMBER(SEARCH(_xlpm.phil, _xlpm.s)))&gt;0, "Y", "N")))</f>
        <v>N</v>
      </c>
      <c r="U153" s="4" t="str" cm="1">
        <f t="array" ref="U153">IF(M153="", "Unclassified", IF(AND(SUMPRODUCT(--ISNUMBER(SEARCH(REF_Setup!$B$3:$B$40,M153)))&gt;0,SUMPRODUCT(--ISNUMBER(SEARCH(REF_Setup!$F$3:$F$15,M153)))&gt;0),"Mixed",IF(SUMPRODUCT(--ISNUMBER(SEARCH(REF_Setup!$B$3:$B$40,M153)))&gt;0,"Strategic Only",IF(SUMPRODUCT(--ISNUMBER(SEARCH(REF_Setup!$F$3:$F$15,M153)))&gt;0,"VC Only","Unclassified"))))</f>
        <v>Mixed</v>
      </c>
    </row>
    <row r="154" spans="2:21" x14ac:dyDescent="0.35">
      <c r="B154" s="4">
        <f t="shared" si="8"/>
        <v>152</v>
      </c>
      <c r="C154" s="4" t="str">
        <f>IFERROR(_xlfn.XLOOKUP($B154,Raw_Data!$A$3:$A$273,Raw_Data!$B$3:$B$273),"")</f>
        <v>Natel Energy</v>
      </c>
      <c r="D154" s="4" t="str">
        <f>IFERROR(_xlfn.XLOOKUP($B154,Raw_Data!$A$3:$A$273,Raw_Data!$C$3:$C$273),"")</f>
        <v>Alameda, CA</v>
      </c>
      <c r="E154" s="4">
        <f>IFERROR(_xlfn.XLOOKUP($B154,Raw_Data!$A$3:$A$273,Raw_Data!$D$3:$D$273),"")</f>
        <v>2009</v>
      </c>
      <c r="F154" s="4" t="str">
        <f>IFERROR(_xlfn.XLOOKUP($B154,Raw_Data!$A$3:$A$273,Raw_Data!$F$3:$F$273),"")</f>
        <v>Renewables</v>
      </c>
      <c r="G154" s="35">
        <f>IFERROR(_xlfn.XLOOKUP($B154,Raw_Data!$A$3:$A$273,Raw_Data!$J$3:$J$273),"")</f>
        <v>42880</v>
      </c>
      <c r="H154" s="16" t="s">
        <v>1467</v>
      </c>
      <c r="I154" s="36">
        <f>IFERROR(_xlfn.XLOOKUP($B154,Raw_Data!$A$3:$A$273,Raw_Data!$I$3:$I$273),"")</f>
        <v>14.93</v>
      </c>
      <c r="J154" s="36">
        <f>IFERROR(_xlfn.XLOOKUP($B154,Raw_Data!$A$3:$A$273,Raw_Data!$L$3:$L$273),"")</f>
        <v>5</v>
      </c>
      <c r="K154" s="36">
        <f>IFERROR(_xlfn.XLOOKUP($B154,Raw_Data!$A$3:$A$273,Raw_Data!$M$3:$M$273),"")</f>
        <v>19</v>
      </c>
      <c r="L154" s="15">
        <f>IFERROR(_xlfn.XLOOKUP($B154,Raw_Data!$A$3:$A$273,Raw_Data!$Q$3:$Q$273),"")</f>
        <v>0</v>
      </c>
      <c r="M154" s="34"/>
      <c r="N154" s="16" cm="1">
        <f t="array" ref="N154">IF(M154="",0,COUNTA(_xlfn._xlws.FILTER(_xlfn.TEXTSPLIT(M154,";"), _xlfn.TEXTSPLIT(M154,";")&lt;&gt;"")))</f>
        <v>0</v>
      </c>
      <c r="O154" s="16" t="str">
        <f t="shared" si="6"/>
        <v>Y</v>
      </c>
      <c r="P154" s="19" t="str">
        <f>IFERROR(_xlfn.XLOOKUP($B154,Raw_Data!$A$3:$A$273,Raw_Data!$V$3:$V$273),"")</f>
        <v>N/A</v>
      </c>
      <c r="Q154" s="16" t="str">
        <f t="shared" si="7"/>
        <v>Y</v>
      </c>
      <c r="R154" s="32" t="str">
        <f>IFERROR(_xlfn.XLOOKUP($B154,Raw_Data!$A$3:$A$273,Raw_Data!$Y$3:$Y$273),"")</f>
        <v>N/A</v>
      </c>
      <c r="S154" s="4" t="str" cm="1">
        <f t="array" ref="S154">_xlfn.LET(_xlpm.s, Raw_Data!W154,_xlpm.strat, _xlfn._xlws.FILTER(REF_Setup!$B$3:$B$40, REF_Setup!$B$3:$B$40&lt;&gt;""),IF(OR(_xlpm.s="",_xlpm.s=0),"Unclassified",IF(SUM(--ISNUMBER(SEARCH(_xlpm.strat, _xlpm.s)))&gt;0, "Y", "N"))
)</f>
        <v>Unclassified</v>
      </c>
      <c r="T154" s="4" t="str" cm="1">
        <f t="array" ref="T154">_xlfn.LET(_xlpm.s,M154,_xlpm.phil, _xlfn._xlws.FILTER(REF_Setup!$D$3:$D$5, REF_Setup!$D$3:$D$5&lt;&gt;""),IF(OR(_xlpm.s="", _xlpm.s=0),"Unclassified",IF(SUM(--ISNUMBER(SEARCH(_xlpm.phil, _xlpm.s)))&gt;0, "Y", "N")))</f>
        <v>Unclassified</v>
      </c>
      <c r="U154" s="4" t="str" cm="1">
        <f t="array" ref="U154">IF(M154="", "Unclassified", IF(AND(SUMPRODUCT(--ISNUMBER(SEARCH(REF_Setup!$B$3:$B$40,M154)))&gt;0,SUMPRODUCT(--ISNUMBER(SEARCH(REF_Setup!$F$3:$F$15,M154)))&gt;0),"Mixed",IF(SUMPRODUCT(--ISNUMBER(SEARCH(REF_Setup!$B$3:$B$40,M154)))&gt;0,"Strategic Only",IF(SUMPRODUCT(--ISNUMBER(SEARCH(REF_Setup!$F$3:$F$15,M154)))&gt;0,"VC Only","Unclassified"))))</f>
        <v>Unclassified</v>
      </c>
    </row>
    <row r="155" spans="2:21" ht="29" x14ac:dyDescent="0.35">
      <c r="B155" s="4">
        <f t="shared" si="8"/>
        <v>153</v>
      </c>
      <c r="C155" s="4" t="str">
        <f>IFERROR(_xlfn.XLOOKUP($B155,Raw_Data!$A$3:$A$273,Raw_Data!$B$3:$B$273),"")</f>
        <v>Natel Energy</v>
      </c>
      <c r="D155" s="4" t="str">
        <f>IFERROR(_xlfn.XLOOKUP($B155,Raw_Data!$A$3:$A$273,Raw_Data!$C$3:$C$273),"")</f>
        <v>Alameda, CA</v>
      </c>
      <c r="E155" s="4">
        <f>IFERROR(_xlfn.XLOOKUP($B155,Raw_Data!$A$3:$A$273,Raw_Data!$D$3:$D$273),"")</f>
        <v>2009</v>
      </c>
      <c r="F155" s="4" t="str">
        <f>IFERROR(_xlfn.XLOOKUP($B155,Raw_Data!$A$3:$A$273,Raw_Data!$F$3:$F$273),"")</f>
        <v>Renewables</v>
      </c>
      <c r="G155" s="35">
        <f>IFERROR(_xlfn.XLOOKUP($B155,Raw_Data!$A$3:$A$273,Raw_Data!$J$3:$J$273),"")</f>
        <v>45042</v>
      </c>
      <c r="I155" s="36">
        <f>IFERROR(_xlfn.XLOOKUP($B155,Raw_Data!$A$3:$A$273,Raw_Data!$I$3:$I$273),"")</f>
        <v>116.36</v>
      </c>
      <c r="J155" s="36">
        <f>IFERROR(_xlfn.XLOOKUP($B155,Raw_Data!$A$3:$A$273,Raw_Data!$L$3:$L$273),"")</f>
        <v>28</v>
      </c>
      <c r="K155" s="36">
        <f>IFERROR(_xlfn.XLOOKUP($B155,Raw_Data!$A$3:$A$273,Raw_Data!$M$3:$M$273),"")</f>
        <v>83</v>
      </c>
      <c r="L155" s="15">
        <f>IFERROR(_xlfn.XLOOKUP($B155,Raw_Data!$A$3:$A$273,Raw_Data!$Q$3:$Q$273),"")</f>
        <v>0</v>
      </c>
      <c r="M155" s="34" t="str">
        <f>IFERROR(_xlfn.XLOOKUP($B155,Raw_Data!$A$3:$A$273,Raw_Data!$R$3:$R$273),"")</f>
        <v>Enechange; Japan Energy Fund; New Luna Ventures; Schneider Electric USA Common Trust</v>
      </c>
      <c r="N155" s="16" cm="1">
        <f t="array" ref="N155">IF(M155="",0,COUNTA(_xlfn._xlws.FILTER(_xlfn.TEXTSPLIT(M155,";"), _xlfn.TEXTSPLIT(M155,";")&lt;&gt;"")))</f>
        <v>4</v>
      </c>
      <c r="O155" s="16" t="str">
        <f t="shared" si="6"/>
        <v>N</v>
      </c>
      <c r="P155" s="19">
        <f>IFERROR(_xlfn.XLOOKUP($B155,Raw_Data!$A$3:$A$273,Raw_Data!$V$3:$V$273),"")</f>
        <v>0</v>
      </c>
      <c r="Q155" s="16" t="str">
        <f t="shared" si="7"/>
        <v>Y</v>
      </c>
      <c r="R155" s="32">
        <f>IFERROR(_xlfn.XLOOKUP($B155,Raw_Data!$A$3:$A$273,Raw_Data!$Y$3:$Y$273),"")</f>
        <v>1</v>
      </c>
      <c r="S155" s="4" t="str" cm="1">
        <f t="array" ref="S155">_xlfn.LET(_xlpm.s, Raw_Data!W155,_xlpm.strat, _xlfn._xlws.FILTER(REF_Setup!$B$3:$B$40, REF_Setup!$B$3:$B$40&lt;&gt;""),IF(OR(_xlpm.s="",_xlpm.s=0),"Unclassified",IF(SUM(--ISNUMBER(SEARCH(_xlpm.strat, _xlpm.s)))&gt;0, "Y", "N"))
)</f>
        <v>Y</v>
      </c>
      <c r="T155" s="4" t="str" cm="1">
        <f t="array" ref="T155">_xlfn.LET(_xlpm.s,M155,_xlpm.phil, _xlfn._xlws.FILTER(REF_Setup!$D$3:$D$5, REF_Setup!$D$3:$D$5&lt;&gt;""),IF(OR(_xlpm.s="", _xlpm.s=0),"Unclassified",IF(SUM(--ISNUMBER(SEARCH(_xlpm.phil, _xlpm.s)))&gt;0, "Y", "N")))</f>
        <v>N</v>
      </c>
      <c r="U155" s="4" t="str" cm="1">
        <f t="array" ref="U155">IF(M155="", "Unclassified", IF(AND(SUMPRODUCT(--ISNUMBER(SEARCH(REF_Setup!$B$3:$B$40,M155)))&gt;0,SUMPRODUCT(--ISNUMBER(SEARCH(REF_Setup!$F$3:$F$15,M155)))&gt;0),"Mixed",IF(SUMPRODUCT(--ISNUMBER(SEARCH(REF_Setup!$B$3:$B$40,M155)))&gt;0,"Strategic Only",IF(SUMPRODUCT(--ISNUMBER(SEARCH(REF_Setup!$F$3:$F$15,M155)))&gt;0,"VC Only","Unclassified"))))</f>
        <v>Mixed</v>
      </c>
    </row>
    <row r="156" spans="2:21" ht="29" x14ac:dyDescent="0.35">
      <c r="B156" s="4">
        <f t="shared" si="8"/>
        <v>154</v>
      </c>
      <c r="C156" s="4" t="str">
        <f>IFERROR(_xlfn.XLOOKUP($B156,Raw_Data!$A$3:$A$273,Raw_Data!$B$3:$B$273),"")</f>
        <v>Nature Coatings</v>
      </c>
      <c r="D156" s="4" t="str">
        <f>IFERROR(_xlfn.XLOOKUP($B156,Raw_Data!$A$3:$A$273,Raw_Data!$C$3:$C$273),"")</f>
        <v>Las Vegas, NV</v>
      </c>
      <c r="E156" s="4">
        <f>IFERROR(_xlfn.XLOOKUP($B156,Raw_Data!$A$3:$A$273,Raw_Data!$D$3:$D$273),"")</f>
        <v>2017</v>
      </c>
      <c r="F156" s="4" t="str">
        <f>IFERROR(_xlfn.XLOOKUP($B156,Raw_Data!$A$3:$A$273,Raw_Data!$F$3:$F$273),"")</f>
        <v>Industrial Decarbonization</v>
      </c>
      <c r="G156" s="35">
        <f>IFERROR(_xlfn.XLOOKUP($B156,Raw_Data!$A$3:$A$273,Raw_Data!$J$3:$J$273),"")</f>
        <v>44988</v>
      </c>
      <c r="H156" s="16" t="s">
        <v>1465</v>
      </c>
      <c r="I156" s="36">
        <f>IFERROR(_xlfn.XLOOKUP($B156,Raw_Data!$A$3:$A$273,Raw_Data!$I$3:$I$273),"")</f>
        <v>4.1500000000000004</v>
      </c>
      <c r="J156" s="36">
        <f>IFERROR(_xlfn.XLOOKUP($B156,Raw_Data!$A$3:$A$273,Raw_Data!$L$3:$L$273),"")</f>
        <v>2.4500000000000002</v>
      </c>
      <c r="K156" s="36">
        <f>IFERROR(_xlfn.XLOOKUP($B156,Raw_Data!$A$3:$A$273,Raw_Data!$M$3:$M$273),"")</f>
        <v>20</v>
      </c>
      <c r="L156" s="15">
        <f>IFERROR(_xlfn.XLOOKUP($B156,Raw_Data!$A$3:$A$273,Raw_Data!$Q$3:$Q$273),"")</f>
        <v>0</v>
      </c>
      <c r="M156" s="34" t="str">
        <f>IFERROR(_xlfn.XLOOKUP($B156,Raw_Data!$A$3:$A$273,Raw_Data!$R$3:$R$273),"")</f>
        <v>Leonardo DiCaprio; Next Act Fund; Portfolia; Regeneration VC; Safer Made; The 22 Fund</v>
      </c>
      <c r="N156" s="16" cm="1">
        <f t="array" ref="N156">IF(M156="",0,COUNTA(_xlfn._xlws.FILTER(_xlfn.TEXTSPLIT(M156,";"), _xlfn.TEXTSPLIT(M156,";")&lt;&gt;"")))</f>
        <v>6</v>
      </c>
      <c r="O156" s="16" t="str">
        <f t="shared" si="6"/>
        <v>Y</v>
      </c>
      <c r="P156" s="19">
        <f>IFERROR(_xlfn.XLOOKUP($B156,Raw_Data!$A$3:$A$273,Raw_Data!$V$3:$V$273),"")</f>
        <v>0.16666666666666666</v>
      </c>
      <c r="Q156" s="16" t="str">
        <f t="shared" si="7"/>
        <v>Y</v>
      </c>
      <c r="R156" s="32">
        <f>IFERROR(_xlfn.XLOOKUP($B156,Raw_Data!$A$3:$A$273,Raw_Data!$Y$3:$Y$273),"")</f>
        <v>0.83333333333333337</v>
      </c>
      <c r="S156" s="4" t="str" cm="1">
        <f t="array" ref="S156">_xlfn.LET(_xlpm.s, Raw_Data!W156,_xlpm.strat, _xlfn._xlws.FILTER(REF_Setup!$B$3:$B$40, REF_Setup!$B$3:$B$40&lt;&gt;""),IF(OR(_xlpm.s="",_xlpm.s=0),"Unclassified",IF(SUM(--ISNUMBER(SEARCH(_xlpm.strat, _xlpm.s)))&gt;0, "Y", "N"))
)</f>
        <v>N</v>
      </c>
      <c r="T156" s="4" t="str" cm="1">
        <f t="array" ref="T156">_xlfn.LET(_xlpm.s,M156,_xlpm.phil, _xlfn._xlws.FILTER(REF_Setup!$D$3:$D$5, REF_Setup!$D$3:$D$5&lt;&gt;""),IF(OR(_xlpm.s="", _xlpm.s=0),"Unclassified",IF(SUM(--ISNUMBER(SEARCH(_xlpm.phil, _xlpm.s)))&gt;0, "Y", "N")))</f>
        <v>N</v>
      </c>
      <c r="U156" s="4" t="str" cm="1">
        <f t="array" ref="U156">IF(M156="", "Unclassified", IF(AND(SUMPRODUCT(--ISNUMBER(SEARCH(REF_Setup!$B$3:$B$40,M156)))&gt;0,SUMPRODUCT(--ISNUMBER(SEARCH(REF_Setup!$F$3:$F$15,M156)))&gt;0),"Mixed",IF(SUMPRODUCT(--ISNUMBER(SEARCH(REF_Setup!$B$3:$B$40,M156)))&gt;0,"Strategic Only",IF(SUMPRODUCT(--ISNUMBER(SEARCH(REF_Setup!$F$3:$F$15,M156)))&gt;0,"VC Only","Unclassified"))))</f>
        <v>VC Only</v>
      </c>
    </row>
    <row r="157" spans="2:21" ht="29" x14ac:dyDescent="0.35">
      <c r="B157" s="4">
        <f t="shared" si="8"/>
        <v>155</v>
      </c>
      <c r="C157" s="4" t="str">
        <f>IFERROR(_xlfn.XLOOKUP($B157,Raw_Data!$A$3:$A$273,Raw_Data!$B$3:$B$273),"")</f>
        <v>New Culture</v>
      </c>
      <c r="D157" s="4" t="str">
        <f>IFERROR(_xlfn.XLOOKUP($B157,Raw_Data!$A$3:$A$273,Raw_Data!$C$3:$C$273),"")</f>
        <v>San Leandro, CA</v>
      </c>
      <c r="E157" s="4">
        <f>IFERROR(_xlfn.XLOOKUP($B157,Raw_Data!$A$3:$A$273,Raw_Data!$D$3:$D$273),"")</f>
        <v>2018</v>
      </c>
      <c r="F157" s="4" t="str">
        <f>IFERROR(_xlfn.XLOOKUP($B157,Raw_Data!$A$3:$A$273,Raw_Data!$F$3:$F$273),"")</f>
        <v>Food &amp; Ag</v>
      </c>
      <c r="G157" s="35">
        <f>IFERROR(_xlfn.XLOOKUP($B157,Raw_Data!$A$3:$A$273,Raw_Data!$J$3:$J$273),"")</f>
        <v>45786</v>
      </c>
      <c r="H157" s="16" t="s">
        <v>1465</v>
      </c>
      <c r="I157" s="36">
        <f>IFERROR(_xlfn.XLOOKUP($B157,Raw_Data!$A$3:$A$273,Raw_Data!$I$3:$I$273),"")</f>
        <v>50.17</v>
      </c>
      <c r="J157" s="36">
        <f>IFERROR(_xlfn.XLOOKUP($B157,Raw_Data!$A$3:$A$273,Raw_Data!$L$3:$L$273),"")</f>
        <v>20</v>
      </c>
      <c r="K157" s="36">
        <f>IFERROR(_xlfn.XLOOKUP($B157,Raw_Data!$A$3:$A$273,Raw_Data!$M$3:$M$273),"")</f>
        <v>30.5</v>
      </c>
      <c r="L157" s="15">
        <f>IFERROR(_xlfn.XLOOKUP($B157,Raw_Data!$A$3:$A$273,Raw_Data!$Q$3:$Q$273),"")</f>
        <v>0</v>
      </c>
      <c r="M157" s="34" t="str">
        <f>IFERROR(_xlfn.XLOOKUP($B157,Raw_Data!$A$3:$A$273,Raw_Data!$R$3:$R$273),"")</f>
        <v>Archer Daniels Midland; Genoa Ventures; GERBER-RAUTH; IndieBio; Meach Cove Capital; ONCE Ventures; Schreiber Ventures; SOSV; Synthesis Capital</v>
      </c>
      <c r="N157" s="16" cm="1">
        <f t="array" ref="N157">IF(M157="",0,COUNTA(_xlfn._xlws.FILTER(_xlfn.TEXTSPLIT(M157,";"), _xlfn.TEXTSPLIT(M157,";")&lt;&gt;"")))</f>
        <v>9</v>
      </c>
      <c r="O157" s="16" t="str">
        <f t="shared" si="6"/>
        <v>Y</v>
      </c>
      <c r="P157" s="19">
        <f>IFERROR(_xlfn.XLOOKUP($B157,Raw_Data!$A$3:$A$273,Raw_Data!$V$3:$V$273),"")</f>
        <v>0.66666666666666663</v>
      </c>
      <c r="Q157" s="16" t="str">
        <f t="shared" si="7"/>
        <v>Y</v>
      </c>
      <c r="R157" s="32">
        <f>IFERROR(_xlfn.XLOOKUP($B157,Raw_Data!$A$3:$A$273,Raw_Data!$Y$3:$Y$273),"")</f>
        <v>0.33333333333333331</v>
      </c>
      <c r="S157" s="4" t="str" cm="1">
        <f t="array" ref="S157">_xlfn.LET(_xlpm.s, Raw_Data!W157,_xlpm.strat, _xlfn._xlws.FILTER(REF_Setup!$B$3:$B$40, REF_Setup!$B$3:$B$40&lt;&gt;""),IF(OR(_xlpm.s="",_xlpm.s=0),"Unclassified",IF(SUM(--ISNUMBER(SEARCH(_xlpm.strat, _xlpm.s)))&gt;0, "Y", "N"))
)</f>
        <v>N</v>
      </c>
      <c r="T157" s="4" t="str" cm="1">
        <f t="array" ref="T157">_xlfn.LET(_xlpm.s,M157,_xlpm.phil, _xlfn._xlws.FILTER(REF_Setup!$D$3:$D$5, REF_Setup!$D$3:$D$5&lt;&gt;""),IF(OR(_xlpm.s="", _xlpm.s=0),"Unclassified",IF(SUM(--ISNUMBER(SEARCH(_xlpm.phil, _xlpm.s)))&gt;0, "Y", "N")))</f>
        <v>N</v>
      </c>
      <c r="U157" s="4" t="str" cm="1">
        <f t="array" ref="U157">IF(M157="", "Unclassified", IF(AND(SUMPRODUCT(--ISNUMBER(SEARCH(REF_Setup!$B$3:$B$40,M157)))&gt;0,SUMPRODUCT(--ISNUMBER(SEARCH(REF_Setup!$F$3:$F$15,M157)))&gt;0),"Mixed",IF(SUMPRODUCT(--ISNUMBER(SEARCH(REF_Setup!$B$3:$B$40,M157)))&gt;0,"Strategic Only",IF(SUMPRODUCT(--ISNUMBER(SEARCH(REF_Setup!$F$3:$F$15,M157)))&gt;0,"VC Only","Unclassified"))))</f>
        <v>VC Only</v>
      </c>
    </row>
    <row r="158" spans="2:21" x14ac:dyDescent="0.35">
      <c r="B158" s="4">
        <f t="shared" si="8"/>
        <v>156</v>
      </c>
      <c r="C158" s="4" t="str">
        <f>IFERROR(_xlfn.XLOOKUP($B158,Raw_Data!$A$3:$A$273,Raw_Data!$B$3:$B$273),"")</f>
        <v>Noria Energy</v>
      </c>
      <c r="D158" s="4" t="str">
        <f>IFERROR(_xlfn.XLOOKUP($B158,Raw_Data!$A$3:$A$273,Raw_Data!$C$3:$C$273),"")</f>
        <v>Sausalito, CA</v>
      </c>
      <c r="E158" s="4">
        <f>IFERROR(_xlfn.XLOOKUP($B158,Raw_Data!$A$3:$A$273,Raw_Data!$D$3:$D$273),"")</f>
        <v>2018</v>
      </c>
      <c r="F158" s="4" t="str">
        <f>IFERROR(_xlfn.XLOOKUP($B158,Raw_Data!$A$3:$A$273,Raw_Data!$F$3:$F$273),"")</f>
        <v>Renewables</v>
      </c>
      <c r="G158" s="35">
        <f>IFERROR(_xlfn.XLOOKUP($B158,Raw_Data!$A$3:$A$273,Raw_Data!$J$3:$J$273),"")</f>
        <v>44586</v>
      </c>
      <c r="H158" s="4" t="s">
        <v>75</v>
      </c>
      <c r="I158" s="36">
        <f>IFERROR(_xlfn.XLOOKUP($B158,Raw_Data!$A$3:$A$273,Raw_Data!$I$3:$I$273),"")</f>
        <v>0</v>
      </c>
      <c r="J158" s="36">
        <f>IFERROR(_xlfn.XLOOKUP($B158,Raw_Data!$A$3:$A$273,Raw_Data!$L$3:$L$273),"")</f>
        <v>0</v>
      </c>
      <c r="K158" s="36">
        <f>IFERROR(_xlfn.XLOOKUP($B158,Raw_Data!$A$3:$A$273,Raw_Data!$M$3:$M$273),"")</f>
        <v>0</v>
      </c>
      <c r="L158" s="15" t="str">
        <f>IFERROR(_xlfn.XLOOKUP($B158,Raw_Data!$A$3:$A$273,Raw_Data!$Q$3:$Q$273),"")</f>
        <v>N/A</v>
      </c>
      <c r="M158" s="34" t="str">
        <f>IFERROR(_xlfn.XLOOKUP($B158,Raw_Data!$A$3:$A$273,Raw_Data!$R$3:$R$273),"")</f>
        <v xml:space="preserve">Greenbacker Capital Management </v>
      </c>
      <c r="N158" s="16" cm="1">
        <f t="array" ref="N158">IF(M158="",0,COUNTA(_xlfn._xlws.FILTER(_xlfn.TEXTSPLIT(M158,";"), _xlfn.TEXTSPLIT(M158,";")&lt;&gt;"")))</f>
        <v>1</v>
      </c>
      <c r="O158" s="16" t="str">
        <f t="shared" si="6"/>
        <v>N</v>
      </c>
      <c r="P158" s="19">
        <f>IFERROR(_xlfn.XLOOKUP($B158,Raw_Data!$A$3:$A$273,Raw_Data!$V$3:$V$273),"")</f>
        <v>0</v>
      </c>
      <c r="Q158" s="16" t="str">
        <f t="shared" si="7"/>
        <v>Y</v>
      </c>
      <c r="R158" s="32">
        <f>IFERROR(_xlfn.XLOOKUP($B158,Raw_Data!$A$3:$A$273,Raw_Data!$Y$3:$Y$273),"")</f>
        <v>1</v>
      </c>
      <c r="S158" s="4" t="str" cm="1">
        <f t="array" ref="S158">_xlfn.LET(_xlpm.s, Raw_Data!W158,_xlpm.strat, _xlfn._xlws.FILTER(REF_Setup!$B$3:$B$40, REF_Setup!$B$3:$B$40&lt;&gt;""),IF(OR(_xlpm.s="",_xlpm.s=0),"Unclassified",IF(SUM(--ISNUMBER(SEARCH(_xlpm.strat, _xlpm.s)))&gt;0, "Y", "N"))
)</f>
        <v>N</v>
      </c>
      <c r="T158" s="4" t="str" cm="1">
        <f t="array" ref="T158">_xlfn.LET(_xlpm.s,M158,_xlpm.phil, _xlfn._xlws.FILTER(REF_Setup!$D$3:$D$5, REF_Setup!$D$3:$D$5&lt;&gt;""),IF(OR(_xlpm.s="", _xlpm.s=0),"Unclassified",IF(SUM(--ISNUMBER(SEARCH(_xlpm.phil, _xlpm.s)))&gt;0, "Y", "N")))</f>
        <v>N</v>
      </c>
      <c r="U158" s="4" t="str" cm="1">
        <f t="array" ref="U158">IF(M158="", "Unclassified", IF(AND(SUMPRODUCT(--ISNUMBER(SEARCH(REF_Setup!$B$3:$B$40,M158)))&gt;0,SUMPRODUCT(--ISNUMBER(SEARCH(REF_Setup!$F$3:$F$15,M158)))&gt;0),"Mixed",IF(SUMPRODUCT(--ISNUMBER(SEARCH(REF_Setup!$B$3:$B$40,M158)))&gt;0,"Strategic Only",IF(SUMPRODUCT(--ISNUMBER(SEARCH(REF_Setup!$F$3:$F$15,M158)))&gt;0,"VC Only","Unclassified"))))</f>
        <v>VC Only</v>
      </c>
    </row>
    <row r="159" spans="2:21" x14ac:dyDescent="0.35">
      <c r="B159" s="4">
        <f t="shared" si="8"/>
        <v>157</v>
      </c>
      <c r="C159" s="4" t="str">
        <f>IFERROR(_xlfn.XLOOKUP($B159,Raw_Data!$A$3:$A$273,Raw_Data!$B$3:$B$273),"")</f>
        <v>Novaphos</v>
      </c>
      <c r="D159" s="4" t="str">
        <f>IFERROR(_xlfn.XLOOKUP($B159,Raw_Data!$A$3:$A$273,Raw_Data!$C$3:$C$273),"")</f>
        <v>Fort Meade, FL</v>
      </c>
      <c r="E159" s="4">
        <f>IFERROR(_xlfn.XLOOKUP($B159,Raw_Data!$A$3:$A$273,Raw_Data!$D$3:$D$273),"")</f>
        <v>2008</v>
      </c>
      <c r="F159" s="4" t="str">
        <f>IFERROR(_xlfn.XLOOKUP($B159,Raw_Data!$A$3:$A$273,Raw_Data!$F$3:$F$273),"")</f>
        <v>Food &amp; Ag</v>
      </c>
      <c r="G159" s="35">
        <f>IFERROR(_xlfn.XLOOKUP($B159,Raw_Data!$A$3:$A$273,Raw_Data!$J$3:$J$273),"")</f>
        <v>43455</v>
      </c>
      <c r="H159" s="16" t="s">
        <v>1467</v>
      </c>
      <c r="I159" s="36">
        <f>IFERROR(_xlfn.XLOOKUP($B159,Raw_Data!$A$3:$A$273,Raw_Data!$I$3:$I$273),"")</f>
        <v>48.88</v>
      </c>
      <c r="J159" s="36">
        <f>IFERROR(_xlfn.XLOOKUP($B159,Raw_Data!$A$3:$A$273,Raw_Data!$L$3:$L$273),"")</f>
        <v>1.7</v>
      </c>
      <c r="K159" s="36">
        <f>IFERROR(_xlfn.XLOOKUP($B159,Raw_Data!$A$3:$A$273,Raw_Data!$M$3:$M$273),"")</f>
        <v>30</v>
      </c>
      <c r="L159" s="15">
        <f>IFERROR(_xlfn.XLOOKUP($B159,Raw_Data!$A$3:$A$273,Raw_Data!$Q$3:$Q$273),"")</f>
        <v>0</v>
      </c>
      <c r="M159" s="34" t="str">
        <f>IFERROR(_xlfn.XLOOKUP($B159,Raw_Data!$A$3:$A$273,Raw_Data!$R$3:$R$273),"")</f>
        <v>Armilar Venture Partners; Arsenal Growth</v>
      </c>
      <c r="N159" s="16" cm="1">
        <f t="array" ref="N159">IF(M159="",0,COUNTA(_xlfn._xlws.FILTER(_xlfn.TEXTSPLIT(M159,";"), _xlfn.TEXTSPLIT(M159,";")&lt;&gt;"")))</f>
        <v>2</v>
      </c>
      <c r="O159" s="16" t="str">
        <f t="shared" si="6"/>
        <v>Y</v>
      </c>
      <c r="P159" s="19">
        <f>IFERROR(_xlfn.XLOOKUP($B159,Raw_Data!$A$3:$A$273,Raw_Data!$V$3:$V$273),"")</f>
        <v>0.5</v>
      </c>
      <c r="Q159" s="16" t="str">
        <f t="shared" si="7"/>
        <v>Y</v>
      </c>
      <c r="R159" s="32">
        <f>IFERROR(_xlfn.XLOOKUP($B159,Raw_Data!$A$3:$A$273,Raw_Data!$Y$3:$Y$273),"")</f>
        <v>0.5</v>
      </c>
      <c r="S159" s="4" t="str" cm="1">
        <f t="array" ref="S159">_xlfn.LET(_xlpm.s, Raw_Data!W159,_xlpm.strat, _xlfn._xlws.FILTER(REF_Setup!$B$3:$B$40, REF_Setup!$B$3:$B$40&lt;&gt;""),IF(OR(_xlpm.s="",_xlpm.s=0),"Unclassified",IF(SUM(--ISNUMBER(SEARCH(_xlpm.strat, _xlpm.s)))&gt;0, "Y", "N"))
)</f>
        <v>N</v>
      </c>
      <c r="T159" s="4" t="str" cm="1">
        <f t="array" ref="T159">_xlfn.LET(_xlpm.s,M159,_xlpm.phil, _xlfn._xlws.FILTER(REF_Setup!$D$3:$D$5, REF_Setup!$D$3:$D$5&lt;&gt;""),IF(OR(_xlpm.s="", _xlpm.s=0),"Unclassified",IF(SUM(--ISNUMBER(SEARCH(_xlpm.phil, _xlpm.s)))&gt;0, "Y", "N")))</f>
        <v>N</v>
      </c>
      <c r="U159" s="4" t="str" cm="1">
        <f t="array" ref="U159">IF(M159="", "Unclassified", IF(AND(SUMPRODUCT(--ISNUMBER(SEARCH(REF_Setup!$B$3:$B$40,M159)))&gt;0,SUMPRODUCT(--ISNUMBER(SEARCH(REF_Setup!$F$3:$F$15,M159)))&gt;0),"Mixed",IF(SUMPRODUCT(--ISNUMBER(SEARCH(REF_Setup!$B$3:$B$40,M159)))&gt;0,"Strategic Only",IF(SUMPRODUCT(--ISNUMBER(SEARCH(REF_Setup!$F$3:$F$15,M159)))&gt;0,"VC Only","Unclassified"))))</f>
        <v>VC Only</v>
      </c>
    </row>
    <row r="160" spans="2:21" x14ac:dyDescent="0.35">
      <c r="B160" s="4">
        <f t="shared" si="8"/>
        <v>158</v>
      </c>
      <c r="C160" s="4" t="str">
        <f>IFERROR(_xlfn.XLOOKUP($B160,Raw_Data!$A$3:$A$273,Raw_Data!$B$3:$B$273),"")</f>
        <v>Novaphos</v>
      </c>
      <c r="D160" s="4" t="str">
        <f>IFERROR(_xlfn.XLOOKUP($B160,Raw_Data!$A$3:$A$273,Raw_Data!$C$3:$C$273),"")</f>
        <v>Fort Meade, FL</v>
      </c>
      <c r="E160" s="4">
        <f>IFERROR(_xlfn.XLOOKUP($B160,Raw_Data!$A$3:$A$273,Raw_Data!$D$3:$D$273),"")</f>
        <v>2008</v>
      </c>
      <c r="F160" s="4" t="str">
        <f>IFERROR(_xlfn.XLOOKUP($B160,Raw_Data!$A$3:$A$273,Raw_Data!$F$3:$F$273),"")</f>
        <v>Food &amp; Ag</v>
      </c>
      <c r="G160" s="35">
        <f>IFERROR(_xlfn.XLOOKUP($B160,Raw_Data!$A$3:$A$273,Raw_Data!$J$3:$J$273),"")</f>
        <v>44922</v>
      </c>
      <c r="H160" s="16" t="s">
        <v>1467</v>
      </c>
      <c r="I160" s="36">
        <f>IFERROR(_xlfn.XLOOKUP($B160,Raw_Data!$A$3:$A$273,Raw_Data!$I$3:$I$273),"")</f>
        <v>56.53</v>
      </c>
      <c r="J160" s="36">
        <f>IFERROR(_xlfn.XLOOKUP($B160,Raw_Data!$A$3:$A$273,Raw_Data!$L$3:$L$273),"")</f>
        <v>7.65</v>
      </c>
      <c r="K160" s="36">
        <f>IFERROR(_xlfn.XLOOKUP($B160,Raw_Data!$A$3:$A$273,Raw_Data!$M$3:$M$273),"")</f>
        <v>37.65</v>
      </c>
      <c r="L160" s="15">
        <f>IFERROR(_xlfn.XLOOKUP($B160,Raw_Data!$A$3:$A$273,Raw_Data!$Q$3:$Q$273),"")</f>
        <v>0</v>
      </c>
      <c r="M160" s="34"/>
      <c r="N160" s="16" cm="1">
        <f t="array" ref="N160">IF(M160="",0,COUNTA(_xlfn._xlws.FILTER(_xlfn.TEXTSPLIT(M160,";"), _xlfn.TEXTSPLIT(M160,";")&lt;&gt;"")))</f>
        <v>0</v>
      </c>
      <c r="O160" s="16" t="str">
        <f t="shared" si="6"/>
        <v>Y</v>
      </c>
      <c r="P160" s="19" t="str">
        <f>IFERROR(_xlfn.XLOOKUP($B160,Raw_Data!$A$3:$A$273,Raw_Data!$V$3:$V$273),"")</f>
        <v>N/A</v>
      </c>
      <c r="Q160" s="16" t="str">
        <f t="shared" si="7"/>
        <v>Y</v>
      </c>
      <c r="R160" s="32" t="str">
        <f>IFERROR(_xlfn.XLOOKUP($B160,Raw_Data!$A$3:$A$273,Raw_Data!$Y$3:$Y$273),"")</f>
        <v>N/A</v>
      </c>
      <c r="S160" s="4" t="str" cm="1">
        <f t="array" ref="S160">_xlfn.LET(_xlpm.s, Raw_Data!W160,_xlpm.strat, _xlfn._xlws.FILTER(REF_Setup!$B$3:$B$40, REF_Setup!$B$3:$B$40&lt;&gt;""),IF(OR(_xlpm.s="",_xlpm.s=0),"Unclassified",IF(SUM(--ISNUMBER(SEARCH(_xlpm.strat, _xlpm.s)))&gt;0, "Y", "N"))
)</f>
        <v>Unclassified</v>
      </c>
      <c r="T160" s="4" t="str" cm="1">
        <f t="array" ref="T160">_xlfn.LET(_xlpm.s,M160,_xlpm.phil, _xlfn._xlws.FILTER(REF_Setup!$D$3:$D$5, REF_Setup!$D$3:$D$5&lt;&gt;""),IF(OR(_xlpm.s="", _xlpm.s=0),"Unclassified",IF(SUM(--ISNUMBER(SEARCH(_xlpm.phil, _xlpm.s)))&gt;0, "Y", "N")))</f>
        <v>Unclassified</v>
      </c>
      <c r="U160" s="4" t="str" cm="1">
        <f t="array" ref="U160">IF(M160="", "Unclassified", IF(AND(SUMPRODUCT(--ISNUMBER(SEARCH(REF_Setup!$B$3:$B$40,M160)))&gt;0,SUMPRODUCT(--ISNUMBER(SEARCH(REF_Setup!$F$3:$F$15,M160)))&gt;0),"Mixed",IF(SUMPRODUCT(--ISNUMBER(SEARCH(REF_Setup!$B$3:$B$40,M160)))&gt;0,"Strategic Only",IF(SUMPRODUCT(--ISNUMBER(SEARCH(REF_Setup!$F$3:$F$15,M160)))&gt;0,"VC Only","Unclassified"))))</f>
        <v>Unclassified</v>
      </c>
    </row>
    <row r="161" spans="2:21" x14ac:dyDescent="0.35">
      <c r="B161" s="4">
        <f t="shared" si="8"/>
        <v>159</v>
      </c>
      <c r="C161" s="4" t="str">
        <f>IFERROR(_xlfn.XLOOKUP($B161,Raw_Data!$A$3:$A$273,Raw_Data!$B$3:$B$273),"")</f>
        <v>Novaphos</v>
      </c>
      <c r="D161" s="4" t="str">
        <f>IFERROR(_xlfn.XLOOKUP($B161,Raw_Data!$A$3:$A$273,Raw_Data!$C$3:$C$273),"")</f>
        <v>Fort Meade, FL</v>
      </c>
      <c r="E161" s="4">
        <f>IFERROR(_xlfn.XLOOKUP($B161,Raw_Data!$A$3:$A$273,Raw_Data!$D$3:$D$273),"")</f>
        <v>2008</v>
      </c>
      <c r="F161" s="4" t="str">
        <f>IFERROR(_xlfn.XLOOKUP($B161,Raw_Data!$A$3:$A$273,Raw_Data!$F$3:$F$273),"")</f>
        <v>Food &amp; Ag</v>
      </c>
      <c r="G161" s="35">
        <f>IFERROR(_xlfn.XLOOKUP($B161,Raw_Data!$A$3:$A$273,Raw_Data!$J$3:$J$273),"")</f>
        <v>45559</v>
      </c>
      <c r="H161" s="16" t="s">
        <v>1467</v>
      </c>
      <c r="I161" s="36">
        <f>IFERROR(_xlfn.XLOOKUP($B161,Raw_Data!$A$3:$A$273,Raw_Data!$I$3:$I$273),"")</f>
        <v>63.53</v>
      </c>
      <c r="J161" s="36">
        <f>IFERROR(_xlfn.XLOOKUP($B161,Raw_Data!$A$3:$A$273,Raw_Data!$L$3:$L$273),"")</f>
        <v>7</v>
      </c>
      <c r="K161" s="36">
        <f>IFERROR(_xlfn.XLOOKUP($B161,Raw_Data!$A$3:$A$273,Raw_Data!$M$3:$M$273),"")</f>
        <v>44.65</v>
      </c>
      <c r="L161" s="15">
        <f>IFERROR(_xlfn.XLOOKUP($B161,Raw_Data!$A$3:$A$273,Raw_Data!$Q$3:$Q$273),"")</f>
        <v>0</v>
      </c>
      <c r="M161" s="34"/>
      <c r="N161" s="16" cm="1">
        <f t="array" ref="N161">IF(M161="",0,COUNTA(_xlfn._xlws.FILTER(_xlfn.TEXTSPLIT(M161,";"), _xlfn.TEXTSPLIT(M161,";")&lt;&gt;"")))</f>
        <v>0</v>
      </c>
      <c r="O161" s="16" t="str">
        <f t="shared" si="6"/>
        <v>Y</v>
      </c>
      <c r="P161" s="19" t="str">
        <f>IFERROR(_xlfn.XLOOKUP($B161,Raw_Data!$A$3:$A$273,Raw_Data!$V$3:$V$273),"")</f>
        <v>N/A</v>
      </c>
      <c r="Q161" s="16" t="str">
        <f t="shared" si="7"/>
        <v>Y</v>
      </c>
      <c r="R161" s="32" t="str">
        <f>IFERROR(_xlfn.XLOOKUP($B161,Raw_Data!$A$3:$A$273,Raw_Data!$Y$3:$Y$273),"")</f>
        <v>N/A</v>
      </c>
      <c r="S161" s="4" t="str" cm="1">
        <f t="array" ref="S161">_xlfn.LET(_xlpm.s, Raw_Data!W161,_xlpm.strat, _xlfn._xlws.FILTER(REF_Setup!$B$3:$B$40, REF_Setup!$B$3:$B$40&lt;&gt;""),IF(OR(_xlpm.s="",_xlpm.s=0),"Unclassified",IF(SUM(--ISNUMBER(SEARCH(_xlpm.strat, _xlpm.s)))&gt;0, "Y", "N"))
)</f>
        <v>Unclassified</v>
      </c>
      <c r="T161" s="4" t="str" cm="1">
        <f t="array" ref="T161">_xlfn.LET(_xlpm.s,M161,_xlpm.phil, _xlfn._xlws.FILTER(REF_Setup!$D$3:$D$5, REF_Setup!$D$3:$D$5&lt;&gt;""),IF(OR(_xlpm.s="", _xlpm.s=0),"Unclassified",IF(SUM(--ISNUMBER(SEARCH(_xlpm.phil, _xlpm.s)))&gt;0, "Y", "N")))</f>
        <v>Unclassified</v>
      </c>
      <c r="U161" s="4" t="str" cm="1">
        <f t="array" ref="U161">IF(M161="", "Unclassified", IF(AND(SUMPRODUCT(--ISNUMBER(SEARCH(REF_Setup!$B$3:$B$40,M161)))&gt;0,SUMPRODUCT(--ISNUMBER(SEARCH(REF_Setup!$F$3:$F$15,M161)))&gt;0),"Mixed",IF(SUMPRODUCT(--ISNUMBER(SEARCH(REF_Setup!$B$3:$B$40,M161)))&gt;0,"Strategic Only",IF(SUMPRODUCT(--ISNUMBER(SEARCH(REF_Setup!$F$3:$F$15,M161)))&gt;0,"VC Only","Unclassified"))))</f>
        <v>Unclassified</v>
      </c>
    </row>
    <row r="162" spans="2:21" ht="29" x14ac:dyDescent="0.35">
      <c r="B162" s="4">
        <f t="shared" si="8"/>
        <v>160</v>
      </c>
      <c r="C162" s="4" t="str">
        <f>IFERROR(_xlfn.XLOOKUP($B162,Raw_Data!$A$3:$A$273,Raw_Data!$B$3:$B$273),"")</f>
        <v>NuCicer</v>
      </c>
      <c r="D162" s="4" t="str">
        <f>IFERROR(_xlfn.XLOOKUP($B162,Raw_Data!$A$3:$A$273,Raw_Data!$C$3:$C$273),"")</f>
        <v>Davis, CA</v>
      </c>
      <c r="E162" s="4">
        <f>IFERROR(_xlfn.XLOOKUP($B162,Raw_Data!$A$3:$A$273,Raw_Data!$D$3:$D$273),"")</f>
        <v>2019</v>
      </c>
      <c r="F162" s="4" t="str">
        <f>IFERROR(_xlfn.XLOOKUP($B162,Raw_Data!$A$3:$A$273,Raw_Data!$F$3:$F$273),"")</f>
        <v>Food &amp; Ag</v>
      </c>
      <c r="G162" s="35">
        <f>IFERROR(_xlfn.XLOOKUP($B162,Raw_Data!$A$3:$A$273,Raw_Data!$J$3:$J$273),"")</f>
        <v>44835</v>
      </c>
      <c r="H162" s="16" t="s">
        <v>1466</v>
      </c>
      <c r="I162" s="36">
        <f>IFERROR(_xlfn.XLOOKUP($B162,Raw_Data!$A$3:$A$273,Raw_Data!$I$3:$I$273),"")</f>
        <v>4.5</v>
      </c>
      <c r="J162" s="36">
        <f>IFERROR(_xlfn.XLOOKUP($B162,Raw_Data!$A$3:$A$273,Raw_Data!$L$3:$L$273),"")</f>
        <v>4.5</v>
      </c>
      <c r="K162" s="36">
        <f>IFERROR(_xlfn.XLOOKUP($B162,Raw_Data!$A$3:$A$273,Raw_Data!$M$3:$M$273),"")</f>
        <v>21</v>
      </c>
      <c r="L162" s="15">
        <f>IFERROR(_xlfn.XLOOKUP($B162,Raw_Data!$A$3:$A$273,Raw_Data!$Q$3:$Q$273),"")</f>
        <v>0</v>
      </c>
      <c r="M162" s="34" t="str">
        <f>IFERROR(_xlfn.XLOOKUP($B162,Raw_Data!$A$3:$A$273,Raw_Data!$R$3:$R$273),"")</f>
        <v>Blue Horizon Corporation; Leaps by Bayer; Lever VC; Lifely VC; Mudcake; The House Fund</v>
      </c>
      <c r="N162" s="16" cm="1">
        <f t="array" ref="N162">IF(M162="",0,COUNTA(_xlfn._xlws.FILTER(_xlfn.TEXTSPLIT(M162,";"), _xlfn.TEXTSPLIT(M162,";")&lt;&gt;"")))</f>
        <v>6</v>
      </c>
      <c r="O162" s="16" t="str">
        <f t="shared" si="6"/>
        <v>N</v>
      </c>
      <c r="P162" s="19">
        <f>IFERROR(_xlfn.XLOOKUP($B162,Raw_Data!$A$3:$A$273,Raw_Data!$V$3:$V$273),"")</f>
        <v>0</v>
      </c>
      <c r="Q162" s="16" t="str">
        <f t="shared" si="7"/>
        <v>Y</v>
      </c>
      <c r="R162" s="32">
        <f>IFERROR(_xlfn.XLOOKUP($B162,Raw_Data!$A$3:$A$273,Raw_Data!$Y$3:$Y$273),"")</f>
        <v>1</v>
      </c>
      <c r="S162" s="4" t="str" cm="1">
        <f t="array" ref="S162">_xlfn.LET(_xlpm.s, Raw_Data!W162,_xlpm.strat, _xlfn._xlws.FILTER(REF_Setup!$B$3:$B$40, REF_Setup!$B$3:$B$40&lt;&gt;""),IF(OR(_xlpm.s="",_xlpm.s=0),"Unclassified",IF(SUM(--ISNUMBER(SEARCH(_xlpm.strat, _xlpm.s)))&gt;0, "Y", "N"))
)</f>
        <v>N</v>
      </c>
      <c r="T162" s="4" t="str" cm="1">
        <f t="array" ref="T162">_xlfn.LET(_xlpm.s,M162,_xlpm.phil, _xlfn._xlws.FILTER(REF_Setup!$D$3:$D$5, REF_Setup!$D$3:$D$5&lt;&gt;""),IF(OR(_xlpm.s="", _xlpm.s=0),"Unclassified",IF(SUM(--ISNUMBER(SEARCH(_xlpm.phil, _xlpm.s)))&gt;0, "Y", "N")))</f>
        <v>N</v>
      </c>
      <c r="U162" s="4" t="str" cm="1">
        <f t="array" ref="U162">IF(M162="", "Unclassified", IF(AND(SUMPRODUCT(--ISNUMBER(SEARCH(REF_Setup!$B$3:$B$40,M162)))&gt;0,SUMPRODUCT(--ISNUMBER(SEARCH(REF_Setup!$F$3:$F$15,M162)))&gt;0),"Mixed",IF(SUMPRODUCT(--ISNUMBER(SEARCH(REF_Setup!$B$3:$B$40,M162)))&gt;0,"Strategic Only",IF(SUMPRODUCT(--ISNUMBER(SEARCH(REF_Setup!$F$3:$F$15,M162)))&gt;0,"VC Only","Unclassified"))))</f>
        <v>VC Only</v>
      </c>
    </row>
    <row r="163" spans="2:21" x14ac:dyDescent="0.35">
      <c r="B163" s="4">
        <f t="shared" si="8"/>
        <v>161</v>
      </c>
      <c r="C163" s="4" t="str">
        <f>IFERROR(_xlfn.XLOOKUP($B163,Raw_Data!$A$3:$A$273,Raw_Data!$B$3:$B$273),"")</f>
        <v>NuCicer</v>
      </c>
      <c r="D163" s="4" t="str">
        <f>IFERROR(_xlfn.XLOOKUP($B163,Raw_Data!$A$3:$A$273,Raw_Data!$C$3:$C$273),"")</f>
        <v>Davis, CA</v>
      </c>
      <c r="E163" s="4">
        <f>IFERROR(_xlfn.XLOOKUP($B163,Raw_Data!$A$3:$A$273,Raw_Data!$D$3:$D$273),"")</f>
        <v>2019</v>
      </c>
      <c r="F163" s="4" t="str">
        <f>IFERROR(_xlfn.XLOOKUP($B163,Raw_Data!$A$3:$A$273,Raw_Data!$F$3:$F$273),"")</f>
        <v>Food &amp; Ag</v>
      </c>
      <c r="G163" s="35">
        <f>IFERROR(_xlfn.XLOOKUP($B163,Raw_Data!$A$3:$A$273,Raw_Data!$J$3:$J$273),"")</f>
        <v>44866</v>
      </c>
      <c r="H163" s="16" t="s">
        <v>1466</v>
      </c>
      <c r="I163" s="36">
        <f>IFERROR(_xlfn.XLOOKUP($B163,Raw_Data!$A$3:$A$273,Raw_Data!$I$3:$I$273),"")</f>
        <v>11.5</v>
      </c>
      <c r="J163" s="36">
        <f>IFERROR(_xlfn.XLOOKUP($B163,Raw_Data!$A$3:$A$273,Raw_Data!$L$3:$L$273),"")</f>
        <v>7</v>
      </c>
      <c r="K163" s="36">
        <f>IFERROR(_xlfn.XLOOKUP($B163,Raw_Data!$A$3:$A$273,Raw_Data!$M$3:$M$273),"")</f>
        <v>34</v>
      </c>
      <c r="L163" s="15">
        <f>IFERROR(_xlfn.XLOOKUP($B163,Raw_Data!$A$3:$A$273,Raw_Data!$Q$3:$Q$273),"")</f>
        <v>0</v>
      </c>
      <c r="M163" s="34" t="str">
        <f>IFERROR(_xlfn.XLOOKUP($B163,Raw_Data!$A$3:$A$273,Raw_Data!$R$3:$R$273),"")</f>
        <v>Blue Horizon Corporation; Leaps by Bayer; Lever VC; Mudcake</v>
      </c>
      <c r="N163" s="16" cm="1">
        <f t="array" ref="N163">IF(M163="",0,COUNTA(_xlfn._xlws.FILTER(_xlfn.TEXTSPLIT(M163,";"), _xlfn.TEXTSPLIT(M163,";")&lt;&gt;"")))</f>
        <v>4</v>
      </c>
      <c r="O163" s="16" t="str">
        <f t="shared" si="6"/>
        <v>Y</v>
      </c>
      <c r="P163" s="19">
        <f>IFERROR(_xlfn.XLOOKUP($B163,Raw_Data!$A$3:$A$273,Raw_Data!$V$3:$V$273),"")</f>
        <v>1</v>
      </c>
      <c r="Q163" s="16" t="str">
        <f t="shared" si="7"/>
        <v>Y</v>
      </c>
      <c r="R163" s="32" t="str">
        <f>IFERROR(_xlfn.XLOOKUP($B163,Raw_Data!$A$3:$A$273,Raw_Data!$Y$3:$Y$273),"")</f>
        <v>N/A</v>
      </c>
      <c r="S163" s="4" t="str" cm="1">
        <f t="array" ref="S163">_xlfn.LET(_xlpm.s, Raw_Data!W163,_xlpm.strat, _xlfn._xlws.FILTER(REF_Setup!$B$3:$B$40, REF_Setup!$B$3:$B$40&lt;&gt;""),IF(OR(_xlpm.s="",_xlpm.s=0),"Unclassified",IF(SUM(--ISNUMBER(SEARCH(_xlpm.strat, _xlpm.s)))&gt;0, "Y", "N"))
)</f>
        <v>Unclassified</v>
      </c>
      <c r="T163" s="4" t="str" cm="1">
        <f t="array" ref="T163">_xlfn.LET(_xlpm.s,M163,_xlpm.phil, _xlfn._xlws.FILTER(REF_Setup!$D$3:$D$5, REF_Setup!$D$3:$D$5&lt;&gt;""),IF(OR(_xlpm.s="", _xlpm.s=0),"Unclassified",IF(SUM(--ISNUMBER(SEARCH(_xlpm.phil, _xlpm.s)))&gt;0, "Y", "N")))</f>
        <v>N</v>
      </c>
      <c r="U163" s="4" t="str" cm="1">
        <f t="array" ref="U163">IF(M163="", "Unclassified", IF(AND(SUMPRODUCT(--ISNUMBER(SEARCH(REF_Setup!$B$3:$B$40,M163)))&gt;0,SUMPRODUCT(--ISNUMBER(SEARCH(REF_Setup!$F$3:$F$15,M163)))&gt;0),"Mixed",IF(SUMPRODUCT(--ISNUMBER(SEARCH(REF_Setup!$B$3:$B$40,M163)))&gt;0,"Strategic Only",IF(SUMPRODUCT(--ISNUMBER(SEARCH(REF_Setup!$F$3:$F$15,M163)))&gt;0,"VC Only","Unclassified"))))</f>
        <v>VC Only</v>
      </c>
    </row>
    <row r="164" spans="2:21" x14ac:dyDescent="0.35">
      <c r="B164" s="4">
        <f t="shared" si="8"/>
        <v>162</v>
      </c>
      <c r="C164" s="4" t="str">
        <f>IFERROR(_xlfn.XLOOKUP($B164,Raw_Data!$A$3:$A$273,Raw_Data!$B$3:$B$273),"")</f>
        <v>OBE Power</v>
      </c>
      <c r="D164" s="4" t="str">
        <f>IFERROR(_xlfn.XLOOKUP($B164,Raw_Data!$A$3:$A$273,Raw_Data!$C$3:$C$273),"")</f>
        <v>Miami, FL</v>
      </c>
      <c r="E164" s="4">
        <f>IFERROR(_xlfn.XLOOKUP($B164,Raw_Data!$A$3:$A$273,Raw_Data!$D$3:$D$273),"")</f>
        <v>2017</v>
      </c>
      <c r="F164" s="4" t="str">
        <f>IFERROR(_xlfn.XLOOKUP($B164,Raw_Data!$A$3:$A$273,Raw_Data!$F$3:$F$273),"")</f>
        <v>Mobility</v>
      </c>
      <c r="G164" s="35">
        <f>IFERROR(_xlfn.XLOOKUP($B164,Raw_Data!$A$3:$A$273,Raw_Data!$J$3:$J$273),"")</f>
        <v>44562</v>
      </c>
      <c r="H164" s="16" t="s">
        <v>1468</v>
      </c>
      <c r="I164" s="36">
        <f>IFERROR(_xlfn.XLOOKUP($B164,Raw_Data!$A$3:$A$273,Raw_Data!$I$3:$I$273),"")</f>
        <v>2.7</v>
      </c>
      <c r="J164" s="36">
        <f>IFERROR(_xlfn.XLOOKUP($B164,Raw_Data!$A$3:$A$273,Raw_Data!$L$3:$L$273),"")</f>
        <v>0.1</v>
      </c>
      <c r="K164" s="36">
        <f>IFERROR(_xlfn.XLOOKUP($B164,Raw_Data!$A$3:$A$273,Raw_Data!$M$3:$M$273),"")</f>
        <v>0</v>
      </c>
      <c r="L164" s="15">
        <f>IFERROR(_xlfn.XLOOKUP($B164,Raw_Data!$A$3:$A$273,Raw_Data!$Q$3:$Q$273),"")</f>
        <v>0</v>
      </c>
      <c r="M164" s="34"/>
      <c r="N164" s="16" cm="1">
        <f t="array" ref="N164">IF(M164="",0,COUNTA(_xlfn._xlws.FILTER(_xlfn.TEXTSPLIT(M164,";"), _xlfn.TEXTSPLIT(M164,";")&lt;&gt;"")))</f>
        <v>0</v>
      </c>
      <c r="O164" s="16" t="str">
        <f t="shared" si="6"/>
        <v>Y</v>
      </c>
      <c r="P164" s="19" t="str">
        <f>IFERROR(_xlfn.XLOOKUP($B164,Raw_Data!$A$3:$A$273,Raw_Data!$V$3:$V$273),"")</f>
        <v>N/A</v>
      </c>
      <c r="Q164" s="16" t="str">
        <f t="shared" si="7"/>
        <v>Y</v>
      </c>
      <c r="R164" s="32" t="str">
        <f>IFERROR(_xlfn.XLOOKUP($B164,Raw_Data!$A$3:$A$273,Raw_Data!$Y$3:$Y$273),"")</f>
        <v>N/A</v>
      </c>
      <c r="S164" s="4" t="str" cm="1">
        <f t="array" ref="S164">_xlfn.LET(_xlpm.s, Raw_Data!W164,_xlpm.strat, _xlfn._xlws.FILTER(REF_Setup!$B$3:$B$40, REF_Setup!$B$3:$B$40&lt;&gt;""),IF(OR(_xlpm.s="",_xlpm.s=0),"Unclassified",IF(SUM(--ISNUMBER(SEARCH(_xlpm.strat, _xlpm.s)))&gt;0, "Y", "N"))
)</f>
        <v>Unclassified</v>
      </c>
      <c r="T164" s="4" t="str" cm="1">
        <f t="array" ref="T164">_xlfn.LET(_xlpm.s,M164,_xlpm.phil, _xlfn._xlws.FILTER(REF_Setup!$D$3:$D$5, REF_Setup!$D$3:$D$5&lt;&gt;""),IF(OR(_xlpm.s="", _xlpm.s=0),"Unclassified",IF(SUM(--ISNUMBER(SEARCH(_xlpm.phil, _xlpm.s)))&gt;0, "Y", "N")))</f>
        <v>Unclassified</v>
      </c>
      <c r="U164" s="4" t="str" cm="1">
        <f t="array" ref="U164">IF(M164="", "Unclassified", IF(AND(SUMPRODUCT(--ISNUMBER(SEARCH(REF_Setup!$B$3:$B$40,M164)))&gt;0,SUMPRODUCT(--ISNUMBER(SEARCH(REF_Setup!$F$3:$F$15,M164)))&gt;0),"Mixed",IF(SUMPRODUCT(--ISNUMBER(SEARCH(REF_Setup!$B$3:$B$40,M164)))&gt;0,"Strategic Only",IF(SUMPRODUCT(--ISNUMBER(SEARCH(REF_Setup!$F$3:$F$15,M164)))&gt;0,"VC Only","Unclassified"))))</f>
        <v>Unclassified</v>
      </c>
    </row>
    <row r="165" spans="2:21" x14ac:dyDescent="0.35">
      <c r="B165" s="4">
        <f t="shared" si="8"/>
        <v>163</v>
      </c>
      <c r="C165" s="4" t="str">
        <f>IFERROR(_xlfn.XLOOKUP($B165,Raw_Data!$A$3:$A$273,Raw_Data!$B$3:$B$273),"")</f>
        <v>Ocean Renewable Power Company</v>
      </c>
      <c r="D165" s="4" t="str">
        <f>IFERROR(_xlfn.XLOOKUP($B165,Raw_Data!$A$3:$A$273,Raw_Data!$C$3:$C$273),"")</f>
        <v>Portland, ME</v>
      </c>
      <c r="E165" s="4">
        <f>IFERROR(_xlfn.XLOOKUP($B165,Raw_Data!$A$3:$A$273,Raw_Data!$D$3:$D$273),"")</f>
        <v>2004</v>
      </c>
      <c r="F165" s="4" t="str">
        <f>IFERROR(_xlfn.XLOOKUP($B165,Raw_Data!$A$3:$A$273,Raw_Data!$F$3:$F$273),"")</f>
        <v>Renewables</v>
      </c>
      <c r="G165" s="35">
        <f>IFERROR(_xlfn.XLOOKUP($B165,Raw_Data!$A$3:$A$273,Raw_Data!$J$3:$J$273),"")</f>
        <v>43776</v>
      </c>
      <c r="H165" s="4" t="s">
        <v>75</v>
      </c>
      <c r="I165" s="36">
        <f>IFERROR(_xlfn.XLOOKUP($B165,Raw_Data!$A$3:$A$273,Raw_Data!$I$3:$I$273),"")</f>
        <v>22.74</v>
      </c>
      <c r="J165" s="36">
        <f>IFERROR(_xlfn.XLOOKUP($B165,Raw_Data!$A$3:$A$273,Raw_Data!$L$3:$L$273),"")</f>
        <v>7.46</v>
      </c>
      <c r="K165" s="36">
        <f>IFERROR(_xlfn.XLOOKUP($B165,Raw_Data!$A$3:$A$273,Raw_Data!$M$3:$M$273),"")</f>
        <v>29.46</v>
      </c>
      <c r="L165" s="15">
        <f>IFERROR(_xlfn.XLOOKUP($B165,Raw_Data!$A$3:$A$273,Raw_Data!$Q$3:$Q$273),"")</f>
        <v>0</v>
      </c>
      <c r="M165" s="34" t="str">
        <f>IFERROR(_xlfn.XLOOKUP($B165,Raw_Data!$A$3:$A$273,Raw_Data!$R$3:$R$273),"")</f>
        <v xml:space="preserve">Netcapital </v>
      </c>
      <c r="N165" s="16" cm="1">
        <f t="array" ref="N165">IF(M165="",0,COUNTA(_xlfn._xlws.FILTER(_xlfn.TEXTSPLIT(M165,";"), _xlfn.TEXTSPLIT(M165,";")&lt;&gt;"")))</f>
        <v>1</v>
      </c>
      <c r="O165" s="16" t="str">
        <f t="shared" si="6"/>
        <v>N</v>
      </c>
      <c r="P165" s="19">
        <f>IFERROR(_xlfn.XLOOKUP($B165,Raw_Data!$A$3:$A$273,Raw_Data!$V$3:$V$273),"")</f>
        <v>0</v>
      </c>
      <c r="Q165" s="16" t="str">
        <f t="shared" si="7"/>
        <v>Y</v>
      </c>
      <c r="R165" s="32">
        <f>IFERROR(_xlfn.XLOOKUP($B165,Raw_Data!$A$3:$A$273,Raw_Data!$Y$3:$Y$273),"")</f>
        <v>1</v>
      </c>
      <c r="S165" s="4" t="str" cm="1">
        <f t="array" ref="S165">_xlfn.LET(_xlpm.s, Raw_Data!W165,_xlpm.strat, _xlfn._xlws.FILTER(REF_Setup!$B$3:$B$40, REF_Setup!$B$3:$B$40&lt;&gt;""),IF(OR(_xlpm.s="",_xlpm.s=0),"Unclassified",IF(SUM(--ISNUMBER(SEARCH(_xlpm.strat, _xlpm.s)))&gt;0, "Y", "N"))
)</f>
        <v>N</v>
      </c>
      <c r="T165" s="4" t="str" cm="1">
        <f t="array" ref="T165">_xlfn.LET(_xlpm.s,M165,_xlpm.phil, _xlfn._xlws.FILTER(REF_Setup!$D$3:$D$5, REF_Setup!$D$3:$D$5&lt;&gt;""),IF(OR(_xlpm.s="", _xlpm.s=0),"Unclassified",IF(SUM(--ISNUMBER(SEARCH(_xlpm.phil, _xlpm.s)))&gt;0, "Y", "N")))</f>
        <v>N</v>
      </c>
      <c r="U165" s="4" t="str" cm="1">
        <f t="array" ref="U165">IF(M165="", "Unclassified", IF(AND(SUMPRODUCT(--ISNUMBER(SEARCH(REF_Setup!$B$3:$B$40,M165)))&gt;0,SUMPRODUCT(--ISNUMBER(SEARCH(REF_Setup!$F$3:$F$15,M165)))&gt;0),"Mixed",IF(SUMPRODUCT(--ISNUMBER(SEARCH(REF_Setup!$B$3:$B$40,M165)))&gt;0,"Strategic Only",IF(SUMPRODUCT(--ISNUMBER(SEARCH(REF_Setup!$F$3:$F$15,M165)))&gt;0,"VC Only","Unclassified"))))</f>
        <v>VC Only</v>
      </c>
    </row>
    <row r="166" spans="2:21" x14ac:dyDescent="0.35">
      <c r="B166" s="4">
        <f t="shared" si="8"/>
        <v>164</v>
      </c>
      <c r="C166" s="4" t="str">
        <f>IFERROR(_xlfn.XLOOKUP($B166,Raw_Data!$A$3:$A$273,Raw_Data!$B$3:$B$273),"")</f>
        <v>Ocean Renewable Power Company</v>
      </c>
      <c r="D166" s="4" t="str">
        <f>IFERROR(_xlfn.XLOOKUP($B166,Raw_Data!$A$3:$A$273,Raw_Data!$C$3:$C$273),"")</f>
        <v>Portland, ME</v>
      </c>
      <c r="E166" s="4">
        <f>IFERROR(_xlfn.XLOOKUP($B166,Raw_Data!$A$3:$A$273,Raw_Data!$D$3:$D$273),"")</f>
        <v>2004</v>
      </c>
      <c r="F166" s="4" t="str">
        <f>IFERROR(_xlfn.XLOOKUP($B166,Raw_Data!$A$3:$A$273,Raw_Data!$F$3:$F$273),"")</f>
        <v>Renewables</v>
      </c>
      <c r="G166" s="35">
        <f>IFERROR(_xlfn.XLOOKUP($B166,Raw_Data!$A$3:$A$273,Raw_Data!$J$3:$J$273),"")</f>
        <v>44424</v>
      </c>
      <c r="H166" s="4" t="s">
        <v>75</v>
      </c>
      <c r="I166" s="36">
        <f>IFERROR(_xlfn.XLOOKUP($B166,Raw_Data!$A$3:$A$273,Raw_Data!$I$3:$I$273),"")</f>
        <v>47.74</v>
      </c>
      <c r="J166" s="36">
        <f>IFERROR(_xlfn.XLOOKUP($B166,Raw_Data!$A$3:$A$273,Raw_Data!$L$3:$L$273),"")</f>
        <v>25</v>
      </c>
      <c r="K166" s="36">
        <f>IFERROR(_xlfn.XLOOKUP($B166,Raw_Data!$A$3:$A$273,Raw_Data!$M$3:$M$273),"")</f>
        <v>0</v>
      </c>
      <c r="L166" s="15">
        <f>IFERROR(_xlfn.XLOOKUP($B166,Raw_Data!$A$3:$A$273,Raw_Data!$Q$3:$Q$273),"")</f>
        <v>0</v>
      </c>
      <c r="M166" s="34" t="str">
        <f>IFERROR(_xlfn.XLOOKUP($B166,Raw_Data!$A$3:$A$273,Raw_Data!$R$3:$R$273),"")</f>
        <v xml:space="preserve">Canadian Shield Capital; Hatch </v>
      </c>
      <c r="N166" s="16" cm="1">
        <f t="array" ref="N166">IF(M166="",0,COUNTA(_xlfn._xlws.FILTER(_xlfn.TEXTSPLIT(M166,";"), _xlfn.TEXTSPLIT(M166,";")&lt;&gt;"")))</f>
        <v>2</v>
      </c>
      <c r="O166" s="16" t="str">
        <f t="shared" si="6"/>
        <v>N</v>
      </c>
      <c r="P166" s="19">
        <f>IFERROR(_xlfn.XLOOKUP($B166,Raw_Data!$A$3:$A$273,Raw_Data!$V$3:$V$273),"")</f>
        <v>0</v>
      </c>
      <c r="Q166" s="16" t="str">
        <f t="shared" si="7"/>
        <v>Y</v>
      </c>
      <c r="R166" s="32">
        <f>IFERROR(_xlfn.XLOOKUP($B166,Raw_Data!$A$3:$A$273,Raw_Data!$Y$3:$Y$273),"")</f>
        <v>1</v>
      </c>
      <c r="S166" s="4" t="str" cm="1">
        <f t="array" ref="S166">_xlfn.LET(_xlpm.s, Raw_Data!W166,_xlpm.strat, _xlfn._xlws.FILTER(REF_Setup!$B$3:$B$40, REF_Setup!$B$3:$B$40&lt;&gt;""),IF(OR(_xlpm.s="",_xlpm.s=0),"Unclassified",IF(SUM(--ISNUMBER(SEARCH(_xlpm.strat, _xlpm.s)))&gt;0, "Y", "N"))
)</f>
        <v>N</v>
      </c>
      <c r="T166" s="4" t="str" cm="1">
        <f t="array" ref="T166">_xlfn.LET(_xlpm.s,M166,_xlpm.phil, _xlfn._xlws.FILTER(REF_Setup!$D$3:$D$5, REF_Setup!$D$3:$D$5&lt;&gt;""),IF(OR(_xlpm.s="", _xlpm.s=0),"Unclassified",IF(SUM(--ISNUMBER(SEARCH(_xlpm.phil, _xlpm.s)))&gt;0, "Y", "N")))</f>
        <v>N</v>
      </c>
      <c r="U166" s="4" t="str" cm="1">
        <f t="array" ref="U166">IF(M166="", "Unclassified", IF(AND(SUMPRODUCT(--ISNUMBER(SEARCH(REF_Setup!$B$3:$B$40,M166)))&gt;0,SUMPRODUCT(--ISNUMBER(SEARCH(REF_Setup!$F$3:$F$15,M166)))&gt;0),"Mixed",IF(SUMPRODUCT(--ISNUMBER(SEARCH(REF_Setup!$B$3:$B$40,M166)))&gt;0,"Strategic Only",IF(SUMPRODUCT(--ISNUMBER(SEARCH(REF_Setup!$F$3:$F$15,M166)))&gt;0,"VC Only","Unclassified"))))</f>
        <v>VC Only</v>
      </c>
    </row>
    <row r="167" spans="2:21" x14ac:dyDescent="0.35">
      <c r="B167" s="4">
        <f t="shared" si="8"/>
        <v>165</v>
      </c>
      <c r="C167" s="4" t="str">
        <f>IFERROR(_xlfn.XLOOKUP($B167,Raw_Data!$A$3:$A$273,Raw_Data!$B$3:$B$273),"")</f>
        <v>Okèanos</v>
      </c>
      <c r="D167" s="4" t="str">
        <f>IFERROR(_xlfn.XLOOKUP($B167,Raw_Data!$A$3:$A$273,Raw_Data!$C$3:$C$273),"")</f>
        <v>Miami Beach, FL</v>
      </c>
      <c r="E167" s="4">
        <f>IFERROR(_xlfn.XLOOKUP($B167,Raw_Data!$A$3:$A$273,Raw_Data!$D$3:$D$273),"")</f>
        <v>2019</v>
      </c>
      <c r="F167" s="4" t="str">
        <f>IFERROR(_xlfn.XLOOKUP($B167,Raw_Data!$A$3:$A$273,Raw_Data!$F$3:$F$273),"")</f>
        <v>Industrial Decarbonization</v>
      </c>
      <c r="G167" s="35">
        <f>IFERROR(_xlfn.XLOOKUP($B167,Raw_Data!$A$3:$A$273,Raw_Data!$J$3:$J$273),"")</f>
        <v>44624</v>
      </c>
      <c r="H167" s="16" t="s">
        <v>1466</v>
      </c>
      <c r="I167" s="36">
        <f>IFERROR(_xlfn.XLOOKUP($B167,Raw_Data!$A$3:$A$273,Raw_Data!$I$3:$I$273),"")</f>
        <v>3.82</v>
      </c>
      <c r="J167" s="36">
        <f>IFERROR(_xlfn.XLOOKUP($B167,Raw_Data!$A$3:$A$273,Raw_Data!$L$3:$L$273),"")</f>
        <v>1</v>
      </c>
      <c r="K167" s="36">
        <f>IFERROR(_xlfn.XLOOKUP($B167,Raw_Data!$A$3:$A$273,Raw_Data!$M$3:$M$273),"")</f>
        <v>0</v>
      </c>
      <c r="L167" s="15">
        <f>IFERROR(_xlfn.XLOOKUP($B167,Raw_Data!$A$3:$A$273,Raw_Data!$Q$3:$Q$273),"")</f>
        <v>0</v>
      </c>
      <c r="M167" s="34" t="str">
        <f>IFERROR(_xlfn.XLOOKUP($B167,Raw_Data!$A$3:$A$273,Raw_Data!$R$3:$R$273),"")</f>
        <v>Red Devil Investors</v>
      </c>
      <c r="N167" s="16" cm="1">
        <f t="array" ref="N167">IF(M167="",0,COUNTA(_xlfn._xlws.FILTER(_xlfn.TEXTSPLIT(M167,";"), _xlfn.TEXTSPLIT(M167,";")&lt;&gt;"")))</f>
        <v>1</v>
      </c>
      <c r="O167" s="16" t="str">
        <f t="shared" si="6"/>
        <v>N</v>
      </c>
      <c r="P167" s="19">
        <f>IFERROR(_xlfn.XLOOKUP($B167,Raw_Data!$A$3:$A$273,Raw_Data!$V$3:$V$273),"")</f>
        <v>0</v>
      </c>
      <c r="Q167" s="16" t="str">
        <f t="shared" si="7"/>
        <v>Y</v>
      </c>
      <c r="R167" s="32">
        <f>IFERROR(_xlfn.XLOOKUP($B167,Raw_Data!$A$3:$A$273,Raw_Data!$Y$3:$Y$273),"")</f>
        <v>1</v>
      </c>
      <c r="S167" s="4" t="str" cm="1">
        <f t="array" ref="S167">_xlfn.LET(_xlpm.s, Raw_Data!W167,_xlpm.strat, _xlfn._xlws.FILTER(REF_Setup!$B$3:$B$40, REF_Setup!$B$3:$B$40&lt;&gt;""),IF(OR(_xlpm.s="",_xlpm.s=0),"Unclassified",IF(SUM(--ISNUMBER(SEARCH(_xlpm.strat, _xlpm.s)))&gt;0, "Y", "N"))
)</f>
        <v>N</v>
      </c>
      <c r="T167" s="4" t="str" cm="1">
        <f t="array" ref="T167">_xlfn.LET(_xlpm.s,M167,_xlpm.phil, _xlfn._xlws.FILTER(REF_Setup!$D$3:$D$5, REF_Setup!$D$3:$D$5&lt;&gt;""),IF(OR(_xlpm.s="", _xlpm.s=0),"Unclassified",IF(SUM(--ISNUMBER(SEARCH(_xlpm.phil, _xlpm.s)))&gt;0, "Y", "N")))</f>
        <v>N</v>
      </c>
      <c r="U167" s="4" t="str" cm="1">
        <f t="array" ref="U167">IF(M167="", "Unclassified", IF(AND(SUMPRODUCT(--ISNUMBER(SEARCH(REF_Setup!$B$3:$B$40,M167)))&gt;0,SUMPRODUCT(--ISNUMBER(SEARCH(REF_Setup!$F$3:$F$15,M167)))&gt;0),"Mixed",IF(SUMPRODUCT(--ISNUMBER(SEARCH(REF_Setup!$B$3:$B$40,M167)))&gt;0,"Strategic Only",IF(SUMPRODUCT(--ISNUMBER(SEARCH(REF_Setup!$F$3:$F$15,M167)))&gt;0,"VC Only","Unclassified"))))</f>
        <v>Unclassified</v>
      </c>
    </row>
    <row r="168" spans="2:21" x14ac:dyDescent="0.35">
      <c r="B168" s="4">
        <f t="shared" si="8"/>
        <v>166</v>
      </c>
      <c r="C168" s="4" t="str">
        <f>IFERROR(_xlfn.XLOOKUP($B168,Raw_Data!$A$3:$A$273,Raw_Data!$B$3:$B$273),"")</f>
        <v>Okèanos</v>
      </c>
      <c r="D168" s="4" t="str">
        <f>IFERROR(_xlfn.XLOOKUP($B168,Raw_Data!$A$3:$A$273,Raw_Data!$C$3:$C$273),"")</f>
        <v>Miami Beach, FL</v>
      </c>
      <c r="E168" s="4">
        <f>IFERROR(_xlfn.XLOOKUP($B168,Raw_Data!$A$3:$A$273,Raw_Data!$D$3:$D$273),"")</f>
        <v>2019</v>
      </c>
      <c r="F168" s="4" t="str">
        <f>IFERROR(_xlfn.XLOOKUP($B168,Raw_Data!$A$3:$A$273,Raw_Data!$F$3:$F$273),"")</f>
        <v>Industrial Decarbonization</v>
      </c>
      <c r="G168" s="35">
        <f>IFERROR(_xlfn.XLOOKUP($B168,Raw_Data!$A$3:$A$273,Raw_Data!$J$3:$J$273),"")</f>
        <v>44057</v>
      </c>
      <c r="H168" s="16" t="s">
        <v>1466</v>
      </c>
      <c r="I168" s="36">
        <f>IFERROR(_xlfn.XLOOKUP($B168,Raw_Data!$A$3:$A$273,Raw_Data!$I$3:$I$273),"")</f>
        <v>2.8</v>
      </c>
      <c r="J168" s="36">
        <f>IFERROR(_xlfn.XLOOKUP($B168,Raw_Data!$A$3:$A$273,Raw_Data!$L$3:$L$273),"")</f>
        <v>2.8</v>
      </c>
      <c r="K168" s="36">
        <f>IFERROR(_xlfn.XLOOKUP($B168,Raw_Data!$A$3:$A$273,Raw_Data!$M$3:$M$273),"")</f>
        <v>0</v>
      </c>
      <c r="L168" s="15">
        <f>IFERROR(_xlfn.XLOOKUP($B168,Raw_Data!$A$3:$A$273,Raw_Data!$Q$3:$Q$273),"")</f>
        <v>0</v>
      </c>
      <c r="M168" s="34"/>
      <c r="N168" s="16" cm="1">
        <f t="array" ref="N168">IF(M168="",0,COUNTA(_xlfn._xlws.FILTER(_xlfn.TEXTSPLIT(M168,";"), _xlfn.TEXTSPLIT(M168,";")&lt;&gt;"")))</f>
        <v>0</v>
      </c>
      <c r="O168" s="16" t="str">
        <f t="shared" si="6"/>
        <v>Y</v>
      </c>
      <c r="P168" s="19" t="str">
        <f>IFERROR(_xlfn.XLOOKUP($B168,Raw_Data!$A$3:$A$273,Raw_Data!$V$3:$V$273),"")</f>
        <v>N/A</v>
      </c>
      <c r="Q168" s="16" t="str">
        <f t="shared" si="7"/>
        <v>Y</v>
      </c>
      <c r="R168" s="32" t="str">
        <f>IFERROR(_xlfn.XLOOKUP($B168,Raw_Data!$A$3:$A$273,Raw_Data!$Y$3:$Y$273),"")</f>
        <v>N/A</v>
      </c>
      <c r="S168" s="4" t="str" cm="1">
        <f t="array" ref="S168">_xlfn.LET(_xlpm.s, Raw_Data!W168,_xlpm.strat, _xlfn._xlws.FILTER(REF_Setup!$B$3:$B$40, REF_Setup!$B$3:$B$40&lt;&gt;""),IF(OR(_xlpm.s="",_xlpm.s=0),"Unclassified",IF(SUM(--ISNUMBER(SEARCH(_xlpm.strat, _xlpm.s)))&gt;0, "Y", "N"))
)</f>
        <v>Unclassified</v>
      </c>
      <c r="T168" s="4" t="str" cm="1">
        <f t="array" ref="T168">_xlfn.LET(_xlpm.s,M168,_xlpm.phil, _xlfn._xlws.FILTER(REF_Setup!$D$3:$D$5, REF_Setup!$D$3:$D$5&lt;&gt;""),IF(OR(_xlpm.s="", _xlpm.s=0),"Unclassified",IF(SUM(--ISNUMBER(SEARCH(_xlpm.phil, _xlpm.s)))&gt;0, "Y", "N")))</f>
        <v>Unclassified</v>
      </c>
      <c r="U168" s="4" t="str" cm="1">
        <f t="array" ref="U168">IF(M168="", "Unclassified", IF(AND(SUMPRODUCT(--ISNUMBER(SEARCH(REF_Setup!$B$3:$B$40,M168)))&gt;0,SUMPRODUCT(--ISNUMBER(SEARCH(REF_Setup!$F$3:$F$15,M168)))&gt;0),"Mixed",IF(SUMPRODUCT(--ISNUMBER(SEARCH(REF_Setup!$B$3:$B$40,M168)))&gt;0,"Strategic Only",IF(SUMPRODUCT(--ISNUMBER(SEARCH(REF_Setup!$F$3:$F$15,M168)))&gt;0,"VC Only","Unclassified"))))</f>
        <v>Unclassified</v>
      </c>
    </row>
    <row r="169" spans="2:21" x14ac:dyDescent="0.35">
      <c r="B169" s="4">
        <f t="shared" si="8"/>
        <v>167</v>
      </c>
      <c r="C169" s="4" t="str">
        <f>IFERROR(_xlfn.XLOOKUP($B169,Raw_Data!$A$3:$A$273,Raw_Data!$B$3:$B$273),"")</f>
        <v>OnePIanet Solar Recycling</v>
      </c>
      <c r="D169" s="4" t="str">
        <f>IFERROR(_xlfn.XLOOKUP($B169,Raw_Data!$A$3:$A$273,Raw_Data!$C$3:$C$273),"")</f>
        <v>Jacksonville, FL</v>
      </c>
      <c r="E169" s="4">
        <f>IFERROR(_xlfn.XLOOKUP($B169,Raw_Data!$A$3:$A$273,Raw_Data!$D$3:$D$273),"")</f>
        <v>2023</v>
      </c>
      <c r="F169" s="4" t="str">
        <f>IFERROR(_xlfn.XLOOKUP($B169,Raw_Data!$A$3:$A$273,Raw_Data!$F$3:$F$273),"")</f>
        <v>Industrial Decarbonization</v>
      </c>
      <c r="G169" s="35">
        <f>IFERROR(_xlfn.XLOOKUP($B169,Raw_Data!$A$3:$A$273,Raw_Data!$J$3:$J$273),"")</f>
        <v>45748</v>
      </c>
      <c r="H169" s="16" t="s">
        <v>1466</v>
      </c>
      <c r="I169" s="36">
        <f>IFERROR(_xlfn.XLOOKUP($B169,Raw_Data!$A$3:$A$273,Raw_Data!$I$3:$I$273),"")</f>
        <v>8.43</v>
      </c>
      <c r="J169" s="36">
        <f>IFERROR(_xlfn.XLOOKUP($B169,Raw_Data!$A$3:$A$273,Raw_Data!$L$3:$L$273),"")</f>
        <v>7</v>
      </c>
      <c r="K169" s="36">
        <f>IFERROR(_xlfn.XLOOKUP($B169,Raw_Data!$A$3:$A$273,Raw_Data!$M$3:$M$273),"")</f>
        <v>0</v>
      </c>
      <c r="L169" s="15">
        <f>IFERROR(_xlfn.XLOOKUP($B169,Raw_Data!$A$3:$A$273,Raw_Data!$Q$3:$Q$273),"")</f>
        <v>0</v>
      </c>
      <c r="M169" s="34" t="str">
        <f>IFERROR(_xlfn.XLOOKUP($B169,Raw_Data!$A$3:$A$273,Raw_Data!$R$3:$R$273),"")</f>
        <v xml:space="preserve">Khasma Capital </v>
      </c>
      <c r="N169" s="16" cm="1">
        <f t="array" ref="N169">IF(M169="",0,COUNTA(_xlfn._xlws.FILTER(_xlfn.TEXTSPLIT(M169,";"), _xlfn.TEXTSPLIT(M169,";")&lt;&gt;"")))</f>
        <v>1</v>
      </c>
      <c r="O169" s="16" t="str">
        <f t="shared" si="6"/>
        <v>N</v>
      </c>
      <c r="P169" s="19">
        <f>IFERROR(_xlfn.XLOOKUP($B169,Raw_Data!$A$3:$A$273,Raw_Data!$V$3:$V$273),"")</f>
        <v>0</v>
      </c>
      <c r="Q169" s="16" t="str">
        <f t="shared" si="7"/>
        <v>Y</v>
      </c>
      <c r="R169" s="32">
        <f>IFERROR(_xlfn.XLOOKUP($B169,Raw_Data!$A$3:$A$273,Raw_Data!$Y$3:$Y$273),"")</f>
        <v>1</v>
      </c>
      <c r="S169" s="4" t="str" cm="1">
        <f t="array" ref="S169">_xlfn.LET(_xlpm.s, Raw_Data!W169,_xlpm.strat, _xlfn._xlws.FILTER(REF_Setup!$B$3:$B$40, REF_Setup!$B$3:$B$40&lt;&gt;""),IF(OR(_xlpm.s="",_xlpm.s=0),"Unclassified",IF(SUM(--ISNUMBER(SEARCH(_xlpm.strat, _xlpm.s)))&gt;0, "Y", "N"))
)</f>
        <v>N</v>
      </c>
      <c r="T169" s="4" t="str" cm="1">
        <f t="array" ref="T169">_xlfn.LET(_xlpm.s,M169,_xlpm.phil, _xlfn._xlws.FILTER(REF_Setup!$D$3:$D$5, REF_Setup!$D$3:$D$5&lt;&gt;""),IF(OR(_xlpm.s="", _xlpm.s=0),"Unclassified",IF(SUM(--ISNUMBER(SEARCH(_xlpm.phil, _xlpm.s)))&gt;0, "Y", "N")))</f>
        <v>N</v>
      </c>
      <c r="U169" s="4" t="str" cm="1">
        <f t="array" ref="U169">IF(M169="", "Unclassified", IF(AND(SUMPRODUCT(--ISNUMBER(SEARCH(REF_Setup!$B$3:$B$40,M169)))&gt;0,SUMPRODUCT(--ISNUMBER(SEARCH(REF_Setup!$F$3:$F$15,M169)))&gt;0),"Mixed",IF(SUMPRODUCT(--ISNUMBER(SEARCH(REF_Setup!$B$3:$B$40,M169)))&gt;0,"Strategic Only",IF(SUMPRODUCT(--ISNUMBER(SEARCH(REF_Setup!$F$3:$F$15,M169)))&gt;0,"VC Only","Unclassified"))))</f>
        <v>VC Only</v>
      </c>
    </row>
    <row r="170" spans="2:21" ht="43.5" x14ac:dyDescent="0.35">
      <c r="B170" s="4">
        <f t="shared" si="8"/>
        <v>168</v>
      </c>
      <c r="C170" s="4" t="str">
        <f>IFERROR(_xlfn.XLOOKUP($B170,Raw_Data!$A$3:$A$273,Raw_Data!$B$3:$B$273),"")</f>
        <v>OnePointOne</v>
      </c>
      <c r="D170" s="4" t="str">
        <f>IFERROR(_xlfn.XLOOKUP($B170,Raw_Data!$A$3:$A$273,Raw_Data!$C$3:$C$273),"")</f>
        <v>Avondale, AZ</v>
      </c>
      <c r="E170" s="4">
        <f>IFERROR(_xlfn.XLOOKUP($B170,Raw_Data!$A$3:$A$273,Raw_Data!$D$3:$D$273),"")</f>
        <v>2017</v>
      </c>
      <c r="F170" s="4" t="str">
        <f>IFERROR(_xlfn.XLOOKUP($B170,Raw_Data!$A$3:$A$273,Raw_Data!$F$3:$F$273),"")</f>
        <v>Food &amp; Ag</v>
      </c>
      <c r="G170" s="35">
        <f>IFERROR(_xlfn.XLOOKUP($B170,Raw_Data!$A$3:$A$273,Raw_Data!$J$3:$J$273),"")</f>
        <v>44075</v>
      </c>
      <c r="H170" s="16" t="s">
        <v>1466</v>
      </c>
      <c r="I170" s="36">
        <f>IFERROR(_xlfn.XLOOKUP($B170,Raw_Data!$A$3:$A$273,Raw_Data!$I$3:$I$273),"")</f>
        <v>12.5</v>
      </c>
      <c r="J170" s="36">
        <f>IFERROR(_xlfn.XLOOKUP($B170,Raw_Data!$A$3:$A$273,Raw_Data!$L$3:$L$273),"")</f>
        <v>12</v>
      </c>
      <c r="K170" s="36">
        <f>IFERROR(_xlfn.XLOOKUP($B170,Raw_Data!$A$3:$A$273,Raw_Data!$M$3:$M$273),"")</f>
        <v>72</v>
      </c>
      <c r="L170" s="15">
        <f>IFERROR(_xlfn.XLOOKUP($B170,Raw_Data!$A$3:$A$273,Raw_Data!$Q$3:$Q$273),"")</f>
        <v>0</v>
      </c>
      <c r="M170" s="34" t="str">
        <f>IFERROR(_xlfn.XLOOKUP($B170,Raw_Data!$A$3:$A$273,Raw_Data!$R$3:$R$273),"")</f>
        <v>Blackhorn Ventures; Chamaeleon; Eric Lamb; Frederic Luddy; KBW Ventures; Kenneth Birdwell; Michael Heffernanl Novak Djokovic; Southland Industries; Steve Chen; Western Technology Investment</v>
      </c>
      <c r="N170" s="16" cm="1">
        <f t="array" ref="N170">IF(M170="",0,COUNTA(_xlfn._xlws.FILTER(_xlfn.TEXTSPLIT(M170,";"), _xlfn.TEXTSPLIT(M170,";")&lt;&gt;"")))</f>
        <v>10</v>
      </c>
      <c r="O170" s="16" t="str">
        <f t="shared" si="6"/>
        <v>Y</v>
      </c>
      <c r="P170" s="19">
        <f>IFERROR(_xlfn.XLOOKUP($B170,Raw_Data!$A$3:$A$273,Raw_Data!$V$3:$V$273),"")</f>
        <v>0.1</v>
      </c>
      <c r="Q170" s="16" t="str">
        <f t="shared" si="7"/>
        <v>Y</v>
      </c>
      <c r="R170" s="32">
        <f>IFERROR(_xlfn.XLOOKUP($B170,Raw_Data!$A$3:$A$273,Raw_Data!$Y$3:$Y$273),"")</f>
        <v>0.9</v>
      </c>
      <c r="S170" s="4" t="str" cm="1">
        <f t="array" ref="S170">_xlfn.LET(_xlpm.s, Raw_Data!W170,_xlpm.strat, _xlfn._xlws.FILTER(REF_Setup!$B$3:$B$40, REF_Setup!$B$3:$B$40&lt;&gt;""),IF(OR(_xlpm.s="",_xlpm.s=0),"Unclassified",IF(SUM(--ISNUMBER(SEARCH(_xlpm.strat, _xlpm.s)))&gt;0, "Y", "N"))
)</f>
        <v>N</v>
      </c>
      <c r="T170" s="4" t="str" cm="1">
        <f t="array" ref="T170">_xlfn.LET(_xlpm.s,M170,_xlpm.phil, _xlfn._xlws.FILTER(REF_Setup!$D$3:$D$5, REF_Setup!$D$3:$D$5&lt;&gt;""),IF(OR(_xlpm.s="", _xlpm.s=0),"Unclassified",IF(SUM(--ISNUMBER(SEARCH(_xlpm.phil, _xlpm.s)))&gt;0, "Y", "N")))</f>
        <v>N</v>
      </c>
      <c r="U170" s="4" t="str" cm="1">
        <f t="array" ref="U170">IF(M170="", "Unclassified", IF(AND(SUMPRODUCT(--ISNUMBER(SEARCH(REF_Setup!$B$3:$B$40,M170)))&gt;0,SUMPRODUCT(--ISNUMBER(SEARCH(REF_Setup!$F$3:$F$15,M170)))&gt;0),"Mixed",IF(SUMPRODUCT(--ISNUMBER(SEARCH(REF_Setup!$B$3:$B$40,M170)))&gt;0,"Strategic Only",IF(SUMPRODUCT(--ISNUMBER(SEARCH(REF_Setup!$F$3:$F$15,M170)))&gt;0,"VC Only","Unclassified"))))</f>
        <v>VC Only</v>
      </c>
    </row>
    <row r="171" spans="2:21" x14ac:dyDescent="0.35">
      <c r="B171" s="4">
        <f t="shared" si="8"/>
        <v>169</v>
      </c>
      <c r="C171" s="4" t="str">
        <f>IFERROR(_xlfn.XLOOKUP($B171,Raw_Data!$A$3:$A$273,Raw_Data!$B$3:$B$273),"")</f>
        <v>Pajarito Powder</v>
      </c>
      <c r="D171" s="4" t="str">
        <f>IFERROR(_xlfn.XLOOKUP($B171,Raw_Data!$A$3:$A$273,Raw_Data!$C$3:$C$273),"")</f>
        <v>Albuquerque, NM</v>
      </c>
      <c r="E171" s="4">
        <f>IFERROR(_xlfn.XLOOKUP($B171,Raw_Data!$A$3:$A$273,Raw_Data!$D$3:$D$273),"")</f>
        <v>2012</v>
      </c>
      <c r="F171" s="4" t="str">
        <f>IFERROR(_xlfn.XLOOKUP($B171,Raw_Data!$A$3:$A$273,Raw_Data!$F$3:$F$273),"")</f>
        <v>Hydrogen</v>
      </c>
      <c r="G171" s="35">
        <f>IFERROR(_xlfn.XLOOKUP($B171,Raw_Data!$A$3:$A$273,Raw_Data!$J$3:$J$273),"")</f>
        <v>45747</v>
      </c>
      <c r="H171" s="16" t="s">
        <v>1467</v>
      </c>
      <c r="I171" s="36">
        <f>IFERROR(_xlfn.XLOOKUP($B171,Raw_Data!$A$3:$A$273,Raw_Data!$I$3:$I$273),"")</f>
        <v>11.04</v>
      </c>
      <c r="J171" s="36">
        <f>IFERROR(_xlfn.XLOOKUP($B171,Raw_Data!$A$3:$A$273,Raw_Data!$L$3:$L$273),"")</f>
        <v>0</v>
      </c>
      <c r="K171" s="36">
        <f>IFERROR(_xlfn.XLOOKUP($B171,Raw_Data!$A$3:$A$273,Raw_Data!$M$3:$M$273),"")</f>
        <v>0</v>
      </c>
      <c r="L171" s="15" t="str">
        <f>IFERROR(_xlfn.XLOOKUP($B171,Raw_Data!$A$3:$A$273,Raw_Data!$Q$3:$Q$273),"")</f>
        <v>N/A</v>
      </c>
      <c r="M171" s="34" t="str">
        <f>IFERROR(_xlfn.XLOOKUP($B171,Raw_Data!$A$3:$A$273,Raw_Data!$R$3:$R$273),"")</f>
        <v>Ecovyst; Hyundai Motor; Kia; NV Bekaert</v>
      </c>
      <c r="N171" s="16" cm="1">
        <f t="array" ref="N171">IF(M171="",0,COUNTA(_xlfn._xlws.FILTER(_xlfn.TEXTSPLIT(M171,";"), _xlfn.TEXTSPLIT(M171,";")&lt;&gt;"")))</f>
        <v>4</v>
      </c>
      <c r="O171" s="16" t="str">
        <f t="shared" si="6"/>
        <v>Y</v>
      </c>
      <c r="P171" s="19">
        <f>IFERROR(_xlfn.XLOOKUP($B171,Raw_Data!$A$3:$A$273,Raw_Data!$V$3:$V$273),"")</f>
        <v>0.5</v>
      </c>
      <c r="Q171" s="16" t="str">
        <f t="shared" si="7"/>
        <v>Y</v>
      </c>
      <c r="R171" s="32">
        <f>IFERROR(_xlfn.XLOOKUP($B171,Raw_Data!$A$3:$A$273,Raw_Data!$Y$3:$Y$273),"")</f>
        <v>0.5</v>
      </c>
      <c r="S171" s="4" t="str" cm="1">
        <f t="array" ref="S171">_xlfn.LET(_xlpm.s, Raw_Data!W171,_xlpm.strat, _xlfn._xlws.FILTER(REF_Setup!$B$3:$B$40, REF_Setup!$B$3:$B$40&lt;&gt;""),IF(OR(_xlpm.s="",_xlpm.s=0),"Unclassified",IF(SUM(--ISNUMBER(SEARCH(_xlpm.strat, _xlpm.s)))&gt;0, "Y", "N"))
)</f>
        <v>N</v>
      </c>
      <c r="T171" s="4" t="str" cm="1">
        <f t="array" ref="T171">_xlfn.LET(_xlpm.s,M171,_xlpm.phil, _xlfn._xlws.FILTER(REF_Setup!$D$3:$D$5, REF_Setup!$D$3:$D$5&lt;&gt;""),IF(OR(_xlpm.s="", _xlpm.s=0),"Unclassified",IF(SUM(--ISNUMBER(SEARCH(_xlpm.phil, _xlpm.s)))&gt;0, "Y", "N")))</f>
        <v>N</v>
      </c>
      <c r="U171" s="4" t="str" cm="1">
        <f t="array" ref="U171">IF(M171="", "Unclassified", IF(AND(SUMPRODUCT(--ISNUMBER(SEARCH(REF_Setup!$B$3:$B$40,M171)))&gt;0,SUMPRODUCT(--ISNUMBER(SEARCH(REF_Setup!$F$3:$F$15,M171)))&gt;0),"Mixed",IF(SUMPRODUCT(--ISNUMBER(SEARCH(REF_Setup!$B$3:$B$40,M171)))&gt;0,"Strategic Only",IF(SUMPRODUCT(--ISNUMBER(SEARCH(REF_Setup!$F$3:$F$15,M171)))&gt;0,"VC Only","Unclassified"))))</f>
        <v>Strategic Only</v>
      </c>
    </row>
    <row r="172" spans="2:21" x14ac:dyDescent="0.35">
      <c r="B172" s="4">
        <f t="shared" si="8"/>
        <v>170</v>
      </c>
      <c r="C172" s="4" t="str">
        <f>IFERROR(_xlfn.XLOOKUP($B172,Raw_Data!$A$3:$A$273,Raw_Data!$B$3:$B$273),"")</f>
        <v>Pellucere Technologies</v>
      </c>
      <c r="D172" s="4" t="str">
        <f>IFERROR(_xlfn.XLOOKUP($B172,Raw_Data!$A$3:$A$273,Raw_Data!$C$3:$C$273),"")</f>
        <v>Dallas, TX</v>
      </c>
      <c r="E172" s="4">
        <f>IFERROR(_xlfn.XLOOKUP($B172,Raw_Data!$A$3:$A$273,Raw_Data!$D$3:$D$273),"")</f>
        <v>2009</v>
      </c>
      <c r="F172" s="4" t="str">
        <f>IFERROR(_xlfn.XLOOKUP($B172,Raw_Data!$A$3:$A$273,Raw_Data!$F$3:$F$273),"")</f>
        <v>Renewables</v>
      </c>
      <c r="G172" s="35">
        <f>IFERROR(_xlfn.XLOOKUP($B172,Raw_Data!$A$3:$A$273,Raw_Data!$J$3:$J$273),"")</f>
        <v>44250</v>
      </c>
      <c r="H172" s="16" t="s">
        <v>1465</v>
      </c>
      <c r="I172" s="36">
        <f>IFERROR(_xlfn.XLOOKUP($B172,Raw_Data!$A$3:$A$273,Raw_Data!$I$3:$I$273),"")</f>
        <v>9</v>
      </c>
      <c r="J172" s="36">
        <f>IFERROR(_xlfn.XLOOKUP($B172,Raw_Data!$A$3:$A$273,Raw_Data!$L$3:$L$273),"")</f>
        <v>6</v>
      </c>
      <c r="K172" s="36">
        <f>IFERROR(_xlfn.XLOOKUP($B172,Raw_Data!$A$3:$A$273,Raw_Data!$M$3:$M$273),"")</f>
        <v>19</v>
      </c>
      <c r="L172" s="15">
        <f>IFERROR(_xlfn.XLOOKUP($B172,Raw_Data!$A$3:$A$273,Raw_Data!$Q$3:$Q$273),"")</f>
        <v>0</v>
      </c>
      <c r="M172" s="34" t="str">
        <f>IFERROR(_xlfn.XLOOKUP($B172,Raw_Data!$A$3:$A$273,Raw_Data!$R$3:$R$273),"")</f>
        <v>Energy Innovation Capital; Fortistar (Nadeem Nisar)</v>
      </c>
      <c r="N172" s="16" cm="1">
        <f t="array" ref="N172">IF(M172="",0,COUNTA(_xlfn._xlws.FILTER(_xlfn.TEXTSPLIT(M172,";"), _xlfn.TEXTSPLIT(M172,";")&lt;&gt;"")))</f>
        <v>2</v>
      </c>
      <c r="O172" s="16" t="str">
        <f t="shared" si="6"/>
        <v>Y</v>
      </c>
      <c r="P172" s="19">
        <f>IFERROR(_xlfn.XLOOKUP($B172,Raw_Data!$A$3:$A$273,Raw_Data!$V$3:$V$273),"")</f>
        <v>0.5</v>
      </c>
      <c r="Q172" s="16" t="str">
        <f t="shared" si="7"/>
        <v>Y</v>
      </c>
      <c r="R172" s="32">
        <f>IFERROR(_xlfn.XLOOKUP($B172,Raw_Data!$A$3:$A$273,Raw_Data!$Y$3:$Y$273),"")</f>
        <v>0.5</v>
      </c>
      <c r="S172" s="4" t="str" cm="1">
        <f t="array" ref="S172">_xlfn.LET(_xlpm.s, Raw_Data!W172,_xlpm.strat, _xlfn._xlws.FILTER(REF_Setup!$B$3:$B$40, REF_Setup!$B$3:$B$40&lt;&gt;""),IF(OR(_xlpm.s="",_xlpm.s=0),"Unclassified",IF(SUM(--ISNUMBER(SEARCH(_xlpm.strat, _xlpm.s)))&gt;0, "Y", "N"))
)</f>
        <v>N</v>
      </c>
      <c r="T172" s="4" t="str" cm="1">
        <f t="array" ref="T172">_xlfn.LET(_xlpm.s,M172,_xlpm.phil, _xlfn._xlws.FILTER(REF_Setup!$D$3:$D$5, REF_Setup!$D$3:$D$5&lt;&gt;""),IF(OR(_xlpm.s="", _xlpm.s=0),"Unclassified",IF(SUM(--ISNUMBER(SEARCH(_xlpm.phil, _xlpm.s)))&gt;0, "Y", "N")))</f>
        <v>N</v>
      </c>
      <c r="U172" s="4" t="str" cm="1">
        <f t="array" ref="U172">IF(M172="", "Unclassified", IF(AND(SUMPRODUCT(--ISNUMBER(SEARCH(REF_Setup!$B$3:$B$40,M172)))&gt;0,SUMPRODUCT(--ISNUMBER(SEARCH(REF_Setup!$F$3:$F$15,M172)))&gt;0),"Mixed",IF(SUMPRODUCT(--ISNUMBER(SEARCH(REF_Setup!$B$3:$B$40,M172)))&gt;0,"Strategic Only",IF(SUMPRODUCT(--ISNUMBER(SEARCH(REF_Setup!$F$3:$F$15,M172)))&gt;0,"VC Only","Unclassified"))))</f>
        <v>VC Only</v>
      </c>
    </row>
    <row r="173" spans="2:21" x14ac:dyDescent="0.35">
      <c r="B173" s="4">
        <f t="shared" si="8"/>
        <v>171</v>
      </c>
      <c r="C173" s="4" t="str">
        <f>IFERROR(_xlfn.XLOOKUP($B173,Raw_Data!$A$3:$A$273,Raw_Data!$B$3:$B$273),"")</f>
        <v>Pendulum Technologies</v>
      </c>
      <c r="D173" s="4" t="str">
        <f>IFERROR(_xlfn.XLOOKUP($B173,Raw_Data!$A$3:$A$273,Raw_Data!$C$3:$C$273),"")</f>
        <v>Columbus, IN</v>
      </c>
      <c r="E173" s="4">
        <f>IFERROR(_xlfn.XLOOKUP($B173,Raw_Data!$A$3:$A$273,Raw_Data!$D$3:$D$273),"")</f>
        <v>2021</v>
      </c>
      <c r="F173" s="4" t="str">
        <f>IFERROR(_xlfn.XLOOKUP($B173,Raw_Data!$A$3:$A$273,Raw_Data!$F$3:$F$273),"")</f>
        <v>Food &amp; Ag</v>
      </c>
      <c r="G173" s="35">
        <f>IFERROR(_xlfn.XLOOKUP($B173,Raw_Data!$A$3:$A$273,Raw_Data!$J$3:$J$273),"")</f>
        <v>44740</v>
      </c>
      <c r="H173" s="16" t="s">
        <v>1466</v>
      </c>
      <c r="I173" s="36">
        <f>IFERROR(_xlfn.XLOOKUP($B173,Raw_Data!$A$3:$A$273,Raw_Data!$I$3:$I$273),"")</f>
        <v>0.02</v>
      </c>
      <c r="J173" s="36">
        <f>IFERROR(_xlfn.XLOOKUP($B173,Raw_Data!$A$3:$A$273,Raw_Data!$L$3:$L$273),"")</f>
        <v>0.02</v>
      </c>
      <c r="K173" s="36">
        <f>IFERROR(_xlfn.XLOOKUP($B173,Raw_Data!$A$3:$A$273,Raw_Data!$M$3:$M$273),"")</f>
        <v>0</v>
      </c>
      <c r="L173" s="15">
        <f>IFERROR(_xlfn.XLOOKUP($B173,Raw_Data!$A$3:$A$273,Raw_Data!$Q$3:$Q$273),"")</f>
        <v>0</v>
      </c>
      <c r="M173" s="34" t="str">
        <f>IFERROR(_xlfn.XLOOKUP($B173,Raw_Data!$A$3:$A$273,Raw_Data!$R$3:$R$273),"")</f>
        <v>Elevate Ventures</v>
      </c>
      <c r="N173" s="16" cm="1">
        <f t="array" ref="N173">IF(M173="",0,COUNTA(_xlfn._xlws.FILTER(_xlfn.TEXTSPLIT(M173,";"), _xlfn.TEXTSPLIT(M173,";")&lt;&gt;"")))</f>
        <v>1</v>
      </c>
      <c r="O173" s="16" t="str">
        <f t="shared" si="6"/>
        <v>N</v>
      </c>
      <c r="P173" s="19">
        <f>IFERROR(_xlfn.XLOOKUP($B173,Raw_Data!$A$3:$A$273,Raw_Data!$V$3:$V$273),"")</f>
        <v>0</v>
      </c>
      <c r="Q173" s="16" t="str">
        <f t="shared" si="7"/>
        <v>Y</v>
      </c>
      <c r="R173" s="32">
        <f>IFERROR(_xlfn.XLOOKUP($B173,Raw_Data!$A$3:$A$273,Raw_Data!$Y$3:$Y$273),"")</f>
        <v>1</v>
      </c>
      <c r="S173" s="4" t="str" cm="1">
        <f t="array" ref="S173">_xlfn.LET(_xlpm.s, Raw_Data!W173,_xlpm.strat, _xlfn._xlws.FILTER(REF_Setup!$B$3:$B$40, REF_Setup!$B$3:$B$40&lt;&gt;""),IF(OR(_xlpm.s="",_xlpm.s=0),"Unclassified",IF(SUM(--ISNUMBER(SEARCH(_xlpm.strat, _xlpm.s)))&gt;0, "Y", "N"))
)</f>
        <v>N</v>
      </c>
      <c r="T173" s="4" t="str" cm="1">
        <f t="array" ref="T173">_xlfn.LET(_xlpm.s,M173,_xlpm.phil, _xlfn._xlws.FILTER(REF_Setup!$D$3:$D$5, REF_Setup!$D$3:$D$5&lt;&gt;""),IF(OR(_xlpm.s="", _xlpm.s=0),"Unclassified",IF(SUM(--ISNUMBER(SEARCH(_xlpm.phil, _xlpm.s)))&gt;0, "Y", "N")))</f>
        <v>N</v>
      </c>
      <c r="U173" s="4" t="str" cm="1">
        <f t="array" ref="U173">IF(M173="", "Unclassified", IF(AND(SUMPRODUCT(--ISNUMBER(SEARCH(REF_Setup!$B$3:$B$40,M173)))&gt;0,SUMPRODUCT(--ISNUMBER(SEARCH(REF_Setup!$F$3:$F$15,M173)))&gt;0),"Mixed",IF(SUMPRODUCT(--ISNUMBER(SEARCH(REF_Setup!$B$3:$B$40,M173)))&gt;0,"Strategic Only",IF(SUMPRODUCT(--ISNUMBER(SEARCH(REF_Setup!$F$3:$F$15,M173)))&gt;0,"VC Only","Unclassified"))))</f>
        <v>VC Only</v>
      </c>
    </row>
    <row r="174" spans="2:21" ht="29" x14ac:dyDescent="0.35">
      <c r="B174" s="4">
        <f t="shared" si="8"/>
        <v>172</v>
      </c>
      <c r="C174" s="4" t="str">
        <f>IFERROR(_xlfn.XLOOKUP($B174,Raw_Data!$A$3:$A$273,Raw_Data!$B$3:$B$273),"")</f>
        <v>Perfect Day</v>
      </c>
      <c r="D174" s="4" t="str">
        <f>IFERROR(_xlfn.XLOOKUP($B174,Raw_Data!$A$3:$A$273,Raw_Data!$C$3:$C$273),"")</f>
        <v>Berkeley, CA</v>
      </c>
      <c r="E174" s="4">
        <f>IFERROR(_xlfn.XLOOKUP($B174,Raw_Data!$A$3:$A$273,Raw_Data!$D$3:$D$273),"")</f>
        <v>2014</v>
      </c>
      <c r="F174" s="4" t="str">
        <f>IFERROR(_xlfn.XLOOKUP($B174,Raw_Data!$A$3:$A$273,Raw_Data!$F$3:$F$273),"")</f>
        <v>Food &amp; Ag</v>
      </c>
      <c r="G174" s="35">
        <f>IFERROR(_xlfn.XLOOKUP($B174,Raw_Data!$A$3:$A$273,Raw_Data!$J$3:$J$273),"")</f>
        <v>43158</v>
      </c>
      <c r="H174" s="16" t="s">
        <v>1465</v>
      </c>
      <c r="I174" s="36">
        <f>IFERROR(_xlfn.XLOOKUP($B174,Raw_Data!$A$3:$A$273,Raw_Data!$I$3:$I$273),"")</f>
        <v>26.79</v>
      </c>
      <c r="J174" s="36">
        <f>IFERROR(_xlfn.XLOOKUP($B174,Raw_Data!$A$3:$A$273,Raw_Data!$L$3:$L$273),"")</f>
        <v>20.5</v>
      </c>
      <c r="K174" s="36">
        <f>IFERROR(_xlfn.XLOOKUP($B174,Raw_Data!$A$3:$A$273,Raw_Data!$M$3:$M$273),"")</f>
        <v>65.5</v>
      </c>
      <c r="L174" s="15">
        <f>IFERROR(_xlfn.XLOOKUP($B174,Raw_Data!$A$3:$A$273,Raw_Data!$Q$3:$Q$273),"")</f>
        <v>0</v>
      </c>
      <c r="M174" s="34" t="str">
        <f>IFERROR(_xlfn.XLOOKUP($B174,Raw_Data!$A$3:$A$273,Raw_Data!$R$3:$R$273),"")</f>
        <v>Conti Ventures; Five Seasons Ventures; Horizons Ventures; ICONIQ Growth; Lion Ventures; Temasek Holdings; Verus International</v>
      </c>
      <c r="N174" s="16" cm="1">
        <f t="array" ref="N174">IF(M174="",0,COUNTA(_xlfn._xlws.FILTER(_xlfn.TEXTSPLIT(M174,";"), _xlfn.TEXTSPLIT(M174,";")&lt;&gt;"")))</f>
        <v>7</v>
      </c>
      <c r="O174" s="16" t="str">
        <f t="shared" si="6"/>
        <v>Y</v>
      </c>
      <c r="P174" s="19">
        <f>IFERROR(_xlfn.XLOOKUP($B174,Raw_Data!$A$3:$A$273,Raw_Data!$V$3:$V$273),"")</f>
        <v>0.14285714285714285</v>
      </c>
      <c r="Q174" s="16" t="str">
        <f t="shared" si="7"/>
        <v>Y</v>
      </c>
      <c r="R174" s="32">
        <f>IFERROR(_xlfn.XLOOKUP($B174,Raw_Data!$A$3:$A$273,Raw_Data!$Y$3:$Y$273),"")</f>
        <v>0.8571428571428571</v>
      </c>
      <c r="S174" s="4" t="str" cm="1">
        <f t="array" ref="S174">_xlfn.LET(_xlpm.s, Raw_Data!W174,_xlpm.strat, _xlfn._xlws.FILTER(REF_Setup!$B$3:$B$40, REF_Setup!$B$3:$B$40&lt;&gt;""),IF(OR(_xlpm.s="",_xlpm.s=0),"Unclassified",IF(SUM(--ISNUMBER(SEARCH(_xlpm.strat, _xlpm.s)))&gt;0, "Y", "N"))
)</f>
        <v>N</v>
      </c>
      <c r="T174" s="4" t="str" cm="1">
        <f t="array" ref="T174">_xlfn.LET(_xlpm.s,M174,_xlpm.phil, _xlfn._xlws.FILTER(REF_Setup!$D$3:$D$5, REF_Setup!$D$3:$D$5&lt;&gt;""),IF(OR(_xlpm.s="", _xlpm.s=0),"Unclassified",IF(SUM(--ISNUMBER(SEARCH(_xlpm.phil, _xlpm.s)))&gt;0, "Y", "N")))</f>
        <v>N</v>
      </c>
      <c r="U174" s="4" t="str" cm="1">
        <f t="array" ref="U174">IF(M174="", "Unclassified", IF(AND(SUMPRODUCT(--ISNUMBER(SEARCH(REF_Setup!$B$3:$B$40,M174)))&gt;0,SUMPRODUCT(--ISNUMBER(SEARCH(REF_Setup!$F$3:$F$15,M174)))&gt;0),"Mixed",IF(SUMPRODUCT(--ISNUMBER(SEARCH(REF_Setup!$B$3:$B$40,M174)))&gt;0,"Strategic Only",IF(SUMPRODUCT(--ISNUMBER(SEARCH(REF_Setup!$F$3:$F$15,M174)))&gt;0,"VC Only","Unclassified"))))</f>
        <v>VC Only</v>
      </c>
    </row>
    <row r="175" spans="2:21" x14ac:dyDescent="0.35">
      <c r="B175" s="4">
        <f t="shared" si="8"/>
        <v>173</v>
      </c>
      <c r="C175" s="4" t="str">
        <f>IFERROR(_xlfn.XLOOKUP($B175,Raw_Data!$A$3:$A$273,Raw_Data!$B$3:$B$273),"")</f>
        <v>Perfect Day</v>
      </c>
      <c r="D175" s="4" t="str">
        <f>IFERROR(_xlfn.XLOOKUP($B175,Raw_Data!$A$3:$A$273,Raw_Data!$C$3:$C$273),"")</f>
        <v>Berkeley, CA</v>
      </c>
      <c r="E175" s="4">
        <f>IFERROR(_xlfn.XLOOKUP($B175,Raw_Data!$A$3:$A$273,Raw_Data!$D$3:$D$273),"")</f>
        <v>2014</v>
      </c>
      <c r="F175" s="4" t="str">
        <f>IFERROR(_xlfn.XLOOKUP($B175,Raw_Data!$A$3:$A$273,Raw_Data!$F$3:$F$273),"")</f>
        <v>Food &amp; Ag</v>
      </c>
      <c r="G175" s="35">
        <f>IFERROR(_xlfn.XLOOKUP($B175,Raw_Data!$A$3:$A$273,Raw_Data!$J$3:$J$273),"")</f>
        <v>42415</v>
      </c>
      <c r="H175" s="16" t="s">
        <v>1465</v>
      </c>
      <c r="I175" s="36">
        <f>IFERROR(_xlfn.XLOOKUP($B175,Raw_Data!$A$3:$A$273,Raw_Data!$I$3:$I$273),"")</f>
        <v>6.29</v>
      </c>
      <c r="J175" s="36">
        <f>IFERROR(_xlfn.XLOOKUP($B175,Raw_Data!$A$3:$A$273,Raw_Data!$L$3:$L$273),"")</f>
        <v>4.2</v>
      </c>
      <c r="K175" s="36">
        <f>IFERROR(_xlfn.XLOOKUP($B175,Raw_Data!$A$3:$A$273,Raw_Data!$M$3:$M$273),"")</f>
        <v>19.2</v>
      </c>
      <c r="L175" s="15">
        <f>IFERROR(_xlfn.XLOOKUP($B175,Raw_Data!$A$3:$A$273,Raw_Data!$Q$3:$Q$273),"")</f>
        <v>0</v>
      </c>
      <c r="M175" s="34" t="str">
        <f>IFERROR(_xlfn.XLOOKUP($B175,Raw_Data!$A$3:$A$273,Raw_Data!$R$3:$R$273),"")</f>
        <v xml:space="preserve">B37 Ventures; Horizons Ventures; Sonny Vu </v>
      </c>
      <c r="N175" s="16" cm="1">
        <f t="array" ref="N175">IF(M175="",0,COUNTA(_xlfn._xlws.FILTER(_xlfn.TEXTSPLIT(M175,";"), _xlfn.TEXTSPLIT(M175,";")&lt;&gt;"")))</f>
        <v>3</v>
      </c>
      <c r="O175" s="16" t="str">
        <f t="shared" si="6"/>
        <v>Y</v>
      </c>
      <c r="P175" s="19">
        <f>IFERROR(_xlfn.XLOOKUP($B175,Raw_Data!$A$3:$A$273,Raw_Data!$V$3:$V$273),"")</f>
        <v>0.33333333333333331</v>
      </c>
      <c r="Q175" s="16" t="str">
        <f t="shared" si="7"/>
        <v>Y</v>
      </c>
      <c r="R175" s="32">
        <f>IFERROR(_xlfn.XLOOKUP($B175,Raw_Data!$A$3:$A$273,Raw_Data!$Y$3:$Y$273),"")</f>
        <v>0.66666666666666663</v>
      </c>
      <c r="S175" s="4" t="str" cm="1">
        <f t="array" ref="S175">_xlfn.LET(_xlpm.s, Raw_Data!W175,_xlpm.strat, _xlfn._xlws.FILTER(REF_Setup!$B$3:$B$40, REF_Setup!$B$3:$B$40&lt;&gt;""),IF(OR(_xlpm.s="",_xlpm.s=0),"Unclassified",IF(SUM(--ISNUMBER(SEARCH(_xlpm.strat, _xlpm.s)))&gt;0, "Y", "N"))
)</f>
        <v>N</v>
      </c>
      <c r="T175" s="4" t="str" cm="1">
        <f t="array" ref="T175">_xlfn.LET(_xlpm.s,M175,_xlpm.phil, _xlfn._xlws.FILTER(REF_Setup!$D$3:$D$5, REF_Setup!$D$3:$D$5&lt;&gt;""),IF(OR(_xlpm.s="", _xlpm.s=0),"Unclassified",IF(SUM(--ISNUMBER(SEARCH(_xlpm.phil, _xlpm.s)))&gt;0, "Y", "N")))</f>
        <v>N</v>
      </c>
      <c r="U175" s="4" t="str" cm="1">
        <f t="array" ref="U175">IF(M175="", "Unclassified", IF(AND(SUMPRODUCT(--ISNUMBER(SEARCH(REF_Setup!$B$3:$B$40,M175)))&gt;0,SUMPRODUCT(--ISNUMBER(SEARCH(REF_Setup!$F$3:$F$15,M175)))&gt;0),"Mixed",IF(SUMPRODUCT(--ISNUMBER(SEARCH(REF_Setup!$B$3:$B$40,M175)))&gt;0,"Strategic Only",IF(SUMPRODUCT(--ISNUMBER(SEARCH(REF_Setup!$F$3:$F$15,M175)))&gt;0,"VC Only","Unclassified"))))</f>
        <v>VC Only</v>
      </c>
    </row>
    <row r="176" spans="2:21" x14ac:dyDescent="0.35">
      <c r="B176" s="4">
        <f t="shared" si="8"/>
        <v>174</v>
      </c>
      <c r="C176" s="4" t="str">
        <f>IFERROR(_xlfn.XLOOKUP($B176,Raw_Data!$A$3:$A$273,Raw_Data!$B$3:$B$273),"")</f>
        <v>Phase Change Solutions</v>
      </c>
      <c r="D176" s="4" t="str">
        <f>IFERROR(_xlfn.XLOOKUP($B176,Raw_Data!$A$3:$A$273,Raw_Data!$C$3:$C$273),"")</f>
        <v>Asheboro, NC</v>
      </c>
      <c r="E176" s="4" t="str">
        <f>IFERROR(_xlfn.XLOOKUP($B176,Raw_Data!$A$3:$A$273,Raw_Data!$D$3:$D$273),"")</f>
        <v>20/1</v>
      </c>
      <c r="F176" s="4" t="str">
        <f>IFERROR(_xlfn.XLOOKUP($B176,Raw_Data!$A$3:$A$273,Raw_Data!$F$3:$F$273),"")</f>
        <v>LDES</v>
      </c>
      <c r="G176" s="35">
        <f>IFERROR(_xlfn.XLOOKUP($B176,Raw_Data!$A$3:$A$273,Raw_Data!$J$3:$J$273),"")</f>
        <v>43487</v>
      </c>
      <c r="H176" s="4" t="s">
        <v>75</v>
      </c>
      <c r="I176" s="36">
        <f>IFERROR(_xlfn.XLOOKUP($B176,Raw_Data!$A$3:$A$273,Raw_Data!$I$3:$I$273),"")</f>
        <v>27.5</v>
      </c>
      <c r="J176" s="36">
        <f>IFERROR(_xlfn.XLOOKUP($B176,Raw_Data!$A$3:$A$273,Raw_Data!$L$3:$L$273),"")</f>
        <v>0</v>
      </c>
      <c r="K176" s="36">
        <f>IFERROR(_xlfn.XLOOKUP($B176,Raw_Data!$A$3:$A$273,Raw_Data!$M$3:$M$273),"")</f>
        <v>0</v>
      </c>
      <c r="L176" s="15" t="str">
        <f>IFERROR(_xlfn.XLOOKUP($B176,Raw_Data!$A$3:$A$273,Raw_Data!$Q$3:$Q$273),"")</f>
        <v>N/A</v>
      </c>
      <c r="M176" s="34" t="str">
        <f>IFERROR(_xlfn.XLOOKUP($B176,Raw_Data!$A$3:$A$273,Raw_Data!$R$3:$R$273),"")</f>
        <v>Emerald Technology Ventures; Pegasus Capital Advisors; Third Prime</v>
      </c>
      <c r="N176" s="16" cm="1">
        <f t="array" ref="N176">IF(M176="",0,COUNTA(_xlfn._xlws.FILTER(_xlfn.TEXTSPLIT(M176,";"), _xlfn.TEXTSPLIT(M176,";")&lt;&gt;"")))</f>
        <v>3</v>
      </c>
      <c r="O176" s="16" t="str">
        <f t="shared" si="6"/>
        <v>N</v>
      </c>
      <c r="P176" s="19">
        <f>IFERROR(_xlfn.XLOOKUP($B176,Raw_Data!$A$3:$A$273,Raw_Data!$V$3:$V$273),"")</f>
        <v>0</v>
      </c>
      <c r="Q176" s="16" t="str">
        <f t="shared" si="7"/>
        <v>Y</v>
      </c>
      <c r="R176" s="32">
        <f>IFERROR(_xlfn.XLOOKUP($B176,Raw_Data!$A$3:$A$273,Raw_Data!$Y$3:$Y$273),"")</f>
        <v>1</v>
      </c>
      <c r="S176" s="4" t="str" cm="1">
        <f t="array" ref="S176">_xlfn.LET(_xlpm.s, Raw_Data!W176,_xlpm.strat, _xlfn._xlws.FILTER(REF_Setup!$B$3:$B$40, REF_Setup!$B$3:$B$40&lt;&gt;""),IF(OR(_xlpm.s="",_xlpm.s=0),"Unclassified",IF(SUM(--ISNUMBER(SEARCH(_xlpm.strat, _xlpm.s)))&gt;0, "Y", "N"))
)</f>
        <v>N</v>
      </c>
      <c r="T176" s="4" t="str" cm="1">
        <f t="array" ref="T176">_xlfn.LET(_xlpm.s,M176,_xlpm.phil, _xlfn._xlws.FILTER(REF_Setup!$D$3:$D$5, REF_Setup!$D$3:$D$5&lt;&gt;""),IF(OR(_xlpm.s="", _xlpm.s=0),"Unclassified",IF(SUM(--ISNUMBER(SEARCH(_xlpm.phil, _xlpm.s)))&gt;0, "Y", "N")))</f>
        <v>N</v>
      </c>
      <c r="U176" s="4" t="str" cm="1">
        <f t="array" ref="U176">IF(M176="", "Unclassified", IF(AND(SUMPRODUCT(--ISNUMBER(SEARCH(REF_Setup!$B$3:$B$40,M176)))&gt;0,SUMPRODUCT(--ISNUMBER(SEARCH(REF_Setup!$F$3:$F$15,M176)))&gt;0),"Mixed",IF(SUMPRODUCT(--ISNUMBER(SEARCH(REF_Setup!$B$3:$B$40,M176)))&gt;0,"Strategic Only",IF(SUMPRODUCT(--ISNUMBER(SEARCH(REF_Setup!$F$3:$F$15,M176)))&gt;0,"VC Only","Unclassified"))))</f>
        <v>VC Only</v>
      </c>
    </row>
    <row r="177" spans="2:21" x14ac:dyDescent="0.35">
      <c r="B177" s="4">
        <f t="shared" si="8"/>
        <v>175</v>
      </c>
      <c r="C177" s="4" t="str">
        <f>IFERROR(_xlfn.XLOOKUP($B177,Raw_Data!$A$3:$A$273,Raw_Data!$B$3:$B$273),"")</f>
        <v>Phase Change Solutions</v>
      </c>
      <c r="D177" s="4" t="str">
        <f>IFERROR(_xlfn.XLOOKUP($B177,Raw_Data!$A$3:$A$273,Raw_Data!$C$3:$C$273),"")</f>
        <v>Asheboro, NC</v>
      </c>
      <c r="E177" s="4">
        <f>IFERROR(_xlfn.XLOOKUP($B177,Raw_Data!$A$3:$A$273,Raw_Data!$D$3:$D$273),"")</f>
        <v>2011</v>
      </c>
      <c r="F177" s="4" t="str">
        <f>IFERROR(_xlfn.XLOOKUP($B177,Raw_Data!$A$3:$A$273,Raw_Data!$F$3:$F$273),"")</f>
        <v>LDES</v>
      </c>
      <c r="G177" s="35">
        <f>IFERROR(_xlfn.XLOOKUP($B177,Raw_Data!$A$3:$A$273,Raw_Data!$J$3:$J$273),"")</f>
        <v>43845</v>
      </c>
      <c r="H177" s="4" t="s">
        <v>75</v>
      </c>
      <c r="I177" s="36">
        <f>IFERROR(_xlfn.XLOOKUP($B177,Raw_Data!$A$3:$A$273,Raw_Data!$I$3:$I$273),"")</f>
        <v>27.5</v>
      </c>
      <c r="J177" s="36">
        <f>IFERROR(_xlfn.XLOOKUP($B177,Raw_Data!$A$3:$A$273,Raw_Data!$L$3:$L$273),"")</f>
        <v>0</v>
      </c>
      <c r="K177" s="36">
        <f>IFERROR(_xlfn.XLOOKUP($B177,Raw_Data!$A$3:$A$273,Raw_Data!$M$3:$M$273),"")</f>
        <v>0</v>
      </c>
      <c r="L177" s="15" t="str">
        <f>IFERROR(_xlfn.XLOOKUP($B177,Raw_Data!$A$3:$A$273,Raw_Data!$Q$3:$Q$273),"")</f>
        <v>N/A</v>
      </c>
      <c r="M177" s="34" t="str">
        <f>IFERROR(_xlfn.XLOOKUP($B177,Raw_Data!$A$3:$A$273,Raw_Data!$R$3:$R$273),"")</f>
        <v>Decathlon Capital Partners; Nexter Ventures</v>
      </c>
      <c r="N177" s="16" cm="1">
        <f t="array" ref="N177">IF(M177="",0,COUNTA(_xlfn._xlws.FILTER(_xlfn.TEXTSPLIT(M177,";"), _xlfn.TEXTSPLIT(M177,";")&lt;&gt;"")))</f>
        <v>2</v>
      </c>
      <c r="O177" s="16" t="str">
        <f t="shared" si="6"/>
        <v>N</v>
      </c>
      <c r="P177" s="19">
        <f>IFERROR(_xlfn.XLOOKUP($B177,Raw_Data!$A$3:$A$273,Raw_Data!$V$3:$V$273),"")</f>
        <v>0</v>
      </c>
      <c r="Q177" s="16" t="str">
        <f t="shared" si="7"/>
        <v>Y</v>
      </c>
      <c r="R177" s="32">
        <f>IFERROR(_xlfn.XLOOKUP($B177,Raw_Data!$A$3:$A$273,Raw_Data!$Y$3:$Y$273),"")</f>
        <v>1</v>
      </c>
      <c r="S177" s="4" t="str" cm="1">
        <f t="array" ref="S177">_xlfn.LET(_xlpm.s, Raw_Data!W177,_xlpm.strat, _xlfn._xlws.FILTER(REF_Setup!$B$3:$B$40, REF_Setup!$B$3:$B$40&lt;&gt;""),IF(OR(_xlpm.s="",_xlpm.s=0),"Unclassified",IF(SUM(--ISNUMBER(SEARCH(_xlpm.strat, _xlpm.s)))&gt;0, "Y", "N"))
)</f>
        <v>N</v>
      </c>
      <c r="T177" s="4" t="str" cm="1">
        <f t="array" ref="T177">_xlfn.LET(_xlpm.s,M177,_xlpm.phil, _xlfn._xlws.FILTER(REF_Setup!$D$3:$D$5, REF_Setup!$D$3:$D$5&lt;&gt;""),IF(OR(_xlpm.s="", _xlpm.s=0),"Unclassified",IF(SUM(--ISNUMBER(SEARCH(_xlpm.phil, _xlpm.s)))&gt;0, "Y", "N")))</f>
        <v>N</v>
      </c>
      <c r="U177" s="4" t="str" cm="1">
        <f t="array" ref="U177">IF(M177="", "Unclassified", IF(AND(SUMPRODUCT(--ISNUMBER(SEARCH(REF_Setup!$B$3:$B$40,M177)))&gt;0,SUMPRODUCT(--ISNUMBER(SEARCH(REF_Setup!$F$3:$F$15,M177)))&gt;0),"Mixed",IF(SUMPRODUCT(--ISNUMBER(SEARCH(REF_Setup!$B$3:$B$40,M177)))&gt;0,"Strategic Only",IF(SUMPRODUCT(--ISNUMBER(SEARCH(REF_Setup!$F$3:$F$15,M177)))&gt;0,"VC Only","Unclassified"))))</f>
        <v>VC Only</v>
      </c>
    </row>
    <row r="178" spans="2:21" x14ac:dyDescent="0.35">
      <c r="B178" s="4">
        <f t="shared" si="8"/>
        <v>176</v>
      </c>
      <c r="C178" s="4" t="str">
        <f>IFERROR(_xlfn.XLOOKUP($B178,Raw_Data!$A$3:$A$273,Raw_Data!$B$3:$B$273),"")</f>
        <v>Phoam Labs</v>
      </c>
      <c r="D178" s="4" t="str">
        <f>IFERROR(_xlfn.XLOOKUP($B178,Raw_Data!$A$3:$A$273,Raw_Data!$C$3:$C$273),"")</f>
        <v>Eden Prairie, MN</v>
      </c>
      <c r="E178" s="4">
        <f>IFERROR(_xlfn.XLOOKUP($B178,Raw_Data!$A$3:$A$273,Raw_Data!$D$3:$D$273),"")</f>
        <v>2016</v>
      </c>
      <c r="F178" s="4" t="str">
        <f>IFERROR(_xlfn.XLOOKUP($B178,Raw_Data!$A$3:$A$273,Raw_Data!$F$3:$F$273),"")</f>
        <v>Buildings</v>
      </c>
      <c r="G178" s="35">
        <f>IFERROR(_xlfn.XLOOKUP($B178,Raw_Data!$A$3:$A$273,Raw_Data!$J$3:$J$273),"")</f>
        <v>44987</v>
      </c>
      <c r="I178" s="36">
        <f>IFERROR(_xlfn.XLOOKUP($B178,Raw_Data!$A$3:$A$273,Raw_Data!$I$3:$I$273),"")</f>
        <v>4.5</v>
      </c>
      <c r="J178" s="36">
        <f>IFERROR(_xlfn.XLOOKUP($B178,Raw_Data!$A$3:$A$273,Raw_Data!$L$3:$L$273),"")</f>
        <v>4.5</v>
      </c>
      <c r="K178" s="36">
        <f>IFERROR(_xlfn.XLOOKUP($B178,Raw_Data!$A$3:$A$273,Raw_Data!$M$3:$M$273),"")</f>
        <v>67.5</v>
      </c>
      <c r="L178" s="15">
        <f>IFERROR(_xlfn.XLOOKUP($B178,Raw_Data!$A$3:$A$273,Raw_Data!$Q$3:$Q$273),"")</f>
        <v>0</v>
      </c>
      <c r="M178" s="34"/>
      <c r="N178" s="16" cm="1">
        <f t="array" ref="N178">IF(M178="",0,COUNTA(_xlfn._xlws.FILTER(_xlfn.TEXTSPLIT(M178,";"), _xlfn.TEXTSPLIT(M178,";")&lt;&gt;"")))</f>
        <v>0</v>
      </c>
      <c r="O178" s="16" t="str">
        <f t="shared" si="6"/>
        <v>Y</v>
      </c>
      <c r="P178" s="19" t="str">
        <f>IFERROR(_xlfn.XLOOKUP($B178,Raw_Data!$A$3:$A$273,Raw_Data!$V$3:$V$273),"")</f>
        <v>N/A</v>
      </c>
      <c r="Q178" s="16" t="str">
        <f t="shared" si="7"/>
        <v>Y</v>
      </c>
      <c r="R178" s="32" t="str">
        <f>IFERROR(_xlfn.XLOOKUP($B178,Raw_Data!$A$3:$A$273,Raw_Data!$Y$3:$Y$273),"")</f>
        <v>N/A</v>
      </c>
      <c r="S178" s="4" t="str" cm="1">
        <f t="array" ref="S178">_xlfn.LET(_xlpm.s, Raw_Data!W178,_xlpm.strat, _xlfn._xlws.FILTER(REF_Setup!$B$3:$B$40, REF_Setup!$B$3:$B$40&lt;&gt;""),IF(OR(_xlpm.s="",_xlpm.s=0),"Unclassified",IF(SUM(--ISNUMBER(SEARCH(_xlpm.strat, _xlpm.s)))&gt;0, "Y", "N"))
)</f>
        <v>Unclassified</v>
      </c>
      <c r="T178" s="4" t="str" cm="1">
        <f t="array" ref="T178">_xlfn.LET(_xlpm.s,M178,_xlpm.phil, _xlfn._xlws.FILTER(REF_Setup!$D$3:$D$5, REF_Setup!$D$3:$D$5&lt;&gt;""),IF(OR(_xlpm.s="", _xlpm.s=0),"Unclassified",IF(SUM(--ISNUMBER(SEARCH(_xlpm.phil, _xlpm.s)))&gt;0, "Y", "N")))</f>
        <v>Unclassified</v>
      </c>
      <c r="U178" s="4" t="str" cm="1">
        <f t="array" ref="U178">IF(M178="", "Unclassified", IF(AND(SUMPRODUCT(--ISNUMBER(SEARCH(REF_Setup!$B$3:$B$40,M178)))&gt;0,SUMPRODUCT(--ISNUMBER(SEARCH(REF_Setup!$F$3:$F$15,M178)))&gt;0),"Mixed",IF(SUMPRODUCT(--ISNUMBER(SEARCH(REF_Setup!$B$3:$B$40,M178)))&gt;0,"Strategic Only",IF(SUMPRODUCT(--ISNUMBER(SEARCH(REF_Setup!$F$3:$F$15,M178)))&gt;0,"VC Only","Unclassified"))))</f>
        <v>Unclassified</v>
      </c>
    </row>
    <row r="179" spans="2:21" ht="43.5" x14ac:dyDescent="0.35">
      <c r="B179" s="4">
        <f t="shared" si="8"/>
        <v>177</v>
      </c>
      <c r="C179" s="4" t="str">
        <f>IFERROR(_xlfn.XLOOKUP($B179,Raw_Data!$A$3:$A$273,Raw_Data!$B$3:$B$273),"")</f>
        <v>Phoenix Hydrogen</v>
      </c>
      <c r="D179" s="4" t="str">
        <f>IFERROR(_xlfn.XLOOKUP($B179,Raw_Data!$A$3:$A$273,Raw_Data!$C$3:$C$273),"")</f>
        <v>Los Angeles, CA</v>
      </c>
      <c r="E179" s="4">
        <f>IFERROR(_xlfn.XLOOKUP($B179,Raw_Data!$A$3:$A$273,Raw_Data!$D$3:$D$273),"")</f>
        <v>2020</v>
      </c>
      <c r="F179" s="4" t="str">
        <f>IFERROR(_xlfn.XLOOKUP($B179,Raw_Data!$A$3:$A$273,Raw_Data!$F$3:$F$273),"")</f>
        <v>Hydrogen</v>
      </c>
      <c r="G179" s="35">
        <f>IFERROR(_xlfn.XLOOKUP($B179,Raw_Data!$A$3:$A$273,Raw_Data!$J$3:$J$273),"")</f>
        <v>44986</v>
      </c>
      <c r="H179" s="16" t="s">
        <v>1466</v>
      </c>
      <c r="I179" s="36">
        <f>IFERROR(_xlfn.XLOOKUP($B179,Raw_Data!$A$3:$A$273,Raw_Data!$I$3:$I$273),"")</f>
        <v>2.5</v>
      </c>
      <c r="J179" s="36">
        <f>IFERROR(_xlfn.XLOOKUP($B179,Raw_Data!$A$3:$A$273,Raw_Data!$L$3:$L$273),"")</f>
        <v>2</v>
      </c>
      <c r="K179" s="36">
        <f>IFERROR(_xlfn.XLOOKUP($B179,Raw_Data!$A$3:$A$273,Raw_Data!$M$3:$M$273),"")</f>
        <v>15</v>
      </c>
      <c r="L179" s="15">
        <f>IFERROR(_xlfn.XLOOKUP($B179,Raw_Data!$A$3:$A$273,Raw_Data!$Q$3:$Q$273),"")</f>
        <v>0</v>
      </c>
      <c r="M179" s="34" t="str">
        <f>IFERROR(_xlfn.XLOOKUP($B179,Raw_Data!$A$3:$A$273,Raw_Data!$R$3:$R$273),"")</f>
        <v>Asymmetry Ventures; Climate Capital; Collaborative Fund; Ecosphere Ventures; Leap Forward Ventures; Liquid 2 Ventures; Shared Future Fund; Soma Capital; Y Combinator</v>
      </c>
      <c r="N179" s="16" cm="1">
        <f t="array" ref="N179">IF(M179="",0,COUNTA(_xlfn._xlws.FILTER(_xlfn.TEXTSPLIT(M179,";"), _xlfn.TEXTSPLIT(M179,";")&lt;&gt;"")))</f>
        <v>9</v>
      </c>
      <c r="O179" s="16" t="str">
        <f t="shared" si="6"/>
        <v>Y</v>
      </c>
      <c r="P179" s="19">
        <f>IFERROR(_xlfn.XLOOKUP($B179,Raw_Data!$A$3:$A$273,Raw_Data!$V$3:$V$273),"")</f>
        <v>0.1111111111111111</v>
      </c>
      <c r="Q179" s="16" t="str">
        <f t="shared" si="7"/>
        <v>Y</v>
      </c>
      <c r="R179" s="32">
        <f>IFERROR(_xlfn.XLOOKUP($B179,Raw_Data!$A$3:$A$273,Raw_Data!$Y$3:$Y$273),"")</f>
        <v>0.88888888888888884</v>
      </c>
      <c r="S179" s="4" t="str" cm="1">
        <f t="array" ref="S179">_xlfn.LET(_xlpm.s, Raw_Data!W179,_xlpm.strat, _xlfn._xlws.FILTER(REF_Setup!$B$3:$B$40, REF_Setup!$B$3:$B$40&lt;&gt;""),IF(OR(_xlpm.s="",_xlpm.s=0),"Unclassified",IF(SUM(--ISNUMBER(SEARCH(_xlpm.strat, _xlpm.s)))&gt;0, "Y", "N"))
)</f>
        <v>N</v>
      </c>
      <c r="T179" s="4" t="str" cm="1">
        <f t="array" ref="T179">_xlfn.LET(_xlpm.s,M179,_xlpm.phil, _xlfn._xlws.FILTER(REF_Setup!$D$3:$D$5, REF_Setup!$D$3:$D$5&lt;&gt;""),IF(OR(_xlpm.s="", _xlpm.s=0),"Unclassified",IF(SUM(--ISNUMBER(SEARCH(_xlpm.phil, _xlpm.s)))&gt;0, "Y", "N")))</f>
        <v>N</v>
      </c>
      <c r="U179" s="4" t="str" cm="1">
        <f t="array" ref="U179">IF(M179="", "Unclassified", IF(AND(SUMPRODUCT(--ISNUMBER(SEARCH(REF_Setup!$B$3:$B$40,M179)))&gt;0,SUMPRODUCT(--ISNUMBER(SEARCH(REF_Setup!$F$3:$F$15,M179)))&gt;0),"Mixed",IF(SUMPRODUCT(--ISNUMBER(SEARCH(REF_Setup!$B$3:$B$40,M179)))&gt;0,"Strategic Only",IF(SUMPRODUCT(--ISNUMBER(SEARCH(REF_Setup!$F$3:$F$15,M179)))&gt;0,"VC Only","Unclassified"))))</f>
        <v>VC Only</v>
      </c>
    </row>
    <row r="180" spans="2:21" ht="43.5" x14ac:dyDescent="0.35">
      <c r="B180" s="4">
        <f t="shared" si="8"/>
        <v>178</v>
      </c>
      <c r="C180" s="4" t="str">
        <f>IFERROR(_xlfn.XLOOKUP($B180,Raw_Data!$A$3:$A$273,Raw_Data!$B$3:$B$273),"")</f>
        <v>Phospholutions</v>
      </c>
      <c r="D180" s="4" t="str">
        <f>IFERROR(_xlfn.XLOOKUP($B180,Raw_Data!$A$3:$A$273,Raw_Data!$C$3:$C$273),"")</f>
        <v>PA</v>
      </c>
      <c r="E180" s="4">
        <f>IFERROR(_xlfn.XLOOKUP($B180,Raw_Data!$A$3:$A$273,Raw_Data!$D$3:$D$273),"")</f>
        <v>2016</v>
      </c>
      <c r="F180" s="4" t="str">
        <f>IFERROR(_xlfn.XLOOKUP($B180,Raw_Data!$A$3:$A$273,Raw_Data!$F$3:$F$273),"")</f>
        <v>Food &amp; Ag</v>
      </c>
      <c r="G180" s="35">
        <f>IFERROR(_xlfn.XLOOKUP($B180,Raw_Data!$A$3:$A$273,Raw_Data!$J$3:$J$273),"")</f>
        <v>45178</v>
      </c>
      <c r="H180" s="16" t="s">
        <v>1467</v>
      </c>
      <c r="I180" s="36">
        <f>IFERROR(_xlfn.XLOOKUP($B180,Raw_Data!$A$3:$A$273,Raw_Data!$I$3:$I$273),"")</f>
        <v>26.47</v>
      </c>
      <c r="J180" s="36">
        <f>IFERROR(_xlfn.XLOOKUP($B180,Raw_Data!$A$3:$A$273,Raw_Data!$L$3:$L$273),"")</f>
        <v>14.65</v>
      </c>
      <c r="K180" s="36">
        <f>IFERROR(_xlfn.XLOOKUP($B180,Raw_Data!$A$3:$A$273,Raw_Data!$M$3:$M$273),"")</f>
        <v>90</v>
      </c>
      <c r="L180" s="15">
        <f>IFERROR(_xlfn.XLOOKUP($B180,Raw_Data!$A$3:$A$273,Raw_Data!$Q$3:$Q$273),"")</f>
        <v>0</v>
      </c>
      <c r="M180" s="34" t="str">
        <f>IFERROR(_xlfn.XLOOKUP($B180,Raw_Data!$A$3:$A$273,Raw_Data!$R$3:$R$273),"")</f>
        <v>Advantage Capital; Ben Franklin Technology Partners of Central and Northern Pennsylvania; Bunge Ventures; Conti Ventures; H/L Ventures; Keytrade; Maumee Ventures; Ospraie Ag Science; Tekfen Ventures; UPL</v>
      </c>
      <c r="N180" s="16" cm="1">
        <f t="array" ref="N180">IF(M180="",0,COUNTA(_xlfn._xlws.FILTER(_xlfn.TEXTSPLIT(M180,";"), _xlfn.TEXTSPLIT(M180,";")&lt;&gt;"")))</f>
        <v>10</v>
      </c>
      <c r="O180" s="16" t="str">
        <f t="shared" si="6"/>
        <v>Y</v>
      </c>
      <c r="P180" s="19">
        <f>IFERROR(_xlfn.XLOOKUP($B180,Raw_Data!$A$3:$A$273,Raw_Data!$V$3:$V$273),"")</f>
        <v>0.6</v>
      </c>
      <c r="Q180" s="16" t="str">
        <f t="shared" si="7"/>
        <v>Y</v>
      </c>
      <c r="R180" s="32">
        <f>IFERROR(_xlfn.XLOOKUP($B180,Raw_Data!$A$3:$A$273,Raw_Data!$Y$3:$Y$273),"")</f>
        <v>0.4</v>
      </c>
      <c r="S180" s="4" t="str" cm="1">
        <f t="array" ref="S180">_xlfn.LET(_xlpm.s, Raw_Data!W180,_xlpm.strat, _xlfn._xlws.FILTER(REF_Setup!$B$3:$B$40, REF_Setup!$B$3:$B$40&lt;&gt;""),IF(OR(_xlpm.s="",_xlpm.s=0),"Unclassified",IF(SUM(--ISNUMBER(SEARCH(_xlpm.strat, _xlpm.s)))&gt;0, "Y", "N"))
)</f>
        <v>N</v>
      </c>
      <c r="T180" s="4" t="str" cm="1">
        <f t="array" ref="T180">_xlfn.LET(_xlpm.s,M180,_xlpm.phil, _xlfn._xlws.FILTER(REF_Setup!$D$3:$D$5, REF_Setup!$D$3:$D$5&lt;&gt;""),IF(OR(_xlpm.s="", _xlpm.s=0),"Unclassified",IF(SUM(--ISNUMBER(SEARCH(_xlpm.phil, _xlpm.s)))&gt;0, "Y", "N")))</f>
        <v>N</v>
      </c>
      <c r="U180" s="4" t="str" cm="1">
        <f t="array" ref="U180">IF(M180="", "Unclassified", IF(AND(SUMPRODUCT(--ISNUMBER(SEARCH(REF_Setup!$B$3:$B$40,M180)))&gt;0,SUMPRODUCT(--ISNUMBER(SEARCH(REF_Setup!$F$3:$F$15,M180)))&gt;0),"Mixed",IF(SUMPRODUCT(--ISNUMBER(SEARCH(REF_Setup!$B$3:$B$40,M180)))&gt;0,"Strategic Only",IF(SUMPRODUCT(--ISNUMBER(SEARCH(REF_Setup!$F$3:$F$15,M180)))&gt;0,"VC Only","Unclassified"))))</f>
        <v>VC Only</v>
      </c>
    </row>
    <row r="181" spans="2:21" ht="72.5" x14ac:dyDescent="0.35">
      <c r="B181" s="4">
        <f t="shared" si="8"/>
        <v>179</v>
      </c>
      <c r="C181" s="4" t="str">
        <f>IFERROR(_xlfn.XLOOKUP($B181,Raw_Data!$A$3:$A$273,Raw_Data!$B$3:$B$273),"")</f>
        <v>Posh Robotics</v>
      </c>
      <c r="D181" s="4" t="str">
        <f>IFERROR(_xlfn.XLOOKUP($B181,Raw_Data!$A$3:$A$273,Raw_Data!$C$3:$C$273),"")</f>
        <v>Haywoard, CA</v>
      </c>
      <c r="E181" s="4">
        <f>IFERROR(_xlfn.XLOOKUP($B181,Raw_Data!$A$3:$A$273,Raw_Data!$D$3:$D$273),"")</f>
        <v>2021</v>
      </c>
      <c r="F181" s="4" t="str">
        <f>IFERROR(_xlfn.XLOOKUP($B181,Raw_Data!$A$3:$A$273,Raw_Data!$F$3:$F$273),"")</f>
        <v>LDES</v>
      </c>
      <c r="G181" s="35">
        <f>IFERROR(_xlfn.XLOOKUP($B181,Raw_Data!$A$3:$A$273,Raw_Data!$J$3:$J$273),"")</f>
        <v>44734</v>
      </c>
      <c r="H181" s="16" t="s">
        <v>1466</v>
      </c>
      <c r="I181" s="36">
        <f>IFERROR(_xlfn.XLOOKUP($B181,Raw_Data!$A$3:$A$273,Raw_Data!$I$3:$I$273),"")</f>
        <v>4.3</v>
      </c>
      <c r="J181" s="36">
        <f>IFERROR(_xlfn.XLOOKUP($B181,Raw_Data!$A$3:$A$273,Raw_Data!$L$3:$L$273),"")</f>
        <v>3.8</v>
      </c>
      <c r="K181" s="36">
        <f>IFERROR(_xlfn.XLOOKUP($B181,Raw_Data!$A$3:$A$273,Raw_Data!$M$3:$M$273),"")</f>
        <v>25</v>
      </c>
      <c r="L181" s="15">
        <f>IFERROR(_xlfn.XLOOKUP($B181,Raw_Data!$A$3:$A$273,Raw_Data!$Q$3:$Q$273),"")</f>
        <v>0</v>
      </c>
      <c r="M181" s="34" t="str">
        <f>IFERROR(_xlfn.XLOOKUP($B181,Raw_Data!$A$3:$A$273,Raw_Data!$R$3:$R$273),"")</f>
        <v>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v>
      </c>
      <c r="N181" s="16" cm="1">
        <f t="array" ref="N181">IF(M181="",0,COUNTA(_xlfn._xlws.FILTER(_xlfn.TEXTSPLIT(M181,";"), _xlfn.TEXTSPLIT(M181,";")&lt;&gt;"")))</f>
        <v>19</v>
      </c>
      <c r="O181" s="16" t="str">
        <f t="shared" si="6"/>
        <v>Y</v>
      </c>
      <c r="P181" s="19">
        <f>IFERROR(_xlfn.XLOOKUP($B181,Raw_Data!$A$3:$A$273,Raw_Data!$V$3:$V$273),"")</f>
        <v>5.2631578947368418E-2</v>
      </c>
      <c r="Q181" s="16" t="str">
        <f t="shared" si="7"/>
        <v>Y</v>
      </c>
      <c r="R181" s="32">
        <f>IFERROR(_xlfn.XLOOKUP($B181,Raw_Data!$A$3:$A$273,Raw_Data!$Y$3:$Y$273),"")</f>
        <v>1</v>
      </c>
      <c r="S181" s="4" t="str" cm="1">
        <f t="array" ref="S181">_xlfn.LET(_xlpm.s, Raw_Data!W181,_xlpm.strat, _xlfn._xlws.FILTER(REF_Setup!$B$3:$B$40, REF_Setup!$B$3:$B$40&lt;&gt;""),IF(OR(_xlpm.s="",_xlpm.s=0),"Unclassified",IF(SUM(--ISNUMBER(SEARCH(_xlpm.strat, _xlpm.s)))&gt;0, "Y", "N"))
)</f>
        <v>Y</v>
      </c>
      <c r="T181" s="4" t="str" cm="1">
        <f t="array" ref="T181">_xlfn.LET(_xlpm.s,M181,_xlpm.phil, _xlfn._xlws.FILTER(REF_Setup!$D$3:$D$5, REF_Setup!$D$3:$D$5&lt;&gt;""),IF(OR(_xlpm.s="", _xlpm.s=0),"Unclassified",IF(SUM(--ISNUMBER(SEARCH(_xlpm.phil, _xlpm.s)))&gt;0, "Y", "N")))</f>
        <v>N</v>
      </c>
      <c r="U181" s="4" t="str" cm="1">
        <f t="array" ref="U181">IF(M181="", "Unclassified", IF(AND(SUMPRODUCT(--ISNUMBER(SEARCH(REF_Setup!$B$3:$B$40,M181)))&gt;0,SUMPRODUCT(--ISNUMBER(SEARCH(REF_Setup!$F$3:$F$15,M181)))&gt;0),"Mixed",IF(SUMPRODUCT(--ISNUMBER(SEARCH(REF_Setup!$B$3:$B$40,M181)))&gt;0,"Strategic Only",IF(SUMPRODUCT(--ISNUMBER(SEARCH(REF_Setup!$F$3:$F$15,M181)))&gt;0,"VC Only","Unclassified"))))</f>
        <v>Mixed</v>
      </c>
    </row>
    <row r="182" spans="2:21" ht="58" x14ac:dyDescent="0.35">
      <c r="B182" s="4">
        <f t="shared" si="8"/>
        <v>180</v>
      </c>
      <c r="C182" s="4" t="str">
        <f>IFERROR(_xlfn.XLOOKUP($B182,Raw_Data!$A$3:$A$273,Raw_Data!$B$3:$B$273),"")</f>
        <v>Princeton NuEnergy</v>
      </c>
      <c r="D182" s="4" t="str">
        <f>IFERROR(_xlfn.XLOOKUP($B182,Raw_Data!$A$3:$A$273,Raw_Data!$C$3:$C$273),"")</f>
        <v>Bordentown, NJ</v>
      </c>
      <c r="E182" s="4">
        <f>IFERROR(_xlfn.XLOOKUP($B182,Raw_Data!$A$3:$A$273,Raw_Data!$D$3:$D$273),"")</f>
        <v>2019</v>
      </c>
      <c r="F182" s="4" t="str">
        <f>IFERROR(_xlfn.XLOOKUP($B182,Raw_Data!$A$3:$A$273,Raw_Data!$F$3:$F$273),"")</f>
        <v>Industrial Decarbonization</v>
      </c>
      <c r="G182" s="35">
        <f>IFERROR(_xlfn.XLOOKUP($B182,Raw_Data!$A$3:$A$273,Raw_Data!$J$3:$J$273),"")</f>
        <v>45425</v>
      </c>
      <c r="H182" s="16" t="s">
        <v>1465</v>
      </c>
      <c r="I182" s="36">
        <f>IFERROR(_xlfn.XLOOKUP($B182,Raw_Data!$A$3:$A$273,Raw_Data!$I$3:$I$273),"")</f>
        <v>41.3</v>
      </c>
      <c r="J182" s="36">
        <f>IFERROR(_xlfn.XLOOKUP($B182,Raw_Data!$A$3:$A$273,Raw_Data!$L$3:$L$273),"")</f>
        <v>34.299999999999997</v>
      </c>
      <c r="K182" s="36">
        <f>IFERROR(_xlfn.XLOOKUP($B182,Raw_Data!$A$3:$A$273,Raw_Data!$M$3:$M$273),"")</f>
        <v>104</v>
      </c>
      <c r="L182" s="15">
        <f>IFERROR(_xlfn.XLOOKUP($B182,Raw_Data!$A$3:$A$273,Raw_Data!$Q$3:$Q$273),"")</f>
        <v>0</v>
      </c>
      <c r="M182" s="34" t="str">
        <f>IFERROR(_xlfn.XLOOKUP($B182,Raw_Data!$A$3:$A$273,Raw_Data!$R$3:$R$273),"")</f>
        <v>Climate Capital; Course Correction Capital; Greenland Technologies Holding; GS Futures; Helium-3 Ventures; Honda Motor; LKQ; Samsung Venture Investment; SCG Chemicals; Shell Ventures; Tech Council Ventures; Traxys; Wistron Medical Technology; WorldQuant Ventures</v>
      </c>
      <c r="N182" s="16" cm="1">
        <f t="array" ref="N182">IF(M182="",0,COUNTA(_xlfn._xlws.FILTER(_xlfn.TEXTSPLIT(M182,";"), _xlfn.TEXTSPLIT(M182,";")&lt;&gt;"")))</f>
        <v>14</v>
      </c>
      <c r="O182" s="16" t="str">
        <f t="shared" si="6"/>
        <v>Y</v>
      </c>
      <c r="P182" s="19">
        <f>IFERROR(_xlfn.XLOOKUP($B182,Raw_Data!$A$3:$A$273,Raw_Data!$V$3:$V$273),"")</f>
        <v>0.21428571428571427</v>
      </c>
      <c r="Q182" s="16" t="str">
        <f t="shared" si="7"/>
        <v>Y</v>
      </c>
      <c r="R182" s="32">
        <f>IFERROR(_xlfn.XLOOKUP($B182,Raw_Data!$A$3:$A$273,Raw_Data!$Y$3:$Y$273),"")</f>
        <v>0.7857142857142857</v>
      </c>
      <c r="S182" s="4" t="str" cm="1">
        <f t="array" ref="S182">_xlfn.LET(_xlpm.s, Raw_Data!W182,_xlpm.strat, _xlfn._xlws.FILTER(REF_Setup!$B$3:$B$40, REF_Setup!$B$3:$B$40&lt;&gt;""),IF(OR(_xlpm.s="",_xlpm.s=0),"Unclassified",IF(SUM(--ISNUMBER(SEARCH(_xlpm.strat, _xlpm.s)))&gt;0, "Y", "N"))
)</f>
        <v>Y</v>
      </c>
      <c r="T182" s="4" t="str" cm="1">
        <f t="array" ref="T182">_xlfn.LET(_xlpm.s,M182,_xlpm.phil, _xlfn._xlws.FILTER(REF_Setup!$D$3:$D$5, REF_Setup!$D$3:$D$5&lt;&gt;""),IF(OR(_xlpm.s="", _xlpm.s=0),"Unclassified",IF(SUM(--ISNUMBER(SEARCH(_xlpm.phil, _xlpm.s)))&gt;0, "Y", "N")))</f>
        <v>N</v>
      </c>
      <c r="U182" s="4" t="str" cm="1">
        <f t="array" ref="U182">IF(M182="", "Unclassified", IF(AND(SUMPRODUCT(--ISNUMBER(SEARCH(REF_Setup!$B$3:$B$40,M182)))&gt;0,SUMPRODUCT(--ISNUMBER(SEARCH(REF_Setup!$F$3:$F$15,M182)))&gt;0),"Mixed",IF(SUMPRODUCT(--ISNUMBER(SEARCH(REF_Setup!$B$3:$B$40,M182)))&gt;0,"Strategic Only",IF(SUMPRODUCT(--ISNUMBER(SEARCH(REF_Setup!$F$3:$F$15,M182)))&gt;0,"VC Only","Unclassified"))))</f>
        <v>Mixed</v>
      </c>
    </row>
    <row r="183" spans="2:21" x14ac:dyDescent="0.35">
      <c r="B183" s="4">
        <f t="shared" si="8"/>
        <v>181</v>
      </c>
      <c r="C183" s="4" t="str">
        <f>IFERROR(_xlfn.XLOOKUP($B183,Raw_Data!$A$3:$A$273,Raw_Data!$B$3:$B$273),"")</f>
        <v>Pure Green Farms</v>
      </c>
      <c r="D183" s="4" t="str">
        <f>IFERROR(_xlfn.XLOOKUP($B183,Raw_Data!$A$3:$A$273,Raw_Data!$C$3:$C$273),"")</f>
        <v>South Bend, IN</v>
      </c>
      <c r="E183" s="4">
        <f>IFERROR(_xlfn.XLOOKUP($B183,Raw_Data!$A$3:$A$273,Raw_Data!$D$3:$D$273),"")</f>
        <v>2018</v>
      </c>
      <c r="F183" s="4" t="str">
        <f>IFERROR(_xlfn.XLOOKUP($B183,Raw_Data!$A$3:$A$273,Raw_Data!$F$3:$F$273),"")</f>
        <v>Food &amp; Ag</v>
      </c>
      <c r="G183" s="35">
        <f>IFERROR(_xlfn.XLOOKUP($B183,Raw_Data!$A$3:$A$273,Raw_Data!$J$3:$J$273),"")</f>
        <v>44044</v>
      </c>
      <c r="H183" s="4" t="s">
        <v>75</v>
      </c>
      <c r="I183" s="36">
        <f>IFERROR(_xlfn.XLOOKUP($B183,Raw_Data!$A$3:$A$273,Raw_Data!$I$3:$I$273),"")</f>
        <v>20</v>
      </c>
      <c r="J183" s="36">
        <f>IFERROR(_xlfn.XLOOKUP($B183,Raw_Data!$A$3:$A$273,Raw_Data!$L$3:$L$273),"")</f>
        <v>20</v>
      </c>
      <c r="K183" s="36">
        <f>IFERROR(_xlfn.XLOOKUP($B183,Raw_Data!$A$3:$A$273,Raw_Data!$M$3:$M$273),"")</f>
        <v>0</v>
      </c>
      <c r="L183" s="15">
        <f>IFERROR(_xlfn.XLOOKUP($B183,Raw_Data!$A$3:$A$273,Raw_Data!$Q$3:$Q$273),"")</f>
        <v>0</v>
      </c>
      <c r="M183" s="34" t="str">
        <f>IFERROR(_xlfn.XLOOKUP($B183,Raw_Data!$A$3:$A$273,Raw_Data!$R$3:$R$273),"")</f>
        <v xml:space="preserve">Ceres Partners </v>
      </c>
      <c r="N183" s="16" cm="1">
        <f t="array" ref="N183">IF(M183="",0,COUNTA(_xlfn._xlws.FILTER(_xlfn.TEXTSPLIT(M183,";"), _xlfn.TEXTSPLIT(M183,";")&lt;&gt;"")))</f>
        <v>1</v>
      </c>
      <c r="O183" s="16" t="str">
        <f t="shared" si="6"/>
        <v>N</v>
      </c>
      <c r="P183" s="19">
        <f>IFERROR(_xlfn.XLOOKUP($B183,Raw_Data!$A$3:$A$273,Raw_Data!$V$3:$V$273),"")</f>
        <v>0</v>
      </c>
      <c r="Q183" s="16" t="str">
        <f t="shared" si="7"/>
        <v>Y</v>
      </c>
      <c r="R183" s="32">
        <f>IFERROR(_xlfn.XLOOKUP($B183,Raw_Data!$A$3:$A$273,Raw_Data!$Y$3:$Y$273),"")</f>
        <v>1</v>
      </c>
      <c r="S183" s="4" t="str" cm="1">
        <f t="array" ref="S183">_xlfn.LET(_xlpm.s, Raw_Data!W183,_xlpm.strat, _xlfn._xlws.FILTER(REF_Setup!$B$3:$B$40, REF_Setup!$B$3:$B$40&lt;&gt;""),IF(OR(_xlpm.s="",_xlpm.s=0),"Unclassified",IF(SUM(--ISNUMBER(SEARCH(_xlpm.strat, _xlpm.s)))&gt;0, "Y", "N"))
)</f>
        <v>N</v>
      </c>
      <c r="T183" s="4" t="str" cm="1">
        <f t="array" ref="T183">_xlfn.LET(_xlpm.s,M183,_xlpm.phil, _xlfn._xlws.FILTER(REF_Setup!$D$3:$D$5, REF_Setup!$D$3:$D$5&lt;&gt;""),IF(OR(_xlpm.s="", _xlpm.s=0),"Unclassified",IF(SUM(--ISNUMBER(SEARCH(_xlpm.phil, _xlpm.s)))&gt;0, "Y", "N")))</f>
        <v>N</v>
      </c>
      <c r="U183" s="4" t="str" cm="1">
        <f t="array" ref="U183">IF(M183="", "Unclassified", IF(AND(SUMPRODUCT(--ISNUMBER(SEARCH(REF_Setup!$B$3:$B$40,M183)))&gt;0,SUMPRODUCT(--ISNUMBER(SEARCH(REF_Setup!$F$3:$F$15,M183)))&gt;0),"Mixed",IF(SUMPRODUCT(--ISNUMBER(SEARCH(REF_Setup!$B$3:$B$40,M183)))&gt;0,"Strategic Only",IF(SUMPRODUCT(--ISNUMBER(SEARCH(REF_Setup!$F$3:$F$15,M183)))&gt;0,"VC Only","Unclassified"))))</f>
        <v>VC Only</v>
      </c>
    </row>
    <row r="184" spans="2:21" x14ac:dyDescent="0.35">
      <c r="B184" s="4">
        <f t="shared" si="8"/>
        <v>182</v>
      </c>
      <c r="C184" s="4" t="str">
        <f>IFERROR(_xlfn.XLOOKUP($B184,Raw_Data!$A$3:$A$273,Raw_Data!$B$3:$B$273),"")</f>
        <v>Pyran</v>
      </c>
      <c r="D184" s="4" t="str">
        <f>IFERROR(_xlfn.XLOOKUP($B184,Raw_Data!$A$3:$A$273,Raw_Data!$C$3:$C$273),"")</f>
        <v>Madison, WI</v>
      </c>
      <c r="E184" s="4">
        <f>IFERROR(_xlfn.XLOOKUP($B184,Raw_Data!$A$3:$A$273,Raw_Data!$D$3:$D$273),"")</f>
        <v>2017</v>
      </c>
      <c r="F184" s="4" t="str">
        <f>IFERROR(_xlfn.XLOOKUP($B184,Raw_Data!$A$3:$A$273,Raw_Data!$F$3:$F$273),"")</f>
        <v>Industrial Decarbonization</v>
      </c>
      <c r="G184" s="35">
        <f>IFERROR(_xlfn.XLOOKUP($B184,Raw_Data!$A$3:$A$273,Raw_Data!$J$3:$J$273),"")</f>
        <v>44380</v>
      </c>
      <c r="H184" s="16" t="s">
        <v>1465</v>
      </c>
      <c r="I184" s="36">
        <f>IFERROR(_xlfn.XLOOKUP($B184,Raw_Data!$A$3:$A$273,Raw_Data!$I$3:$I$273),"")</f>
        <v>4.8499999999999996</v>
      </c>
      <c r="J184" s="36">
        <f>IFERROR(_xlfn.XLOOKUP($B184,Raw_Data!$A$3:$A$273,Raw_Data!$L$3:$L$273),"")</f>
        <v>2.23</v>
      </c>
      <c r="K184" s="36">
        <f>IFERROR(_xlfn.XLOOKUP($B184,Raw_Data!$A$3:$A$273,Raw_Data!$M$3:$M$273),"")</f>
        <v>10.23</v>
      </c>
      <c r="L184" s="15">
        <f>IFERROR(_xlfn.XLOOKUP($B184,Raw_Data!$A$3:$A$273,Raw_Data!$Q$3:$Q$273),"")</f>
        <v>0</v>
      </c>
      <c r="M184" s="34" t="str">
        <f>IFERROR(_xlfn.XLOOKUP($B184,Raw_Data!$A$3:$A$273,Raw_Data!$R$3:$R$273),"")</f>
        <v>Arosa Capital Management; BrightStar Wisconsin Foundation; WARF Ventures</v>
      </c>
      <c r="N184" s="16" cm="1">
        <f t="array" ref="N184">IF(M184="",0,COUNTA(_xlfn._xlws.FILTER(_xlfn.TEXTSPLIT(M184,";"), _xlfn.TEXTSPLIT(M184,";")&lt;&gt;"")))</f>
        <v>3</v>
      </c>
      <c r="O184" s="16" t="str">
        <f t="shared" si="6"/>
        <v>N</v>
      </c>
      <c r="P184" s="19">
        <f>IFERROR(_xlfn.XLOOKUP($B184,Raw_Data!$A$3:$A$273,Raw_Data!$V$3:$V$273),"")</f>
        <v>0</v>
      </c>
      <c r="Q184" s="16" t="str">
        <f t="shared" si="7"/>
        <v>Y</v>
      </c>
      <c r="R184" s="32">
        <f>IFERROR(_xlfn.XLOOKUP($B184,Raw_Data!$A$3:$A$273,Raw_Data!$Y$3:$Y$273),"")</f>
        <v>1</v>
      </c>
      <c r="S184" s="4" t="str" cm="1">
        <f t="array" ref="S184">_xlfn.LET(_xlpm.s, Raw_Data!W184,_xlpm.strat, _xlfn._xlws.FILTER(REF_Setup!$B$3:$B$40, REF_Setup!$B$3:$B$40&lt;&gt;""),IF(OR(_xlpm.s="",_xlpm.s=0),"Unclassified",IF(SUM(--ISNUMBER(SEARCH(_xlpm.strat, _xlpm.s)))&gt;0, "Y", "N"))
)</f>
        <v>N</v>
      </c>
      <c r="T184" s="4" t="str" cm="1">
        <f t="array" ref="T184">_xlfn.LET(_xlpm.s,M184,_xlpm.phil, _xlfn._xlws.FILTER(REF_Setup!$D$3:$D$5, REF_Setup!$D$3:$D$5&lt;&gt;""),IF(OR(_xlpm.s="", _xlpm.s=0),"Unclassified",IF(SUM(--ISNUMBER(SEARCH(_xlpm.phil, _xlpm.s)))&gt;0, "Y", "N")))</f>
        <v>Y</v>
      </c>
      <c r="U184" s="4" t="str" cm="1">
        <f t="array" ref="U184">IF(M184="", "Unclassified", IF(AND(SUMPRODUCT(--ISNUMBER(SEARCH(REF_Setup!$B$3:$B$40,M184)))&gt;0,SUMPRODUCT(--ISNUMBER(SEARCH(REF_Setup!$F$3:$F$15,M184)))&gt;0),"Mixed",IF(SUMPRODUCT(--ISNUMBER(SEARCH(REF_Setup!$B$3:$B$40,M184)))&gt;0,"Strategic Only",IF(SUMPRODUCT(--ISNUMBER(SEARCH(REF_Setup!$F$3:$F$15,M184)))&gt;0,"VC Only","Unclassified"))))</f>
        <v>VC Only</v>
      </c>
    </row>
    <row r="185" spans="2:21" ht="29" x14ac:dyDescent="0.35">
      <c r="B185" s="4">
        <f t="shared" si="8"/>
        <v>183</v>
      </c>
      <c r="C185" s="4" t="str">
        <f>IFERROR(_xlfn.XLOOKUP($B185,Raw_Data!$A$3:$A$273,Raw_Data!$B$3:$B$273),"")</f>
        <v>Quaise Energy</v>
      </c>
      <c r="D185" s="4" t="str">
        <f>IFERROR(_xlfn.XLOOKUP($B185,Raw_Data!$A$3:$A$273,Raw_Data!$C$3:$C$273),"")</f>
        <v>Cambridge, MA</v>
      </c>
      <c r="E185" s="4">
        <f>IFERROR(_xlfn.XLOOKUP($B185,Raw_Data!$A$3:$A$273,Raw_Data!$D$3:$D$273),"")</f>
        <v>2018</v>
      </c>
      <c r="F185" s="4" t="str">
        <f>IFERROR(_xlfn.XLOOKUP($B185,Raw_Data!$A$3:$A$273,Raw_Data!$F$3:$F$273),"")</f>
        <v>Renewables</v>
      </c>
      <c r="G185" s="35">
        <f>IFERROR(_xlfn.XLOOKUP($B185,Raw_Data!$A$3:$A$273,Raw_Data!$J$3:$J$273),"")</f>
        <v>45363</v>
      </c>
      <c r="H185" s="16" t="s">
        <v>1465</v>
      </c>
      <c r="I185" s="36">
        <f>IFERROR(_xlfn.XLOOKUP($B185,Raw_Data!$A$3:$A$273,Raw_Data!$I$3:$I$273),"")</f>
        <v>91.02</v>
      </c>
      <c r="J185" s="36">
        <f>IFERROR(_xlfn.XLOOKUP($B185,Raw_Data!$A$3:$A$273,Raw_Data!$L$3:$L$273),"")</f>
        <v>21</v>
      </c>
      <c r="K185" s="36">
        <f>IFERROR(_xlfn.XLOOKUP($B185,Raw_Data!$A$3:$A$273,Raw_Data!$M$3:$M$273),"")</f>
        <v>190</v>
      </c>
      <c r="L185" s="15">
        <f>IFERROR(_xlfn.XLOOKUP($B185,Raw_Data!$A$3:$A$273,Raw_Data!$Q$3:$Q$273),"")</f>
        <v>0</v>
      </c>
      <c r="M185" s="34" t="str">
        <f>IFERROR(_xlfn.XLOOKUP($B185,Raw_Data!$A$3:$A$273,Raw_Data!$R$3:$R$273),"")</f>
        <v>Milano Investment Partners; Mintz; Mitsubishi; Prelude Ventures; Safar Partners; Standard Investments</v>
      </c>
      <c r="N185" s="16" cm="1">
        <f t="array" ref="N185">IF(M185="",0,COUNTA(_xlfn._xlws.FILTER(_xlfn.TEXTSPLIT(M185,";"), _xlfn.TEXTSPLIT(M185,";")&lt;&gt;"")))</f>
        <v>6</v>
      </c>
      <c r="O185" s="16" t="str">
        <f t="shared" si="6"/>
        <v>Y</v>
      </c>
      <c r="P185" s="19">
        <f>IFERROR(_xlfn.XLOOKUP($B185,Raw_Data!$A$3:$A$273,Raw_Data!$V$3:$V$273),"")</f>
        <v>0.33333333333333331</v>
      </c>
      <c r="Q185" s="16" t="str">
        <f t="shared" si="7"/>
        <v>Y</v>
      </c>
      <c r="R185" s="32">
        <f>IFERROR(_xlfn.XLOOKUP($B185,Raw_Data!$A$3:$A$273,Raw_Data!$Y$3:$Y$273),"")</f>
        <v>0.66666666666666663</v>
      </c>
      <c r="S185" s="4" t="str" cm="1">
        <f t="array" ref="S185">_xlfn.LET(_xlpm.s, Raw_Data!W185,_xlpm.strat, _xlfn._xlws.FILTER(REF_Setup!$B$3:$B$40, REF_Setup!$B$3:$B$40&lt;&gt;""),IF(OR(_xlpm.s="",_xlpm.s=0),"Unclassified",IF(SUM(--ISNUMBER(SEARCH(_xlpm.strat, _xlpm.s)))&gt;0, "Y", "N"))
)</f>
        <v>Y</v>
      </c>
      <c r="T185" s="4" t="str" cm="1">
        <f t="array" ref="T185">_xlfn.LET(_xlpm.s,M185,_xlpm.phil, _xlfn._xlws.FILTER(REF_Setup!$D$3:$D$5, REF_Setup!$D$3:$D$5&lt;&gt;""),IF(OR(_xlpm.s="", _xlpm.s=0),"Unclassified",IF(SUM(--ISNUMBER(SEARCH(_xlpm.phil, _xlpm.s)))&gt;0, "Y", "N")))</f>
        <v>N</v>
      </c>
      <c r="U185" s="4" t="str" cm="1">
        <f t="array" ref="U185">IF(M185="", "Unclassified", IF(AND(SUMPRODUCT(--ISNUMBER(SEARCH(REF_Setup!$B$3:$B$40,M185)))&gt;0,SUMPRODUCT(--ISNUMBER(SEARCH(REF_Setup!$F$3:$F$15,M185)))&gt;0),"Mixed",IF(SUMPRODUCT(--ISNUMBER(SEARCH(REF_Setup!$B$3:$B$40,M185)))&gt;0,"Strategic Only",IF(SUMPRODUCT(--ISNUMBER(SEARCH(REF_Setup!$F$3:$F$15,M185)))&gt;0,"VC Only","Unclassified"))))</f>
        <v>Mixed</v>
      </c>
    </row>
    <row r="186" spans="2:21" x14ac:dyDescent="0.35">
      <c r="B186" s="4">
        <f t="shared" si="8"/>
        <v>184</v>
      </c>
      <c r="C186" s="4" t="str">
        <f>IFERROR(_xlfn.XLOOKUP($B186,Raw_Data!$A$3:$A$273,Raw_Data!$B$3:$B$273),"")</f>
        <v>Qualterra</v>
      </c>
      <c r="D186" s="4" t="str">
        <f>IFERROR(_xlfn.XLOOKUP($B186,Raw_Data!$A$3:$A$273,Raw_Data!$C$3:$C$273),"")</f>
        <v>Pullman, WA</v>
      </c>
      <c r="E186" s="4">
        <f>IFERROR(_xlfn.XLOOKUP($B186,Raw_Data!$A$3:$A$273,Raw_Data!$D$3:$D$273),"")</f>
        <v>2011</v>
      </c>
      <c r="F186" s="4" t="str">
        <f>IFERROR(_xlfn.XLOOKUP($B186,Raw_Data!$A$3:$A$273,Raw_Data!$F$3:$F$273),"")</f>
        <v>Food &amp; Ag</v>
      </c>
      <c r="G186" s="35">
        <f>IFERROR(_xlfn.XLOOKUP($B186,Raw_Data!$A$3:$A$273,Raw_Data!$J$3:$J$273),"")</f>
        <v>44317</v>
      </c>
      <c r="H186" s="4" t="s">
        <v>75</v>
      </c>
      <c r="I186" s="36">
        <f>IFERROR(_xlfn.XLOOKUP($B186,Raw_Data!$A$3:$A$273,Raw_Data!$I$3:$I$273),"")</f>
        <v>0</v>
      </c>
      <c r="J186" s="36">
        <f>IFERROR(_xlfn.XLOOKUP($B186,Raw_Data!$A$3:$A$273,Raw_Data!$L$3:$L$273),"")</f>
        <v>0</v>
      </c>
      <c r="K186" s="36">
        <f>IFERROR(_xlfn.XLOOKUP($B186,Raw_Data!$A$3:$A$273,Raw_Data!$M$3:$M$273),"")</f>
        <v>0</v>
      </c>
      <c r="L186" s="15" t="str">
        <f>IFERROR(_xlfn.XLOOKUP($B186,Raw_Data!$A$3:$A$273,Raw_Data!$Q$3:$Q$273),"")</f>
        <v>N/A</v>
      </c>
      <c r="M186" s="34" t="str">
        <f>IFERROR(_xlfn.XLOOKUP($B186,Raw_Data!$A$3:$A$273,Raw_Data!$R$3:$R$273),"")</f>
        <v>Cowles Ventures; Keiretsu Capital</v>
      </c>
      <c r="N186" s="16" cm="1">
        <f t="array" ref="N186">IF(M186="",0,COUNTA(_xlfn._xlws.FILTER(_xlfn.TEXTSPLIT(M186,";"), _xlfn.TEXTSPLIT(M186,";")&lt;&gt;"")))</f>
        <v>2</v>
      </c>
      <c r="O186" s="16" t="str">
        <f t="shared" si="6"/>
        <v>N</v>
      </c>
      <c r="P186" s="19">
        <f>IFERROR(_xlfn.XLOOKUP($B186,Raw_Data!$A$3:$A$273,Raw_Data!$V$3:$V$273),"")</f>
        <v>0</v>
      </c>
      <c r="Q186" s="16" t="str">
        <f t="shared" si="7"/>
        <v>Y</v>
      </c>
      <c r="R186" s="32">
        <f>IFERROR(_xlfn.XLOOKUP($B186,Raw_Data!$A$3:$A$273,Raw_Data!$Y$3:$Y$273),"")</f>
        <v>1</v>
      </c>
      <c r="S186" s="4" t="str" cm="1">
        <f t="array" ref="S186">_xlfn.LET(_xlpm.s, Raw_Data!W186,_xlpm.strat, _xlfn._xlws.FILTER(REF_Setup!$B$3:$B$40, REF_Setup!$B$3:$B$40&lt;&gt;""),IF(OR(_xlpm.s="",_xlpm.s=0),"Unclassified",IF(SUM(--ISNUMBER(SEARCH(_xlpm.strat, _xlpm.s)))&gt;0, "Y", "N"))
)</f>
        <v>N</v>
      </c>
      <c r="T186" s="4" t="str" cm="1">
        <f t="array" ref="T186">_xlfn.LET(_xlpm.s,M186,_xlpm.phil, _xlfn._xlws.FILTER(REF_Setup!$D$3:$D$5, REF_Setup!$D$3:$D$5&lt;&gt;""),IF(OR(_xlpm.s="", _xlpm.s=0),"Unclassified",IF(SUM(--ISNUMBER(SEARCH(_xlpm.phil, _xlpm.s)))&gt;0, "Y", "N")))</f>
        <v>N</v>
      </c>
      <c r="U186" s="4" t="str" cm="1">
        <f t="array" ref="U186">IF(M186="", "Unclassified", IF(AND(SUMPRODUCT(--ISNUMBER(SEARCH(REF_Setup!$B$3:$B$40,M186)))&gt;0,SUMPRODUCT(--ISNUMBER(SEARCH(REF_Setup!$F$3:$F$15,M186)))&gt;0),"Mixed",IF(SUMPRODUCT(--ISNUMBER(SEARCH(REF_Setup!$B$3:$B$40,M186)))&gt;0,"Strategic Only",IF(SUMPRODUCT(--ISNUMBER(SEARCH(REF_Setup!$F$3:$F$15,M186)))&gt;0,"VC Only","Unclassified"))))</f>
        <v>VC Only</v>
      </c>
    </row>
    <row r="187" spans="2:21" x14ac:dyDescent="0.35">
      <c r="B187" s="4">
        <f t="shared" si="8"/>
        <v>185</v>
      </c>
      <c r="C187" s="4" t="str">
        <f>IFERROR(_xlfn.XLOOKUP($B187,Raw_Data!$A$3:$A$273,Raw_Data!$B$3:$B$273),"")</f>
        <v>Qualterra</v>
      </c>
      <c r="D187" s="4" t="str">
        <f>IFERROR(_xlfn.XLOOKUP($B187,Raw_Data!$A$3:$A$273,Raw_Data!$C$3:$C$273),"")</f>
        <v>Pullman, WA</v>
      </c>
      <c r="E187" s="4">
        <f>IFERROR(_xlfn.XLOOKUP($B187,Raw_Data!$A$3:$A$273,Raw_Data!$D$3:$D$273),"")</f>
        <v>2011</v>
      </c>
      <c r="F187" s="4" t="str">
        <f>IFERROR(_xlfn.XLOOKUP($B187,Raw_Data!$A$3:$A$273,Raw_Data!$F$3:$F$273),"")</f>
        <v>Food &amp; Ag</v>
      </c>
      <c r="G187" s="35">
        <f>IFERROR(_xlfn.XLOOKUP($B187,Raw_Data!$A$3:$A$273,Raw_Data!$J$3:$J$273),"")</f>
        <v>45693</v>
      </c>
      <c r="H187" s="4" t="s">
        <v>75</v>
      </c>
      <c r="I187" s="36">
        <f>IFERROR(_xlfn.XLOOKUP($B187,Raw_Data!$A$3:$A$273,Raw_Data!$I$3:$I$273),"")</f>
        <v>16.63</v>
      </c>
      <c r="J187" s="36">
        <f>IFERROR(_xlfn.XLOOKUP($B187,Raw_Data!$A$3:$A$273,Raw_Data!$L$3:$L$273),"")</f>
        <v>16.63</v>
      </c>
      <c r="K187" s="36">
        <f>IFERROR(_xlfn.XLOOKUP($B187,Raw_Data!$A$3:$A$273,Raw_Data!$M$3:$M$273),"")</f>
        <v>40</v>
      </c>
      <c r="L187" s="15">
        <f>IFERROR(_xlfn.XLOOKUP($B187,Raw_Data!$A$3:$A$273,Raw_Data!$Q$3:$Q$273),"")</f>
        <v>0</v>
      </c>
      <c r="M187" s="34"/>
      <c r="N187" s="16" cm="1">
        <f t="array" ref="N187">IF(M187="",0,COUNTA(_xlfn._xlws.FILTER(_xlfn.TEXTSPLIT(M187,";"), _xlfn.TEXTSPLIT(M187,";")&lt;&gt;"")))</f>
        <v>0</v>
      </c>
      <c r="O187" s="16" t="str">
        <f t="shared" si="6"/>
        <v>Y</v>
      </c>
      <c r="P187" s="19" t="str">
        <f>IFERROR(_xlfn.XLOOKUP($B187,Raw_Data!$A$3:$A$273,Raw_Data!$V$3:$V$273),"")</f>
        <v>N/A</v>
      </c>
      <c r="Q187" s="16" t="str">
        <f t="shared" si="7"/>
        <v>Y</v>
      </c>
      <c r="R187" s="32" t="str">
        <f>IFERROR(_xlfn.XLOOKUP($B187,Raw_Data!$A$3:$A$273,Raw_Data!$Y$3:$Y$273),"")</f>
        <v>N/A</v>
      </c>
      <c r="S187" s="4" t="str" cm="1">
        <f t="array" ref="S187">_xlfn.LET(_xlpm.s, Raw_Data!W187,_xlpm.strat, _xlfn._xlws.FILTER(REF_Setup!$B$3:$B$40, REF_Setup!$B$3:$B$40&lt;&gt;""),IF(OR(_xlpm.s="",_xlpm.s=0),"Unclassified",IF(SUM(--ISNUMBER(SEARCH(_xlpm.strat, _xlpm.s)))&gt;0, "Y", "N"))
)</f>
        <v>Unclassified</v>
      </c>
      <c r="T187" s="4" t="str" cm="1">
        <f t="array" ref="T187">_xlfn.LET(_xlpm.s,M187,_xlpm.phil, _xlfn._xlws.FILTER(REF_Setup!$D$3:$D$5, REF_Setup!$D$3:$D$5&lt;&gt;""),IF(OR(_xlpm.s="", _xlpm.s=0),"Unclassified",IF(SUM(--ISNUMBER(SEARCH(_xlpm.phil, _xlpm.s)))&gt;0, "Y", "N")))</f>
        <v>Unclassified</v>
      </c>
      <c r="U187" s="4" t="str" cm="1">
        <f t="array" ref="U187">IF(M187="", "Unclassified", IF(AND(SUMPRODUCT(--ISNUMBER(SEARCH(REF_Setup!$B$3:$B$40,M187)))&gt;0,SUMPRODUCT(--ISNUMBER(SEARCH(REF_Setup!$F$3:$F$15,M187)))&gt;0),"Mixed",IF(SUMPRODUCT(--ISNUMBER(SEARCH(REF_Setup!$B$3:$B$40,M187)))&gt;0,"Strategic Only",IF(SUMPRODUCT(--ISNUMBER(SEARCH(REF_Setup!$F$3:$F$15,M187)))&gt;0,"VC Only","Unclassified"))))</f>
        <v>Unclassified</v>
      </c>
    </row>
    <row r="188" spans="2:21" x14ac:dyDescent="0.35">
      <c r="B188" s="4">
        <f t="shared" si="8"/>
        <v>186</v>
      </c>
      <c r="C188" s="4" t="str">
        <f>IFERROR(_xlfn.XLOOKUP($B188,Raw_Data!$A$3:$A$273,Raw_Data!$B$3:$B$273),"")</f>
        <v>QuantumScape (NYS: QS)</v>
      </c>
      <c r="D188" s="4" t="str">
        <f>IFERROR(_xlfn.XLOOKUP($B188,Raw_Data!$A$3:$A$273,Raw_Data!$C$3:$C$273),"")</f>
        <v>San Jose, CA</v>
      </c>
      <c r="E188" s="4">
        <f>IFERROR(_xlfn.XLOOKUP($B188,Raw_Data!$A$3:$A$273,Raw_Data!$D$3:$D$273),"")</f>
        <v>2010</v>
      </c>
      <c r="F188" s="4" t="str">
        <f>IFERROR(_xlfn.XLOOKUP($B188,Raw_Data!$A$3:$A$273,Raw_Data!$F$3:$F$273),"")</f>
        <v>Mobility</v>
      </c>
      <c r="G188" s="35">
        <f>IFERROR(_xlfn.XLOOKUP($B188,Raw_Data!$A$3:$A$273,Raw_Data!$J$3:$J$273),"")</f>
        <v>41802</v>
      </c>
      <c r="H188" s="16" t="s">
        <v>1467</v>
      </c>
      <c r="I188" s="36">
        <f>IFERROR(_xlfn.XLOOKUP($B188,Raw_Data!$A$3:$A$273,Raw_Data!$I$3:$I$273),"")</f>
        <v>102.32</v>
      </c>
      <c r="J188" s="36">
        <f>IFERROR(_xlfn.XLOOKUP($B188,Raw_Data!$A$3:$A$273,Raw_Data!$L$3:$L$273),"")</f>
        <v>25.32</v>
      </c>
      <c r="K188" s="36">
        <f>IFERROR(_xlfn.XLOOKUP($B188,Raw_Data!$A$3:$A$273,Raw_Data!$M$3:$M$273),"")</f>
        <v>325</v>
      </c>
      <c r="L188" s="15">
        <f>IFERROR(_xlfn.XLOOKUP($B188,Raw_Data!$A$3:$A$273,Raw_Data!$Q$3:$Q$273),"")</f>
        <v>0</v>
      </c>
      <c r="M188" s="34" t="str">
        <f>IFERROR(_xlfn.XLOOKUP($B188,Raw_Data!$A$3:$A$273,Raw_Data!$R$3:$R$273),"")</f>
        <v xml:space="preserve">Volkswagen Group </v>
      </c>
      <c r="N188" s="16" cm="1">
        <f t="array" ref="N188">IF(M188="",0,COUNTA(_xlfn._xlws.FILTER(_xlfn.TEXTSPLIT(M188,";"), _xlfn.TEXTSPLIT(M188,";")&lt;&gt;"")))</f>
        <v>1</v>
      </c>
      <c r="O188" s="16" t="str">
        <f t="shared" si="6"/>
        <v>N</v>
      </c>
      <c r="P188" s="19">
        <f>IFERROR(_xlfn.XLOOKUP($B188,Raw_Data!$A$3:$A$273,Raw_Data!$V$3:$V$273),"")</f>
        <v>0</v>
      </c>
      <c r="Q188" s="16" t="str">
        <f t="shared" si="7"/>
        <v>Y</v>
      </c>
      <c r="R188" s="32">
        <f>IFERROR(_xlfn.XLOOKUP($B188,Raw_Data!$A$3:$A$273,Raw_Data!$Y$3:$Y$273),"")</f>
        <v>1</v>
      </c>
      <c r="S188" s="4" t="str" cm="1">
        <f t="array" ref="S188">_xlfn.LET(_xlpm.s, Raw_Data!W188,_xlpm.strat, _xlfn._xlws.FILTER(REF_Setup!$B$3:$B$40, REF_Setup!$B$3:$B$40&lt;&gt;""),IF(OR(_xlpm.s="",_xlpm.s=0),"Unclassified",IF(SUM(--ISNUMBER(SEARCH(_xlpm.strat, _xlpm.s)))&gt;0, "Y", "N"))
)</f>
        <v>Y</v>
      </c>
      <c r="T188" s="4" t="str" cm="1">
        <f t="array" ref="T188">_xlfn.LET(_xlpm.s,M188,_xlpm.phil, _xlfn._xlws.FILTER(REF_Setup!$D$3:$D$5, REF_Setup!$D$3:$D$5&lt;&gt;""),IF(OR(_xlpm.s="", _xlpm.s=0),"Unclassified",IF(SUM(--ISNUMBER(SEARCH(_xlpm.phil, _xlpm.s)))&gt;0, "Y", "N")))</f>
        <v>N</v>
      </c>
      <c r="U188" s="4" t="str" cm="1">
        <f t="array" ref="U188">IF(M188="", "Unclassified", IF(AND(SUMPRODUCT(--ISNUMBER(SEARCH(REF_Setup!$B$3:$B$40,M188)))&gt;0,SUMPRODUCT(--ISNUMBER(SEARCH(REF_Setup!$F$3:$F$15,M188)))&gt;0),"Mixed",IF(SUMPRODUCT(--ISNUMBER(SEARCH(REF_Setup!$B$3:$B$40,M188)))&gt;0,"Strategic Only",IF(SUMPRODUCT(--ISNUMBER(SEARCH(REF_Setup!$F$3:$F$15,M188)))&gt;0,"VC Only","Unclassified"))))</f>
        <v>Mixed</v>
      </c>
    </row>
    <row r="189" spans="2:21" x14ac:dyDescent="0.35">
      <c r="B189" s="4">
        <f t="shared" si="8"/>
        <v>187</v>
      </c>
      <c r="C189" s="4" t="str">
        <f>IFERROR(_xlfn.XLOOKUP($B189,Raw_Data!$A$3:$A$273,Raw_Data!$B$3:$B$273),"")</f>
        <v>Raven SR</v>
      </c>
      <c r="D189" s="4" t="str">
        <f>IFERROR(_xlfn.XLOOKUP($B189,Raw_Data!$A$3:$A$273,Raw_Data!$C$3:$C$273),"")</f>
        <v>Pinedale,WY</v>
      </c>
      <c r="E189" s="4">
        <f>IFERROR(_xlfn.XLOOKUP($B189,Raw_Data!$A$3:$A$273,Raw_Data!$D$3:$D$273),"")</f>
        <v>2018</v>
      </c>
      <c r="F189" s="4" t="str">
        <f>IFERROR(_xlfn.XLOOKUP($B189,Raw_Data!$A$3:$A$273,Raw_Data!$F$3:$F$273),"")</f>
        <v>Hydrogen</v>
      </c>
      <c r="G189" s="35">
        <f>IFERROR(_xlfn.XLOOKUP($B189,Raw_Data!$A$3:$A$273,Raw_Data!$J$3:$J$273),"")</f>
        <v>44348</v>
      </c>
      <c r="H189" s="4" t="s">
        <v>75</v>
      </c>
      <c r="I189" s="36">
        <f>IFERROR(_xlfn.XLOOKUP($B189,Raw_Data!$A$3:$A$273,Raw_Data!$I$3:$I$273),"")</f>
        <v>0</v>
      </c>
      <c r="J189" s="36">
        <f>IFERROR(_xlfn.XLOOKUP($B189,Raw_Data!$A$3:$A$273,Raw_Data!$L$3:$L$273),"")</f>
        <v>0</v>
      </c>
      <c r="K189" s="36">
        <f>IFERROR(_xlfn.XLOOKUP($B189,Raw_Data!$A$3:$A$273,Raw_Data!$M$3:$M$273),"")</f>
        <v>0</v>
      </c>
      <c r="L189" s="15" t="str">
        <f>IFERROR(_xlfn.XLOOKUP($B189,Raw_Data!$A$3:$A$273,Raw_Data!$Q$3:$Q$273),"")</f>
        <v>N/A</v>
      </c>
      <c r="M189" s="34" t="str">
        <f>IFERROR(_xlfn.XLOOKUP($B189,Raw_Data!$A$3:$A$273,Raw_Data!$R$3:$R$273),"")</f>
        <v xml:space="preserve">Ascent Funds </v>
      </c>
      <c r="N189" s="16" cm="1">
        <f t="array" ref="N189">IF(M189="",0,COUNTA(_xlfn._xlws.FILTER(_xlfn.TEXTSPLIT(M189,";"), _xlfn.TEXTSPLIT(M189,";")&lt;&gt;"")))</f>
        <v>1</v>
      </c>
      <c r="O189" s="16" t="str">
        <f t="shared" si="6"/>
        <v>N</v>
      </c>
      <c r="P189" s="19">
        <f>IFERROR(_xlfn.XLOOKUP($B189,Raw_Data!$A$3:$A$273,Raw_Data!$V$3:$V$273),"")</f>
        <v>0</v>
      </c>
      <c r="Q189" s="16" t="str">
        <f t="shared" si="7"/>
        <v>Y</v>
      </c>
      <c r="R189" s="32">
        <f>IFERROR(_xlfn.XLOOKUP($B189,Raw_Data!$A$3:$A$273,Raw_Data!$Y$3:$Y$273),"")</f>
        <v>1</v>
      </c>
      <c r="S189" s="4" t="str" cm="1">
        <f t="array" ref="S189">_xlfn.LET(_xlpm.s, Raw_Data!W189,_xlpm.strat, _xlfn._xlws.FILTER(REF_Setup!$B$3:$B$40, REF_Setup!$B$3:$B$40&lt;&gt;""),IF(OR(_xlpm.s="",_xlpm.s=0),"Unclassified",IF(SUM(--ISNUMBER(SEARCH(_xlpm.strat, _xlpm.s)))&gt;0, "Y", "N"))
)</f>
        <v>N</v>
      </c>
      <c r="T189" s="4" t="str" cm="1">
        <f t="array" ref="T189">_xlfn.LET(_xlpm.s,M189,_xlpm.phil, _xlfn._xlws.FILTER(REF_Setup!$D$3:$D$5, REF_Setup!$D$3:$D$5&lt;&gt;""),IF(OR(_xlpm.s="", _xlpm.s=0),"Unclassified",IF(SUM(--ISNUMBER(SEARCH(_xlpm.phil, _xlpm.s)))&gt;0, "Y", "N")))</f>
        <v>N</v>
      </c>
      <c r="U189" s="4" t="str" cm="1">
        <f t="array" ref="U189">IF(M189="", "Unclassified", IF(AND(SUMPRODUCT(--ISNUMBER(SEARCH(REF_Setup!$B$3:$B$40,M189)))&gt;0,SUMPRODUCT(--ISNUMBER(SEARCH(REF_Setup!$F$3:$F$15,M189)))&gt;0),"Mixed",IF(SUMPRODUCT(--ISNUMBER(SEARCH(REF_Setup!$B$3:$B$40,M189)))&gt;0,"Strategic Only",IF(SUMPRODUCT(--ISNUMBER(SEARCH(REF_Setup!$F$3:$F$15,M189)))&gt;0,"VC Only","Unclassified"))))</f>
        <v>VC Only</v>
      </c>
    </row>
    <row r="190" spans="2:21" x14ac:dyDescent="0.35">
      <c r="B190" s="4">
        <f t="shared" si="8"/>
        <v>188</v>
      </c>
      <c r="C190" s="4" t="str">
        <f>IFERROR(_xlfn.XLOOKUP($B190,Raw_Data!$A$3:$A$273,Raw_Data!$B$3:$B$273),"")</f>
        <v>Raven SR</v>
      </c>
      <c r="D190" s="4" t="str">
        <f>IFERROR(_xlfn.XLOOKUP($B190,Raw_Data!$A$3:$A$273,Raw_Data!$C$3:$C$273),"")</f>
        <v>Pinedale,WY</v>
      </c>
      <c r="E190" s="4">
        <f>IFERROR(_xlfn.XLOOKUP($B190,Raw_Data!$A$3:$A$273,Raw_Data!$D$3:$D$273),"")</f>
        <v>2018</v>
      </c>
      <c r="F190" s="4" t="str">
        <f>IFERROR(_xlfn.XLOOKUP($B190,Raw_Data!$A$3:$A$273,Raw_Data!$F$3:$F$273),"")</f>
        <v>Hydrogen</v>
      </c>
      <c r="G190" s="35">
        <f>IFERROR(_xlfn.XLOOKUP($B190,Raw_Data!$A$3:$A$273,Raw_Data!$J$3:$J$273),"")</f>
        <v>44420</v>
      </c>
      <c r="H190" s="4" t="s">
        <v>75</v>
      </c>
      <c r="I190" s="36">
        <f>IFERROR(_xlfn.XLOOKUP($B190,Raw_Data!$A$3:$A$273,Raw_Data!$I$3:$I$273),"")</f>
        <v>20</v>
      </c>
      <c r="J190" s="36">
        <f>IFERROR(_xlfn.XLOOKUP($B190,Raw_Data!$A$3:$A$273,Raw_Data!$L$3:$L$273),"")</f>
        <v>20</v>
      </c>
      <c r="K190" s="36">
        <f>IFERROR(_xlfn.XLOOKUP($B190,Raw_Data!$A$3:$A$273,Raw_Data!$M$3:$M$273),"")</f>
        <v>0</v>
      </c>
      <c r="L190" s="15">
        <f>IFERROR(_xlfn.XLOOKUP($B190,Raw_Data!$A$3:$A$273,Raw_Data!$Q$3:$Q$273),"")</f>
        <v>0</v>
      </c>
      <c r="M190" s="34" t="str">
        <f>IFERROR(_xlfn.XLOOKUP($B190,Raw_Data!$A$3:$A$273,Raw_Data!$R$3:$R$273),"")</f>
        <v xml:space="preserve">Ascent Funds; Chevron ; Hyzon Fuel Cell; Itochu </v>
      </c>
      <c r="N190" s="16" cm="1">
        <f t="array" ref="N190">IF(M190="",0,COUNTA(_xlfn._xlws.FILTER(_xlfn.TEXTSPLIT(M190,";"), _xlfn.TEXTSPLIT(M190,";")&lt;&gt;"")))</f>
        <v>4</v>
      </c>
      <c r="O190" s="16" t="str">
        <f t="shared" si="6"/>
        <v>N</v>
      </c>
      <c r="P190" s="19">
        <f>IFERROR(_xlfn.XLOOKUP($B190,Raw_Data!$A$3:$A$273,Raw_Data!$V$3:$V$273),"")</f>
        <v>0</v>
      </c>
      <c r="Q190" s="16" t="str">
        <f t="shared" si="7"/>
        <v>Y</v>
      </c>
      <c r="R190" s="32">
        <f>IFERROR(_xlfn.XLOOKUP($B190,Raw_Data!$A$3:$A$273,Raw_Data!$Y$3:$Y$273),"")</f>
        <v>1</v>
      </c>
      <c r="S190" s="4" t="str" cm="1">
        <f t="array" ref="S190">_xlfn.LET(_xlpm.s, Raw_Data!W190,_xlpm.strat, _xlfn._xlws.FILTER(REF_Setup!$B$3:$B$40, REF_Setup!$B$3:$B$40&lt;&gt;""),IF(OR(_xlpm.s="",_xlpm.s=0),"Unclassified",IF(SUM(--ISNUMBER(SEARCH(_xlpm.strat, _xlpm.s)))&gt;0, "Y", "N"))
)</f>
        <v>Y</v>
      </c>
      <c r="T190" s="4" t="str" cm="1">
        <f t="array" ref="T190">_xlfn.LET(_xlpm.s,M190,_xlpm.phil, _xlfn._xlws.FILTER(REF_Setup!$D$3:$D$5, REF_Setup!$D$3:$D$5&lt;&gt;""),IF(OR(_xlpm.s="", _xlpm.s=0),"Unclassified",IF(SUM(--ISNUMBER(SEARCH(_xlpm.phil, _xlpm.s)))&gt;0, "Y", "N")))</f>
        <v>N</v>
      </c>
      <c r="U190" s="4" t="str" cm="1">
        <f t="array" ref="U190">IF(M190="", "Unclassified", IF(AND(SUMPRODUCT(--ISNUMBER(SEARCH(REF_Setup!$B$3:$B$40,M190)))&gt;0,SUMPRODUCT(--ISNUMBER(SEARCH(REF_Setup!$F$3:$F$15,M190)))&gt;0),"Mixed",IF(SUMPRODUCT(--ISNUMBER(SEARCH(REF_Setup!$B$3:$B$40,M190)))&gt;0,"Strategic Only",IF(SUMPRODUCT(--ISNUMBER(SEARCH(REF_Setup!$F$3:$F$15,M190)))&gt;0,"VC Only","Unclassified"))))</f>
        <v>Mixed</v>
      </c>
    </row>
    <row r="191" spans="2:21" x14ac:dyDescent="0.35">
      <c r="B191" s="4">
        <f t="shared" si="8"/>
        <v>189</v>
      </c>
      <c r="C191" s="4" t="str">
        <f>IFERROR(_xlfn.XLOOKUP($B191,Raw_Data!$A$3:$A$273,Raw_Data!$B$3:$B$273),"")</f>
        <v>Raven SR</v>
      </c>
      <c r="D191" s="4" t="str">
        <f>IFERROR(_xlfn.XLOOKUP($B191,Raw_Data!$A$3:$A$273,Raw_Data!$C$3:$C$273),"")</f>
        <v>Pinedale,WY</v>
      </c>
      <c r="E191" s="4">
        <f>IFERROR(_xlfn.XLOOKUP($B191,Raw_Data!$A$3:$A$273,Raw_Data!$D$3:$D$273),"")</f>
        <v>2018</v>
      </c>
      <c r="F191" s="4" t="str">
        <f>IFERROR(_xlfn.XLOOKUP($B191,Raw_Data!$A$3:$A$273,Raw_Data!$F$3:$F$273),"")</f>
        <v>Hydrogen</v>
      </c>
      <c r="G191" s="35">
        <f>IFERROR(_xlfn.XLOOKUP($B191,Raw_Data!$A$3:$A$273,Raw_Data!$J$3:$J$273),"")</f>
        <v>44634</v>
      </c>
      <c r="H191" s="4" t="s">
        <v>75</v>
      </c>
      <c r="I191" s="36">
        <f>IFERROR(_xlfn.XLOOKUP($B191,Raw_Data!$A$3:$A$273,Raw_Data!$I$3:$I$273),"")</f>
        <v>20</v>
      </c>
      <c r="J191" s="36">
        <f>IFERROR(_xlfn.XLOOKUP($B191,Raw_Data!$A$3:$A$273,Raw_Data!$L$3:$L$273),"")</f>
        <v>0</v>
      </c>
      <c r="K191" s="36">
        <f>IFERROR(_xlfn.XLOOKUP($B191,Raw_Data!$A$3:$A$273,Raw_Data!$M$3:$M$273),"")</f>
        <v>0</v>
      </c>
      <c r="L191" s="15" t="str">
        <f>IFERROR(_xlfn.XLOOKUP($B191,Raw_Data!$A$3:$A$273,Raw_Data!$Q$3:$Q$273),"")</f>
        <v>N/A</v>
      </c>
      <c r="M191" s="34" t="str">
        <f>IFERROR(_xlfn.XLOOKUP($B191,Raw_Data!$A$3:$A$273,Raw_Data!$R$3:$R$273),"")</f>
        <v xml:space="preserve">Samsung Venture Investment </v>
      </c>
      <c r="N191" s="16" cm="1">
        <f t="array" ref="N191">IF(M191="",0,COUNTA(_xlfn._xlws.FILTER(_xlfn.TEXTSPLIT(M191,";"), _xlfn.TEXTSPLIT(M191,";")&lt;&gt;"")))</f>
        <v>1</v>
      </c>
      <c r="O191" s="16" t="str">
        <f t="shared" si="6"/>
        <v>N</v>
      </c>
      <c r="P191" s="19">
        <f>IFERROR(_xlfn.XLOOKUP($B191,Raw_Data!$A$3:$A$273,Raw_Data!$V$3:$V$273),"")</f>
        <v>0</v>
      </c>
      <c r="Q191" s="16" t="str">
        <f t="shared" si="7"/>
        <v>Y</v>
      </c>
      <c r="R191" s="32">
        <f>IFERROR(_xlfn.XLOOKUP($B191,Raw_Data!$A$3:$A$273,Raw_Data!$Y$3:$Y$273),"")</f>
        <v>1</v>
      </c>
      <c r="S191" s="4" t="str" cm="1">
        <f t="array" ref="S191">_xlfn.LET(_xlpm.s, Raw_Data!W191,_xlpm.strat, _xlfn._xlws.FILTER(REF_Setup!$B$3:$B$40, REF_Setup!$B$3:$B$40&lt;&gt;""),IF(OR(_xlpm.s="",_xlpm.s=0),"Unclassified",IF(SUM(--ISNUMBER(SEARCH(_xlpm.strat, _xlpm.s)))&gt;0, "Y", "N"))
)</f>
        <v>Y</v>
      </c>
      <c r="T191" s="4" t="str" cm="1">
        <f t="array" ref="T191">_xlfn.LET(_xlpm.s,M191,_xlpm.phil, _xlfn._xlws.FILTER(REF_Setup!$D$3:$D$5, REF_Setup!$D$3:$D$5&lt;&gt;""),IF(OR(_xlpm.s="", _xlpm.s=0),"Unclassified",IF(SUM(--ISNUMBER(SEARCH(_xlpm.phil, _xlpm.s)))&gt;0, "Y", "N")))</f>
        <v>N</v>
      </c>
      <c r="U191" s="4" t="str" cm="1">
        <f t="array" ref="U191">IF(M191="", "Unclassified", IF(AND(SUMPRODUCT(--ISNUMBER(SEARCH(REF_Setup!$B$3:$B$40,M191)))&gt;0,SUMPRODUCT(--ISNUMBER(SEARCH(REF_Setup!$F$3:$F$15,M191)))&gt;0),"Mixed",IF(SUMPRODUCT(--ISNUMBER(SEARCH(REF_Setup!$B$3:$B$40,M191)))&gt;0,"Strategic Only",IF(SUMPRODUCT(--ISNUMBER(SEARCH(REF_Setup!$F$3:$F$15,M191)))&gt;0,"VC Only","Unclassified"))))</f>
        <v>Mixed</v>
      </c>
    </row>
    <row r="192" spans="2:21" x14ac:dyDescent="0.35">
      <c r="B192" s="4">
        <f t="shared" si="8"/>
        <v>190</v>
      </c>
      <c r="C192" s="4" t="str">
        <f>IFERROR(_xlfn.XLOOKUP($B192,Raw_Data!$A$3:$A$273,Raw_Data!$B$3:$B$273),"")</f>
        <v>Raven SR</v>
      </c>
      <c r="D192" s="4" t="str">
        <f>IFERROR(_xlfn.XLOOKUP($B192,Raw_Data!$A$3:$A$273,Raw_Data!$C$3:$C$273),"")</f>
        <v>Pinedale,WY</v>
      </c>
      <c r="E192" s="4">
        <f>IFERROR(_xlfn.XLOOKUP($B192,Raw_Data!$A$3:$A$273,Raw_Data!$D$3:$D$273),"")</f>
        <v>2018</v>
      </c>
      <c r="F192" s="4" t="str">
        <f>IFERROR(_xlfn.XLOOKUP($B192,Raw_Data!$A$3:$A$273,Raw_Data!$F$3:$F$273),"")</f>
        <v>Hydrogen</v>
      </c>
      <c r="G192" s="35">
        <f>IFERROR(_xlfn.XLOOKUP($B192,Raw_Data!$A$3:$A$273,Raw_Data!$J$3:$J$273),"")</f>
        <v>45132</v>
      </c>
      <c r="H192" s="4" t="s">
        <v>75</v>
      </c>
      <c r="I192" s="36">
        <f>IFERROR(_xlfn.XLOOKUP($B192,Raw_Data!$A$3:$A$273,Raw_Data!$I$3:$I$273),"")</f>
        <v>20</v>
      </c>
      <c r="J192" s="36">
        <f>IFERROR(_xlfn.XLOOKUP($B192,Raw_Data!$A$3:$A$273,Raw_Data!$L$3:$L$273),"")</f>
        <v>0</v>
      </c>
      <c r="K192" s="36">
        <f>IFERROR(_xlfn.XLOOKUP($B192,Raw_Data!$A$3:$A$273,Raw_Data!$M$3:$M$273),"")</f>
        <v>0</v>
      </c>
      <c r="L192" s="15" t="str">
        <f>IFERROR(_xlfn.XLOOKUP($B192,Raw_Data!$A$3:$A$273,Raw_Data!$Q$3:$Q$273),"")</f>
        <v>N/A</v>
      </c>
      <c r="M192" s="34" t="str">
        <f>IFERROR(_xlfn.XLOOKUP($B192,Raw_Data!$A$3:$A$273,Raw_Data!$R$3:$R$273),"")</f>
        <v xml:space="preserve">The RockCreek Group </v>
      </c>
      <c r="N192" s="16" cm="1">
        <f t="array" ref="N192">IF(M192="",0,COUNTA(_xlfn._xlws.FILTER(_xlfn.TEXTSPLIT(M192,";"), _xlfn.TEXTSPLIT(M192,";")&lt;&gt;"")))</f>
        <v>1</v>
      </c>
      <c r="O192" s="16" t="str">
        <f t="shared" si="6"/>
        <v>N</v>
      </c>
      <c r="P192" s="19">
        <f>IFERROR(_xlfn.XLOOKUP($B192,Raw_Data!$A$3:$A$273,Raw_Data!$V$3:$V$273),"")</f>
        <v>0</v>
      </c>
      <c r="Q192" s="16" t="str">
        <f t="shared" si="7"/>
        <v>Y</v>
      </c>
      <c r="R192" s="32">
        <f>IFERROR(_xlfn.XLOOKUP($B192,Raw_Data!$A$3:$A$273,Raw_Data!$Y$3:$Y$273),"")</f>
        <v>1</v>
      </c>
      <c r="S192" s="4" t="str" cm="1">
        <f t="array" ref="S192">_xlfn.LET(_xlpm.s, Raw_Data!W192,_xlpm.strat, _xlfn._xlws.FILTER(REF_Setup!$B$3:$B$40, REF_Setup!$B$3:$B$40&lt;&gt;""),IF(OR(_xlpm.s="",_xlpm.s=0),"Unclassified",IF(SUM(--ISNUMBER(SEARCH(_xlpm.strat, _xlpm.s)))&gt;0, "Y", "N"))
)</f>
        <v>N</v>
      </c>
      <c r="T192" s="4" t="str" cm="1">
        <f t="array" ref="T192">_xlfn.LET(_xlpm.s,M192,_xlpm.phil, _xlfn._xlws.FILTER(REF_Setup!$D$3:$D$5, REF_Setup!$D$3:$D$5&lt;&gt;""),IF(OR(_xlpm.s="", _xlpm.s=0),"Unclassified",IF(SUM(--ISNUMBER(SEARCH(_xlpm.phil, _xlpm.s)))&gt;0, "Y", "N")))</f>
        <v>N</v>
      </c>
      <c r="U192" s="4" t="str" cm="1">
        <f t="array" ref="U192">IF(M192="", "Unclassified", IF(AND(SUMPRODUCT(--ISNUMBER(SEARCH(REF_Setup!$B$3:$B$40,M192)))&gt;0,SUMPRODUCT(--ISNUMBER(SEARCH(REF_Setup!$F$3:$F$15,M192)))&gt;0),"Mixed",IF(SUMPRODUCT(--ISNUMBER(SEARCH(REF_Setup!$B$3:$B$40,M192)))&gt;0,"Strategic Only",IF(SUMPRODUCT(--ISNUMBER(SEARCH(REF_Setup!$F$3:$F$15,M192)))&gt;0,"VC Only","Unclassified"))))</f>
        <v>VC Only</v>
      </c>
    </row>
    <row r="193" spans="2:21" x14ac:dyDescent="0.35">
      <c r="B193" s="4">
        <f t="shared" si="8"/>
        <v>191</v>
      </c>
      <c r="C193" s="4" t="str">
        <f>IFERROR(_xlfn.XLOOKUP($B193,Raw_Data!$A$3:$A$273,Raw_Data!$B$3:$B$273),"")</f>
        <v>Raven SR</v>
      </c>
      <c r="D193" s="4" t="str">
        <f>IFERROR(_xlfn.XLOOKUP($B193,Raw_Data!$A$3:$A$273,Raw_Data!$C$3:$C$273),"")</f>
        <v>Pinedale,WY</v>
      </c>
      <c r="E193" s="4">
        <f>IFERROR(_xlfn.XLOOKUP($B193,Raw_Data!$A$3:$A$273,Raw_Data!$D$3:$D$273),"")</f>
        <v>2018</v>
      </c>
      <c r="F193" s="4" t="str">
        <f>IFERROR(_xlfn.XLOOKUP($B193,Raw_Data!$A$3:$A$273,Raw_Data!$F$3:$F$273),"")</f>
        <v>Hydrogen</v>
      </c>
      <c r="G193" s="35">
        <f>IFERROR(_xlfn.XLOOKUP($B193,Raw_Data!$A$3:$A$273,Raw_Data!$J$3:$J$273),"")</f>
        <v>45384</v>
      </c>
      <c r="H193" s="4" t="s">
        <v>75</v>
      </c>
      <c r="I193" s="36">
        <f>IFERROR(_xlfn.XLOOKUP($B193,Raw_Data!$A$3:$A$273,Raw_Data!$I$3:$I$273),"")</f>
        <v>35</v>
      </c>
      <c r="J193" s="36">
        <f>IFERROR(_xlfn.XLOOKUP($B193,Raw_Data!$A$3:$A$273,Raw_Data!$L$3:$L$273),"")</f>
        <v>15</v>
      </c>
      <c r="K193" s="36">
        <f>IFERROR(_xlfn.XLOOKUP($B193,Raw_Data!$A$3:$A$273,Raw_Data!$M$3:$M$273),"")</f>
        <v>0</v>
      </c>
      <c r="L193" s="15">
        <f>IFERROR(_xlfn.XLOOKUP($B193,Raw_Data!$A$3:$A$273,Raw_Data!$Q$3:$Q$273),"")</f>
        <v>0</v>
      </c>
      <c r="M193" s="34" t="str">
        <f>IFERROR(_xlfn.XLOOKUP($B193,Raw_Data!$A$3:$A$273,Raw_Data!$R$3:$R$273),"")</f>
        <v xml:space="preserve">Ascent Funds; Chevron; Itochu; Stellar J </v>
      </c>
      <c r="N193" s="16" cm="1">
        <f t="array" ref="N193">IF(M193="",0,COUNTA(_xlfn._xlws.FILTER(_xlfn.TEXTSPLIT(M193,";"), _xlfn.TEXTSPLIT(M193,";")&lt;&gt;"")))</f>
        <v>4</v>
      </c>
      <c r="O193" s="16" t="str">
        <f t="shared" si="6"/>
        <v>Y</v>
      </c>
      <c r="P193" s="19">
        <f>IFERROR(_xlfn.XLOOKUP($B193,Raw_Data!$A$3:$A$273,Raw_Data!$V$3:$V$273),"")</f>
        <v>1</v>
      </c>
      <c r="Q193" s="16" t="str">
        <f t="shared" si="7"/>
        <v>Y</v>
      </c>
      <c r="R193" s="32" t="str">
        <f>IFERROR(_xlfn.XLOOKUP($B193,Raw_Data!$A$3:$A$273,Raw_Data!$Y$3:$Y$273),"")</f>
        <v>N/A</v>
      </c>
      <c r="S193" s="4" t="str" cm="1">
        <f t="array" ref="S193">_xlfn.LET(_xlpm.s, Raw_Data!W193,_xlpm.strat, _xlfn._xlws.FILTER(REF_Setup!$B$3:$B$40, REF_Setup!$B$3:$B$40&lt;&gt;""),IF(OR(_xlpm.s="",_xlpm.s=0),"Unclassified",IF(SUM(--ISNUMBER(SEARCH(_xlpm.strat, _xlpm.s)))&gt;0, "Y", "N"))
)</f>
        <v>Unclassified</v>
      </c>
      <c r="T193" s="4" t="str" cm="1">
        <f t="array" ref="T193">_xlfn.LET(_xlpm.s,M193,_xlpm.phil, _xlfn._xlws.FILTER(REF_Setup!$D$3:$D$5, REF_Setup!$D$3:$D$5&lt;&gt;""),IF(OR(_xlpm.s="", _xlpm.s=0),"Unclassified",IF(SUM(--ISNUMBER(SEARCH(_xlpm.phil, _xlpm.s)))&gt;0, "Y", "N")))</f>
        <v>N</v>
      </c>
      <c r="U193" s="4" t="str" cm="1">
        <f t="array" ref="U193">IF(M193="", "Unclassified", IF(AND(SUMPRODUCT(--ISNUMBER(SEARCH(REF_Setup!$B$3:$B$40,M193)))&gt;0,SUMPRODUCT(--ISNUMBER(SEARCH(REF_Setup!$F$3:$F$15,M193)))&gt;0),"Mixed",IF(SUMPRODUCT(--ISNUMBER(SEARCH(REF_Setup!$B$3:$B$40,M193)))&gt;0,"Strategic Only",IF(SUMPRODUCT(--ISNUMBER(SEARCH(REF_Setup!$F$3:$F$15,M193)))&gt;0,"VC Only","Unclassified"))))</f>
        <v>Mixed</v>
      </c>
    </row>
    <row r="194" spans="2:21" x14ac:dyDescent="0.35">
      <c r="B194" s="4">
        <f t="shared" si="8"/>
        <v>192</v>
      </c>
      <c r="C194" s="4" t="str">
        <f>IFERROR(_xlfn.XLOOKUP($B194,Raw_Data!$A$3:$A$273,Raw_Data!$B$3:$B$273),"")</f>
        <v>ReCarbon</v>
      </c>
      <c r="D194" s="4" t="str">
        <f>IFERROR(_xlfn.XLOOKUP($B194,Raw_Data!$A$3:$A$273,Raw_Data!$C$3:$C$273),"")</f>
        <v>Fremont, CA</v>
      </c>
      <c r="E194" s="4">
        <f>IFERROR(_xlfn.XLOOKUP($B194,Raw_Data!$A$3:$A$273,Raw_Data!$D$3:$D$273),"")</f>
        <v>2011</v>
      </c>
      <c r="F194" s="4" t="str">
        <f>IFERROR(_xlfn.XLOOKUP($B194,Raw_Data!$A$3:$A$273,Raw_Data!$F$3:$F$273),"")</f>
        <v>Industrial Decarbonization</v>
      </c>
      <c r="G194" s="35">
        <f>IFERROR(_xlfn.XLOOKUP($B194,Raw_Data!$A$3:$A$273,Raw_Data!$J$3:$J$273),"")</f>
        <v>44428</v>
      </c>
      <c r="H194" s="16" t="s">
        <v>1467</v>
      </c>
      <c r="I194" s="36">
        <f>IFERROR(_xlfn.XLOOKUP($B194,Raw_Data!$A$3:$A$273,Raw_Data!$I$3:$I$273),"")</f>
        <v>42</v>
      </c>
      <c r="J194" s="36">
        <f>IFERROR(_xlfn.XLOOKUP($B194,Raw_Data!$A$3:$A$273,Raw_Data!$L$3:$L$273),"")</f>
        <v>27</v>
      </c>
      <c r="K194" s="36">
        <f>IFERROR(_xlfn.XLOOKUP($B194,Raw_Data!$A$3:$A$273,Raw_Data!$M$3:$M$273),"")</f>
        <v>157</v>
      </c>
      <c r="L194" s="15">
        <f>IFERROR(_xlfn.XLOOKUP($B194,Raw_Data!$A$3:$A$273,Raw_Data!$Q$3:$Q$273),"")</f>
        <v>0</v>
      </c>
      <c r="M194" s="34" t="str">
        <f>IFERROR(_xlfn.XLOOKUP($B194,Raw_Data!$A$3:$A$273,Raw_Data!$R$3:$R$273),"")</f>
        <v xml:space="preserve">D3 Jubilee partners; GS Holdings; POSCO Holdings </v>
      </c>
      <c r="N194" s="16" cm="1">
        <f t="array" ref="N194">IF(M194="",0,COUNTA(_xlfn._xlws.FILTER(_xlfn.TEXTSPLIT(M194,";"), _xlfn.TEXTSPLIT(M194,";")&lt;&gt;"")))</f>
        <v>3</v>
      </c>
      <c r="O194" s="16" t="str">
        <f t="shared" si="6"/>
        <v>N</v>
      </c>
      <c r="P194" s="19">
        <f>IFERROR(_xlfn.XLOOKUP($B194,Raw_Data!$A$3:$A$273,Raw_Data!$V$3:$V$273),"")</f>
        <v>0</v>
      </c>
      <c r="Q194" s="16" t="str">
        <f t="shared" si="7"/>
        <v>Y</v>
      </c>
      <c r="R194" s="32">
        <f>IFERROR(_xlfn.XLOOKUP($B194,Raw_Data!$A$3:$A$273,Raw_Data!$Y$3:$Y$273),"")</f>
        <v>1</v>
      </c>
      <c r="S194" s="4" t="str" cm="1">
        <f t="array" ref="S194">_xlfn.LET(_xlpm.s, Raw_Data!W194,_xlpm.strat, _xlfn._xlws.FILTER(REF_Setup!$B$3:$B$40, REF_Setup!$B$3:$B$40&lt;&gt;""),IF(OR(_xlpm.s="",_xlpm.s=0),"Unclassified",IF(SUM(--ISNUMBER(SEARCH(_xlpm.strat, _xlpm.s)))&gt;0, "Y", "N"))
)</f>
        <v>Y</v>
      </c>
      <c r="T194" s="4" t="str" cm="1">
        <f t="array" ref="T194">_xlfn.LET(_xlpm.s,M194,_xlpm.phil, _xlfn._xlws.FILTER(REF_Setup!$D$3:$D$5, REF_Setup!$D$3:$D$5&lt;&gt;""),IF(OR(_xlpm.s="", _xlpm.s=0),"Unclassified",IF(SUM(--ISNUMBER(SEARCH(_xlpm.phil, _xlpm.s)))&gt;0, "Y", "N")))</f>
        <v>N</v>
      </c>
      <c r="U194" s="4" t="str" cm="1">
        <f t="array" ref="U194">IF(M194="", "Unclassified", IF(AND(SUMPRODUCT(--ISNUMBER(SEARCH(REF_Setup!$B$3:$B$40,M194)))&gt;0,SUMPRODUCT(--ISNUMBER(SEARCH(REF_Setup!$F$3:$F$15,M194)))&gt;0),"Mixed",IF(SUMPRODUCT(--ISNUMBER(SEARCH(REF_Setup!$B$3:$B$40,M194)))&gt;0,"Strategic Only",IF(SUMPRODUCT(--ISNUMBER(SEARCH(REF_Setup!$F$3:$F$15,M194)))&gt;0,"VC Only","Unclassified"))))</f>
        <v>Mixed</v>
      </c>
    </row>
    <row r="195" spans="2:21" x14ac:dyDescent="0.35">
      <c r="B195" s="4">
        <f t="shared" si="8"/>
        <v>193</v>
      </c>
      <c r="C195" s="4" t="str">
        <f>IFERROR(_xlfn.XLOOKUP($B195,Raw_Data!$A$3:$A$273,Raw_Data!$B$3:$B$273),"")</f>
        <v>ReEIement Technologies</v>
      </c>
      <c r="D195" s="4" t="str">
        <f>IFERROR(_xlfn.XLOOKUP($B195,Raw_Data!$A$3:$A$273,Raw_Data!$C$3:$C$273),"")</f>
        <v>Fishers, IN</v>
      </c>
      <c r="E195" s="4">
        <f>IFERROR(_xlfn.XLOOKUP($B195,Raw_Data!$A$3:$A$273,Raw_Data!$D$3:$D$273),"")</f>
        <v>2016</v>
      </c>
      <c r="F195" s="4" t="str">
        <f>IFERROR(_xlfn.XLOOKUP($B195,Raw_Data!$A$3:$A$273,Raw_Data!$F$3:$F$273),"")</f>
        <v>Industrial Decarbonization</v>
      </c>
      <c r="G195" s="35">
        <f>IFERROR(_xlfn.XLOOKUP($B195,Raw_Data!$A$3:$A$273,Raw_Data!$J$3:$J$273),"")</f>
        <v>45810</v>
      </c>
      <c r="H195" s="4" t="s">
        <v>75</v>
      </c>
      <c r="I195" s="36">
        <f>IFERROR(_xlfn.XLOOKUP($B195,Raw_Data!$A$3:$A$273,Raw_Data!$I$3:$I$273),"")</f>
        <v>170</v>
      </c>
      <c r="J195" s="36">
        <f>IFERROR(_xlfn.XLOOKUP($B195,Raw_Data!$A$3:$A$273,Raw_Data!$L$3:$L$273),"")</f>
        <v>150</v>
      </c>
      <c r="K195" s="36">
        <f>IFERROR(_xlfn.XLOOKUP($B195,Raw_Data!$A$3:$A$273,Raw_Data!$M$3:$M$273),"")</f>
        <v>0</v>
      </c>
      <c r="L195" s="15">
        <f>IFERROR(_xlfn.XLOOKUP($B195,Raw_Data!$A$3:$A$273,Raw_Data!$Q$3:$Q$273),"")</f>
        <v>0</v>
      </c>
      <c r="M195" s="34" t="str">
        <f>IFERROR(_xlfn.XLOOKUP($B195,Raw_Data!$A$3:$A$273,Raw_Data!$R$3:$R$273),"")</f>
        <v>Novare</v>
      </c>
      <c r="N195" s="16" cm="1">
        <f t="array" ref="N195">IF(M195="",0,COUNTA(_xlfn._xlws.FILTER(_xlfn.TEXTSPLIT(M195,";"), _xlfn.TEXTSPLIT(M195,";")&lt;&gt;"")))</f>
        <v>1</v>
      </c>
      <c r="O195" s="16" t="str">
        <f t="shared" si="6"/>
        <v>N</v>
      </c>
      <c r="P195" s="19">
        <f>IFERROR(_xlfn.XLOOKUP($B195,Raw_Data!$A$3:$A$273,Raw_Data!$V$3:$V$273),"")</f>
        <v>0</v>
      </c>
      <c r="Q195" s="16" t="str">
        <f t="shared" si="7"/>
        <v>Y</v>
      </c>
      <c r="R195" s="32">
        <f>IFERROR(_xlfn.XLOOKUP($B195,Raw_Data!$A$3:$A$273,Raw_Data!$Y$3:$Y$273),"")</f>
        <v>1</v>
      </c>
      <c r="S195" s="4" t="str" cm="1">
        <f t="array" ref="S195">_xlfn.LET(_xlpm.s, Raw_Data!W195,_xlpm.strat, _xlfn._xlws.FILTER(REF_Setup!$B$3:$B$40, REF_Setup!$B$3:$B$40&lt;&gt;""),IF(OR(_xlpm.s="",_xlpm.s=0),"Unclassified",IF(SUM(--ISNUMBER(SEARCH(_xlpm.strat, _xlpm.s)))&gt;0, "Y", "N"))
)</f>
        <v>N</v>
      </c>
      <c r="T195" s="4" t="str" cm="1">
        <f t="array" ref="T195">_xlfn.LET(_xlpm.s,M195,_xlpm.phil, _xlfn._xlws.FILTER(REF_Setup!$D$3:$D$5, REF_Setup!$D$3:$D$5&lt;&gt;""),IF(OR(_xlpm.s="", _xlpm.s=0),"Unclassified",IF(SUM(--ISNUMBER(SEARCH(_xlpm.phil, _xlpm.s)))&gt;0, "Y", "N")))</f>
        <v>N</v>
      </c>
      <c r="U195" s="4" t="str" cm="1">
        <f t="array" ref="U195">IF(M195="", "Unclassified", IF(AND(SUMPRODUCT(--ISNUMBER(SEARCH(REF_Setup!$B$3:$B$40,M195)))&gt;0,SUMPRODUCT(--ISNUMBER(SEARCH(REF_Setup!$F$3:$F$15,M195)))&gt;0),"Mixed",IF(SUMPRODUCT(--ISNUMBER(SEARCH(REF_Setup!$B$3:$B$40,M195)))&gt;0,"Strategic Only",IF(SUMPRODUCT(--ISNUMBER(SEARCH(REF_Setup!$F$3:$F$15,M195)))&gt;0,"VC Only","Unclassified"))))</f>
        <v>Unclassified</v>
      </c>
    </row>
    <row r="196" spans="2:21" x14ac:dyDescent="0.35">
      <c r="B196" s="4">
        <f t="shared" si="8"/>
        <v>194</v>
      </c>
      <c r="C196" s="4" t="str">
        <f>IFERROR(_xlfn.XLOOKUP($B196,Raw_Data!$A$3:$A$273,Raw_Data!$B$3:$B$273),"")</f>
        <v>ReMo Energy</v>
      </c>
      <c r="D196" s="4" t="str">
        <f>IFERROR(_xlfn.XLOOKUP($B196,Raw_Data!$A$3:$A$273,Raw_Data!$C$3:$C$273),"")</f>
        <v>Boston, MA</v>
      </c>
      <c r="E196" s="4">
        <f>IFERROR(_xlfn.XLOOKUP($B196,Raw_Data!$A$3:$A$273,Raw_Data!$D$3:$D$273),"")</f>
        <v>2020</v>
      </c>
      <c r="F196" s="4" t="str">
        <f>IFERROR(_xlfn.XLOOKUP($B196,Raw_Data!$A$3:$A$273,Raw_Data!$F$3:$F$273),"")</f>
        <v>Hydrogen</v>
      </c>
      <c r="G196" s="35">
        <f>IFERROR(_xlfn.XLOOKUP($B196,Raw_Data!$A$3:$A$273,Raw_Data!$J$3:$J$273),"")</f>
        <v>44756</v>
      </c>
      <c r="I196" s="36">
        <f>IFERROR(_xlfn.XLOOKUP($B196,Raw_Data!$A$3:$A$273,Raw_Data!$I$3:$I$273),"")</f>
        <v>6.25</v>
      </c>
      <c r="J196" s="36">
        <f>IFERROR(_xlfn.XLOOKUP($B196,Raw_Data!$A$3:$A$273,Raw_Data!$L$3:$L$273),"")</f>
        <v>5.25</v>
      </c>
      <c r="K196" s="36">
        <f>IFERROR(_xlfn.XLOOKUP($B196,Raw_Data!$A$3:$A$273,Raw_Data!$M$3:$M$273),"")</f>
        <v>15.25</v>
      </c>
      <c r="L196" s="15">
        <f>IFERROR(_xlfn.XLOOKUP($B196,Raw_Data!$A$3:$A$273,Raw_Data!$Q$3:$Q$273),"")</f>
        <v>0</v>
      </c>
      <c r="M196" s="34" t="str">
        <f>IFERROR(_xlfn.XLOOKUP($B196,Raw_Data!$A$3:$A$273,Raw_Data!$R$3:$R$273),"")</f>
        <v>AiiM Partners; Breakthrough Energy; Darco Capital</v>
      </c>
      <c r="N196" s="16" cm="1">
        <f t="array" ref="N196">IF(M196="",0,COUNTA(_xlfn._xlws.FILTER(_xlfn.TEXTSPLIT(M196,";"), _xlfn.TEXTSPLIT(M196,";")&lt;&gt;"")))</f>
        <v>3</v>
      </c>
      <c r="O196" s="16" t="str">
        <f t="shared" ref="O196:O259" si="9">IF(P196&gt;0,"Y","N")</f>
        <v>N</v>
      </c>
      <c r="P196" s="19">
        <f>IFERROR(_xlfn.XLOOKUP($B196,Raw_Data!$A$3:$A$273,Raw_Data!$V$3:$V$273),"")</f>
        <v>0</v>
      </c>
      <c r="Q196" s="16" t="str">
        <f t="shared" ref="Q196:Q259" si="10">IF(R196&gt;0,"Y","N")</f>
        <v>Y</v>
      </c>
      <c r="R196" s="32">
        <f>IFERROR(_xlfn.XLOOKUP($B196,Raw_Data!$A$3:$A$273,Raw_Data!$Y$3:$Y$273),"")</f>
        <v>1</v>
      </c>
      <c r="S196" s="4" t="str" cm="1">
        <f t="array" ref="S196">_xlfn.LET(_xlpm.s, Raw_Data!W196,_xlpm.strat, _xlfn._xlws.FILTER(REF_Setup!$B$3:$B$40, REF_Setup!$B$3:$B$40&lt;&gt;""),IF(OR(_xlpm.s="",_xlpm.s=0),"Unclassified",IF(SUM(--ISNUMBER(SEARCH(_xlpm.strat, _xlpm.s)))&gt;0, "Y", "N"))
)</f>
        <v>N</v>
      </c>
      <c r="T196" s="4" t="str" cm="1">
        <f t="array" ref="T196">_xlfn.LET(_xlpm.s,M196,_xlpm.phil, _xlfn._xlws.FILTER(REF_Setup!$D$3:$D$5, REF_Setup!$D$3:$D$5&lt;&gt;""),IF(OR(_xlpm.s="", _xlpm.s=0),"Unclassified",IF(SUM(--ISNUMBER(SEARCH(_xlpm.phil, _xlpm.s)))&gt;0, "Y", "N")))</f>
        <v>N</v>
      </c>
      <c r="U196" s="4" t="str" cm="1">
        <f t="array" ref="U196">IF(M196="", "Unclassified", IF(AND(SUMPRODUCT(--ISNUMBER(SEARCH(REF_Setup!$B$3:$B$40,M196)))&gt;0,SUMPRODUCT(--ISNUMBER(SEARCH(REF_Setup!$F$3:$F$15,M196)))&gt;0),"Mixed",IF(SUMPRODUCT(--ISNUMBER(SEARCH(REF_Setup!$B$3:$B$40,M196)))&gt;0,"Strategic Only",IF(SUMPRODUCT(--ISNUMBER(SEARCH(REF_Setup!$F$3:$F$15,M196)))&gt;0,"VC Only","Unclassified"))))</f>
        <v>VC Only</v>
      </c>
    </row>
    <row r="197" spans="2:21" ht="43.5" x14ac:dyDescent="0.35">
      <c r="B197" s="4">
        <f t="shared" ref="B197:B260" si="11">B196+1</f>
        <v>195</v>
      </c>
      <c r="C197" s="4" t="str">
        <f>IFERROR(_xlfn.XLOOKUP($B197,Raw_Data!$A$3:$A$273,Raw_Data!$B$3:$B$273),"")</f>
        <v>Rondo Energy</v>
      </c>
      <c r="D197" s="4" t="str">
        <f>IFERROR(_xlfn.XLOOKUP($B197,Raw_Data!$A$3:$A$273,Raw_Data!$C$3:$C$273),"")</f>
        <v>Oakland, CA</v>
      </c>
      <c r="E197" s="4">
        <f>IFERROR(_xlfn.XLOOKUP($B197,Raw_Data!$A$3:$A$273,Raw_Data!$D$3:$D$273),"")</f>
        <v>2020</v>
      </c>
      <c r="F197" s="4" t="str">
        <f>IFERROR(_xlfn.XLOOKUP($B197,Raw_Data!$A$3:$A$273,Raw_Data!$F$3:$F$273),"")</f>
        <v>LDES</v>
      </c>
      <c r="G197" s="35">
        <f>IFERROR(_xlfn.XLOOKUP($B197,Raw_Data!$A$3:$A$273,Raw_Data!$J$3:$J$273),"")</f>
        <v>45140</v>
      </c>
      <c r="H197" s="16" t="s">
        <v>1465</v>
      </c>
      <c r="I197" s="36">
        <f>IFERROR(_xlfn.XLOOKUP($B197,Raw_Data!$A$3:$A$273,Raw_Data!$I$3:$I$273),"")</f>
        <v>85.12</v>
      </c>
      <c r="J197" s="36">
        <f>IFERROR(_xlfn.XLOOKUP($B197,Raw_Data!$A$3:$A$273,Raw_Data!$L$3:$L$273),"")</f>
        <v>60</v>
      </c>
      <c r="K197" s="36">
        <f>IFERROR(_xlfn.XLOOKUP($B197,Raw_Data!$A$3:$A$273,Raw_Data!$M$3:$M$273),"")</f>
        <v>250</v>
      </c>
      <c r="L197" s="15">
        <f>IFERROR(_xlfn.XLOOKUP($B197,Raw_Data!$A$3:$A$273,Raw_Data!$Q$3:$Q$273),"")</f>
        <v>0</v>
      </c>
      <c r="M197" s="34" t="str">
        <f>IFERROR(_xlfn.XLOOKUP($B197,Raw_Data!$A$3:$A$273,Raw_Data!$R$3:$R$273),"")</f>
        <v>Aramco Ventures; Breakthrough Energy; Energy Impact Partners; John Doerr; Microsoft Climate Fund; Rio Tinto; Saudi Basic Industries; SDCL Efficiency Income Trust; Siam Cement Public Company; Titan</v>
      </c>
      <c r="N197" s="16" cm="1">
        <f t="array" ref="N197">IF(M197="",0,COUNTA(_xlfn._xlws.FILTER(_xlfn.TEXTSPLIT(M197,";"), _xlfn.TEXTSPLIT(M197,";")&lt;&gt;"")))</f>
        <v>10</v>
      </c>
      <c r="O197" s="16" t="str">
        <f t="shared" si="9"/>
        <v>Y</v>
      </c>
      <c r="P197" s="19">
        <f>IFERROR(_xlfn.XLOOKUP($B197,Raw_Data!$A$3:$A$273,Raw_Data!$V$3:$V$273),"")</f>
        <v>0.3</v>
      </c>
      <c r="Q197" s="16" t="str">
        <f t="shared" si="10"/>
        <v>Y</v>
      </c>
      <c r="R197" s="32">
        <f>IFERROR(_xlfn.XLOOKUP($B197,Raw_Data!$A$3:$A$273,Raw_Data!$Y$3:$Y$273),"")</f>
        <v>0.7</v>
      </c>
      <c r="S197" s="4" t="str" cm="1">
        <f t="array" ref="S197">_xlfn.LET(_xlpm.s, Raw_Data!W197,_xlpm.strat, _xlfn._xlws.FILTER(REF_Setup!$B$3:$B$40, REF_Setup!$B$3:$B$40&lt;&gt;""),IF(OR(_xlpm.s="",_xlpm.s=0),"Unclassified",IF(SUM(--ISNUMBER(SEARCH(_xlpm.strat, _xlpm.s)))&gt;0, "Y", "N"))
)</f>
        <v>Y</v>
      </c>
      <c r="T197" s="4" t="str" cm="1">
        <f t="array" ref="T197">_xlfn.LET(_xlpm.s,M197,_xlpm.phil, _xlfn._xlws.FILTER(REF_Setup!$D$3:$D$5, REF_Setup!$D$3:$D$5&lt;&gt;""),IF(OR(_xlpm.s="", _xlpm.s=0),"Unclassified",IF(SUM(--ISNUMBER(SEARCH(_xlpm.phil, _xlpm.s)))&gt;0, "Y", "N")))</f>
        <v>N</v>
      </c>
      <c r="U197" s="4" t="str" cm="1">
        <f t="array" ref="U197">IF(M197="", "Unclassified", IF(AND(SUMPRODUCT(--ISNUMBER(SEARCH(REF_Setup!$B$3:$B$40,M197)))&gt;0,SUMPRODUCT(--ISNUMBER(SEARCH(REF_Setup!$F$3:$F$15,M197)))&gt;0),"Mixed",IF(SUMPRODUCT(--ISNUMBER(SEARCH(REF_Setup!$B$3:$B$40,M197)))&gt;0,"Strategic Only",IF(SUMPRODUCT(--ISNUMBER(SEARCH(REF_Setup!$F$3:$F$15,M197)))&gt;0,"VC Only","Unclassified"))))</f>
        <v>Mixed</v>
      </c>
    </row>
    <row r="198" spans="2:21" x14ac:dyDescent="0.35">
      <c r="B198" s="4">
        <f t="shared" si="11"/>
        <v>196</v>
      </c>
      <c r="C198" s="4" t="str">
        <f>IFERROR(_xlfn.XLOOKUP($B198,Raw_Data!$A$3:$A$273,Raw_Data!$B$3:$B$273),"")</f>
        <v>Rove (Other Services (B2C Non-Financial)</v>
      </c>
      <c r="D198" s="4" t="str">
        <f>IFERROR(_xlfn.XLOOKUP($B198,Raw_Data!$A$3:$A$273,Raw_Data!$C$3:$C$273),"")</f>
        <v>Costa Mesa, CA</v>
      </c>
      <c r="E198" s="4">
        <f>IFERROR(_xlfn.XLOOKUP($B198,Raw_Data!$A$3:$A$273,Raw_Data!$D$3:$D$273),"")</f>
        <v>2019</v>
      </c>
      <c r="F198" s="4" t="str">
        <f>IFERROR(_xlfn.XLOOKUP($B198,Raw_Data!$A$3:$A$273,Raw_Data!$F$3:$F$273),"")</f>
        <v>CDR</v>
      </c>
      <c r="G198" s="35">
        <f>IFERROR(_xlfn.XLOOKUP($B198,Raw_Data!$A$3:$A$273,Raw_Data!$J$3:$J$273),"")</f>
        <v>44197</v>
      </c>
      <c r="H198" s="4" t="s">
        <v>75</v>
      </c>
      <c r="I198" s="36">
        <f>IFERROR(_xlfn.XLOOKUP($B198,Raw_Data!$A$3:$A$273,Raw_Data!$I$3:$I$273),"")</f>
        <v>0</v>
      </c>
      <c r="J198" s="36">
        <f>IFERROR(_xlfn.XLOOKUP($B198,Raw_Data!$A$3:$A$273,Raw_Data!$L$3:$L$273),"")</f>
        <v>0</v>
      </c>
      <c r="K198" s="36">
        <f>IFERROR(_xlfn.XLOOKUP($B198,Raw_Data!$A$3:$A$273,Raw_Data!$M$3:$M$273),"")</f>
        <v>0</v>
      </c>
      <c r="L198" s="15" t="str">
        <f>IFERROR(_xlfn.XLOOKUP($B198,Raw_Data!$A$3:$A$273,Raw_Data!$Q$3:$Q$273),"")</f>
        <v>N/A</v>
      </c>
      <c r="M198" s="34" t="str">
        <f>IFERROR(_xlfn.XLOOKUP($B198,Raw_Data!$A$3:$A$273,Raw_Data!$R$3:$R$273),"")</f>
        <v xml:space="preserve">Newlight Partners </v>
      </c>
      <c r="N198" s="16" cm="1">
        <f t="array" ref="N198">IF(M198="",0,COUNTA(_xlfn._xlws.FILTER(_xlfn.TEXTSPLIT(M198,";"), _xlfn.TEXTSPLIT(M198,";")&lt;&gt;"")))</f>
        <v>1</v>
      </c>
      <c r="O198" s="16" t="str">
        <f t="shared" si="9"/>
        <v>N</v>
      </c>
      <c r="P198" s="19">
        <f>IFERROR(_xlfn.XLOOKUP($B198,Raw_Data!$A$3:$A$273,Raw_Data!$V$3:$V$273),"")</f>
        <v>0</v>
      </c>
      <c r="Q198" s="16" t="str">
        <f t="shared" si="10"/>
        <v>Y</v>
      </c>
      <c r="R198" s="32">
        <f>IFERROR(_xlfn.XLOOKUP($B198,Raw_Data!$A$3:$A$273,Raw_Data!$Y$3:$Y$273),"")</f>
        <v>1</v>
      </c>
      <c r="S198" s="4" t="str" cm="1">
        <f t="array" ref="S198">_xlfn.LET(_xlpm.s, Raw_Data!W198,_xlpm.strat, _xlfn._xlws.FILTER(REF_Setup!$B$3:$B$40, REF_Setup!$B$3:$B$40&lt;&gt;""),IF(OR(_xlpm.s="",_xlpm.s=0),"Unclassified",IF(SUM(--ISNUMBER(SEARCH(_xlpm.strat, _xlpm.s)))&gt;0, "Y", "N"))
)</f>
        <v>N</v>
      </c>
      <c r="T198" s="4" t="str" cm="1">
        <f t="array" ref="T198">_xlfn.LET(_xlpm.s,M198,_xlpm.phil, _xlfn._xlws.FILTER(REF_Setup!$D$3:$D$5, REF_Setup!$D$3:$D$5&lt;&gt;""),IF(OR(_xlpm.s="", _xlpm.s=0),"Unclassified",IF(SUM(--ISNUMBER(SEARCH(_xlpm.phil, _xlpm.s)))&gt;0, "Y", "N")))</f>
        <v>N</v>
      </c>
      <c r="U198" s="4" t="str" cm="1">
        <f t="array" ref="U198">IF(M198="", "Unclassified", IF(AND(SUMPRODUCT(--ISNUMBER(SEARCH(REF_Setup!$B$3:$B$40,M198)))&gt;0,SUMPRODUCT(--ISNUMBER(SEARCH(REF_Setup!$F$3:$F$15,M198)))&gt;0),"Mixed",IF(SUMPRODUCT(--ISNUMBER(SEARCH(REF_Setup!$B$3:$B$40,M198)))&gt;0,"Strategic Only",IF(SUMPRODUCT(--ISNUMBER(SEARCH(REF_Setup!$F$3:$F$15,M198)))&gt;0,"VC Only","Unclassified"))))</f>
        <v>VC Only</v>
      </c>
    </row>
    <row r="199" spans="2:21" x14ac:dyDescent="0.35">
      <c r="B199" s="4">
        <f t="shared" si="11"/>
        <v>197</v>
      </c>
      <c r="C199" s="4" t="str">
        <f>IFERROR(_xlfn.XLOOKUP($B199,Raw_Data!$A$3:$A$273,Raw_Data!$B$3:$B$273),"")</f>
        <v>RWDC Industries</v>
      </c>
      <c r="D199" s="4" t="str">
        <f>IFERROR(_xlfn.XLOOKUP($B199,Raw_Data!$A$3:$A$273,Raw_Data!$C$3:$C$273),"")</f>
        <v>Athens, GA</v>
      </c>
      <c r="E199" s="4">
        <f>IFERROR(_xlfn.XLOOKUP($B199,Raw_Data!$A$3:$A$273,Raw_Data!$D$3:$D$273),"")</f>
        <v>2015</v>
      </c>
      <c r="F199" s="4" t="str">
        <f>IFERROR(_xlfn.XLOOKUP($B199,Raw_Data!$A$3:$A$273,Raw_Data!$F$3:$F$273),"")</f>
        <v>Industrial Decarbonization</v>
      </c>
      <c r="G199" s="35">
        <f>IFERROR(_xlfn.XLOOKUP($B199,Raw_Data!$A$3:$A$273,Raw_Data!$J$3:$J$273),"")</f>
        <v>43383</v>
      </c>
      <c r="H199" s="16" t="s">
        <v>1465</v>
      </c>
      <c r="I199" s="36">
        <f>IFERROR(_xlfn.XLOOKUP($B199,Raw_Data!$A$3:$A$273,Raw_Data!$I$3:$I$273),"")</f>
        <v>13</v>
      </c>
      <c r="J199" s="36">
        <f>IFERROR(_xlfn.XLOOKUP($B199,Raw_Data!$A$3:$A$273,Raw_Data!$L$3:$L$273),"")</f>
        <v>13</v>
      </c>
      <c r="K199" s="36">
        <f>IFERROR(_xlfn.XLOOKUP($B199,Raw_Data!$A$3:$A$273,Raw_Data!$M$3:$M$273),"")</f>
        <v>0</v>
      </c>
      <c r="L199" s="15">
        <f>IFERROR(_xlfn.XLOOKUP($B199,Raw_Data!$A$3:$A$273,Raw_Data!$Q$3:$Q$273),"")</f>
        <v>0</v>
      </c>
      <c r="M199" s="34" t="str">
        <f>IFERROR(_xlfn.XLOOKUP($B199,Raw_Data!$A$3:$A$273,Raw_Data!$R$3:$R$273),"")</f>
        <v xml:space="preserve">Ridgevale Enterprises; Vickers Venture Partners; WI Harper Group </v>
      </c>
      <c r="N199" s="16" cm="1">
        <f t="array" ref="N199">IF(M199="",0,COUNTA(_xlfn._xlws.FILTER(_xlfn.TEXTSPLIT(M199,";"), _xlfn.TEXTSPLIT(M199,";")&lt;&gt;"")))</f>
        <v>3</v>
      </c>
      <c r="O199" s="16" t="str">
        <f t="shared" si="9"/>
        <v>N</v>
      </c>
      <c r="P199" s="19">
        <f>IFERROR(_xlfn.XLOOKUP($B199,Raw_Data!$A$3:$A$273,Raw_Data!$V$3:$V$273),"")</f>
        <v>0</v>
      </c>
      <c r="Q199" s="16" t="str">
        <f t="shared" si="10"/>
        <v>Y</v>
      </c>
      <c r="R199" s="32">
        <f>IFERROR(_xlfn.XLOOKUP($B199,Raw_Data!$A$3:$A$273,Raw_Data!$Y$3:$Y$273),"")</f>
        <v>1</v>
      </c>
      <c r="S199" s="4" t="str" cm="1">
        <f t="array" ref="S199">_xlfn.LET(_xlpm.s, Raw_Data!W199,_xlpm.strat, _xlfn._xlws.FILTER(REF_Setup!$B$3:$B$40, REF_Setup!$B$3:$B$40&lt;&gt;""),IF(OR(_xlpm.s="",_xlpm.s=0),"Unclassified",IF(SUM(--ISNUMBER(SEARCH(_xlpm.strat, _xlpm.s)))&gt;0, "Y", "N"))
)</f>
        <v>N</v>
      </c>
      <c r="T199" s="4" t="str" cm="1">
        <f t="array" ref="T199">_xlfn.LET(_xlpm.s,M199,_xlpm.phil, _xlfn._xlws.FILTER(REF_Setup!$D$3:$D$5, REF_Setup!$D$3:$D$5&lt;&gt;""),IF(OR(_xlpm.s="", _xlpm.s=0),"Unclassified",IF(SUM(--ISNUMBER(SEARCH(_xlpm.phil, _xlpm.s)))&gt;0, "Y", "N")))</f>
        <v>N</v>
      </c>
      <c r="U199" s="4" t="str" cm="1">
        <f t="array" ref="U199">IF(M199="", "Unclassified", IF(AND(SUMPRODUCT(--ISNUMBER(SEARCH(REF_Setup!$B$3:$B$40,M199)))&gt;0,SUMPRODUCT(--ISNUMBER(SEARCH(REF_Setup!$F$3:$F$15,M199)))&gt;0),"Mixed",IF(SUMPRODUCT(--ISNUMBER(SEARCH(REF_Setup!$B$3:$B$40,M199)))&gt;0,"Strategic Only",IF(SUMPRODUCT(--ISNUMBER(SEARCH(REF_Setup!$F$3:$F$15,M199)))&gt;0,"VC Only","Unclassified"))))</f>
        <v>VC Only</v>
      </c>
    </row>
    <row r="200" spans="2:21" ht="29" x14ac:dyDescent="0.35">
      <c r="B200" s="4">
        <f t="shared" si="11"/>
        <v>198</v>
      </c>
      <c r="C200" s="4" t="str">
        <f>IFERROR(_xlfn.XLOOKUP($B200,Raw_Data!$A$3:$A$273,Raw_Data!$B$3:$B$273),"")</f>
        <v>RWDC Industries</v>
      </c>
      <c r="D200" s="4" t="str">
        <f>IFERROR(_xlfn.XLOOKUP($B200,Raw_Data!$A$3:$A$273,Raw_Data!$C$3:$C$273),"")</f>
        <v>Athens, GA</v>
      </c>
      <c r="E200" s="4">
        <f>IFERROR(_xlfn.XLOOKUP($B200,Raw_Data!$A$3:$A$273,Raw_Data!$D$3:$D$273),"")</f>
        <v>2015</v>
      </c>
      <c r="F200" s="4" t="str">
        <f>IFERROR(_xlfn.XLOOKUP($B200,Raw_Data!$A$3:$A$273,Raw_Data!$F$3:$F$273),"")</f>
        <v>Industrial Decarbonization</v>
      </c>
      <c r="G200" s="35">
        <f>IFERROR(_xlfn.XLOOKUP($B200,Raw_Data!$A$3:$A$273,Raw_Data!$J$3:$J$273),"")</f>
        <v>43578</v>
      </c>
      <c r="H200" s="16" t="s">
        <v>1465</v>
      </c>
      <c r="I200" s="36">
        <f>IFERROR(_xlfn.XLOOKUP($B200,Raw_Data!$A$3:$A$273,Raw_Data!$I$3:$I$273),"")</f>
        <v>35</v>
      </c>
      <c r="J200" s="36">
        <f>IFERROR(_xlfn.XLOOKUP($B200,Raw_Data!$A$3:$A$273,Raw_Data!$L$3:$L$273),"")</f>
        <v>22</v>
      </c>
      <c r="K200" s="36">
        <f>IFERROR(_xlfn.XLOOKUP($B200,Raw_Data!$A$3:$A$273,Raw_Data!$M$3:$M$273),"")</f>
        <v>0</v>
      </c>
      <c r="L200" s="15">
        <f>IFERROR(_xlfn.XLOOKUP($B200,Raw_Data!$A$3:$A$273,Raw_Data!$Q$3:$Q$273),"")</f>
        <v>0</v>
      </c>
      <c r="M200" s="34" t="str">
        <f>IFERROR(_xlfn.XLOOKUP($B200,Raw_Data!$A$3:$A$273,Raw_Data!$R$3:$R$273),"")</f>
        <v xml:space="preserve">Eversource Retirement Plan Master Trust; Vickers Venture Partners; WI Harper Group </v>
      </c>
      <c r="N200" s="16" cm="1">
        <f t="array" ref="N200">IF(M200="",0,COUNTA(_xlfn._xlws.FILTER(_xlfn.TEXTSPLIT(M200,";"), _xlfn.TEXTSPLIT(M200,";")&lt;&gt;"")))</f>
        <v>3</v>
      </c>
      <c r="O200" s="16" t="str">
        <f t="shared" si="9"/>
        <v>Y</v>
      </c>
      <c r="P200" s="19">
        <f>IFERROR(_xlfn.XLOOKUP($B200,Raw_Data!$A$3:$A$273,Raw_Data!$V$3:$V$273),"")</f>
        <v>0.66666666666666663</v>
      </c>
      <c r="Q200" s="16" t="str">
        <f t="shared" si="10"/>
        <v>Y</v>
      </c>
      <c r="R200" s="32">
        <f>IFERROR(_xlfn.XLOOKUP($B200,Raw_Data!$A$3:$A$273,Raw_Data!$Y$3:$Y$273),"")</f>
        <v>0.33333333333333331</v>
      </c>
      <c r="S200" s="4" t="str" cm="1">
        <f t="array" ref="S200">_xlfn.LET(_xlpm.s, Raw_Data!W200,_xlpm.strat, _xlfn._xlws.FILTER(REF_Setup!$B$3:$B$40, REF_Setup!$B$3:$B$40&lt;&gt;""),IF(OR(_xlpm.s="",_xlpm.s=0),"Unclassified",IF(SUM(--ISNUMBER(SEARCH(_xlpm.strat, _xlpm.s)))&gt;0, "Y", "N"))
)</f>
        <v>N</v>
      </c>
      <c r="T200" s="4" t="str" cm="1">
        <f t="array" ref="T200">_xlfn.LET(_xlpm.s,M200,_xlpm.phil, _xlfn._xlws.FILTER(REF_Setup!$D$3:$D$5, REF_Setup!$D$3:$D$5&lt;&gt;""),IF(OR(_xlpm.s="", _xlpm.s=0),"Unclassified",IF(SUM(--ISNUMBER(SEARCH(_xlpm.phil, _xlpm.s)))&gt;0, "Y", "N")))</f>
        <v>N</v>
      </c>
      <c r="U200" s="4" t="str" cm="1">
        <f t="array" ref="U200">IF(M200="", "Unclassified", IF(AND(SUMPRODUCT(--ISNUMBER(SEARCH(REF_Setup!$B$3:$B$40,M200)))&gt;0,SUMPRODUCT(--ISNUMBER(SEARCH(REF_Setup!$F$3:$F$15,M200)))&gt;0),"Mixed",IF(SUMPRODUCT(--ISNUMBER(SEARCH(REF_Setup!$B$3:$B$40,M200)))&gt;0,"Strategic Only",IF(SUMPRODUCT(--ISNUMBER(SEARCH(REF_Setup!$F$3:$F$15,M200)))&gt;0,"VC Only","Unclassified"))))</f>
        <v>VC Only</v>
      </c>
    </row>
    <row r="201" spans="2:21" ht="29" x14ac:dyDescent="0.35">
      <c r="B201" s="4">
        <f t="shared" si="11"/>
        <v>199</v>
      </c>
      <c r="C201" s="4" t="str">
        <f>IFERROR(_xlfn.XLOOKUP($B201,Raw_Data!$A$3:$A$273,Raw_Data!$B$3:$B$273),"")</f>
        <v>RWDC Industries</v>
      </c>
      <c r="D201" s="4" t="str">
        <f>IFERROR(_xlfn.XLOOKUP($B201,Raw_Data!$A$3:$A$273,Raw_Data!$C$3:$C$273),"")</f>
        <v>Athens, GA</v>
      </c>
      <c r="E201" s="4">
        <f>IFERROR(_xlfn.XLOOKUP($B201,Raw_Data!$A$3:$A$273,Raw_Data!$D$3:$D$273),"")</f>
        <v>2015</v>
      </c>
      <c r="F201" s="4" t="str">
        <f>IFERROR(_xlfn.XLOOKUP($B201,Raw_Data!$A$3:$A$273,Raw_Data!$F$3:$F$273),"")</f>
        <v>Industrial Decarbonization</v>
      </c>
      <c r="G201" s="35">
        <f>IFERROR(_xlfn.XLOOKUP($B201,Raw_Data!$A$3:$A$273,Raw_Data!$J$3:$J$273),"")</f>
        <v>44523</v>
      </c>
      <c r="H201" s="16" t="s">
        <v>1467</v>
      </c>
      <c r="I201" s="36">
        <f>IFERROR(_xlfn.XLOOKUP($B201,Raw_Data!$A$3:$A$273,Raw_Data!$I$3:$I$273),"")</f>
        <v>263.10000000000002</v>
      </c>
      <c r="J201" s="36">
        <f>IFERROR(_xlfn.XLOOKUP($B201,Raw_Data!$A$3:$A$273,Raw_Data!$L$3:$L$273),"")</f>
        <v>95.1</v>
      </c>
      <c r="K201" s="36">
        <f>IFERROR(_xlfn.XLOOKUP($B201,Raw_Data!$A$3:$A$273,Raw_Data!$M$3:$M$273),"")</f>
        <v>0</v>
      </c>
      <c r="L201" s="15">
        <f>IFERROR(_xlfn.XLOOKUP($B201,Raw_Data!$A$3:$A$273,Raw_Data!$Q$3:$Q$273),"")</f>
        <v>0</v>
      </c>
      <c r="M201" s="34" t="str">
        <f>IFERROR(_xlfn.XLOOKUP($B201,Raw_Data!$A$3:$A$273,Raw_Data!$R$3:$R$273),"")</f>
        <v>CPV/CAP Pensionskasse Coop; Optimas Capital Partners; Temasek Holdings; Vickers Venture Partners</v>
      </c>
      <c r="N201" s="16" cm="1">
        <f t="array" ref="N201">IF(M201="",0,COUNTA(_xlfn._xlws.FILTER(_xlfn.TEXTSPLIT(M201,";"), _xlfn.TEXTSPLIT(M201,";")&lt;&gt;"")))</f>
        <v>4</v>
      </c>
      <c r="O201" s="16" t="str">
        <f t="shared" si="9"/>
        <v>Y</v>
      </c>
      <c r="P201" s="19">
        <f>IFERROR(_xlfn.XLOOKUP($B201,Raw_Data!$A$3:$A$273,Raw_Data!$V$3:$V$273),"")</f>
        <v>0.5</v>
      </c>
      <c r="Q201" s="16" t="str">
        <f t="shared" si="10"/>
        <v>Y</v>
      </c>
      <c r="R201" s="32">
        <f>IFERROR(_xlfn.XLOOKUP($B201,Raw_Data!$A$3:$A$273,Raw_Data!$Y$3:$Y$273),"")</f>
        <v>0.75</v>
      </c>
      <c r="S201" s="4" t="str" cm="1">
        <f t="array" ref="S201">_xlfn.LET(_xlpm.s, Raw_Data!W201,_xlpm.strat, _xlfn._xlws.FILTER(REF_Setup!$B$3:$B$40, REF_Setup!$B$3:$B$40&lt;&gt;""),IF(OR(_xlpm.s="",_xlpm.s=0),"Unclassified",IF(SUM(--ISNUMBER(SEARCH(_xlpm.strat, _xlpm.s)))&gt;0, "Y", "N"))
)</f>
        <v>N</v>
      </c>
      <c r="T201" s="4" t="str" cm="1">
        <f t="array" ref="T201">_xlfn.LET(_xlpm.s,M201,_xlpm.phil, _xlfn._xlws.FILTER(REF_Setup!$D$3:$D$5, REF_Setup!$D$3:$D$5&lt;&gt;""),IF(OR(_xlpm.s="", _xlpm.s=0),"Unclassified",IF(SUM(--ISNUMBER(SEARCH(_xlpm.phil, _xlpm.s)))&gt;0, "Y", "N")))</f>
        <v>N</v>
      </c>
      <c r="U201" s="4" t="str" cm="1">
        <f t="array" ref="U201">IF(M201="", "Unclassified", IF(AND(SUMPRODUCT(--ISNUMBER(SEARCH(REF_Setup!$B$3:$B$40,M201)))&gt;0,SUMPRODUCT(--ISNUMBER(SEARCH(REF_Setup!$F$3:$F$15,M201)))&gt;0),"Mixed",IF(SUMPRODUCT(--ISNUMBER(SEARCH(REF_Setup!$B$3:$B$40,M201)))&gt;0,"Strategic Only",IF(SUMPRODUCT(--ISNUMBER(SEARCH(REF_Setup!$F$3:$F$15,M201)))&gt;0,"VC Only","Unclassified"))))</f>
        <v>VC Only</v>
      </c>
    </row>
    <row r="202" spans="2:21" x14ac:dyDescent="0.35">
      <c r="B202" s="4">
        <f t="shared" si="11"/>
        <v>200</v>
      </c>
      <c r="C202" s="4" t="str">
        <f>IFERROR(_xlfn.XLOOKUP($B202,Raw_Data!$A$3:$A$273,Raw_Data!$B$3:$B$273),"")</f>
        <v>Scale Microgrid Solutions</v>
      </c>
      <c r="D202" s="4" t="str">
        <f>IFERROR(_xlfn.XLOOKUP($B202,Raw_Data!$A$3:$A$273,Raw_Data!$C$3:$C$273),"")</f>
        <v>Ridgewood, NJ</v>
      </c>
      <c r="E202" s="4">
        <f>IFERROR(_xlfn.XLOOKUP($B202,Raw_Data!$A$3:$A$273,Raw_Data!$D$3:$D$273),"")</f>
        <v>2016</v>
      </c>
      <c r="F202" s="4" t="str">
        <f>IFERROR(_xlfn.XLOOKUP($B202,Raw_Data!$A$3:$A$273,Raw_Data!$F$3:$F$273),"")</f>
        <v>Renewables</v>
      </c>
      <c r="G202" s="35">
        <f>IFERROR(_xlfn.XLOOKUP($B202,Raw_Data!$A$3:$A$273,Raw_Data!$J$3:$J$273),"")</f>
        <v>43857</v>
      </c>
      <c r="H202" s="4" t="s">
        <v>75</v>
      </c>
      <c r="I202" s="36">
        <f>IFERROR(_xlfn.XLOOKUP($B202,Raw_Data!$A$3:$A$273,Raw_Data!$I$3:$I$273),"")</f>
        <v>300</v>
      </c>
      <c r="J202" s="36">
        <f>IFERROR(_xlfn.XLOOKUP($B202,Raw_Data!$A$3:$A$273,Raw_Data!$L$3:$L$273),"")</f>
        <v>300</v>
      </c>
      <c r="K202" s="36">
        <f>IFERROR(_xlfn.XLOOKUP($B202,Raw_Data!$A$3:$A$273,Raw_Data!$M$3:$M$273),"")</f>
        <v>0</v>
      </c>
      <c r="L202" s="15">
        <f>IFERROR(_xlfn.XLOOKUP($B202,Raw_Data!$A$3:$A$273,Raw_Data!$Q$3:$Q$273),"")</f>
        <v>0</v>
      </c>
      <c r="M202" s="34" t="str">
        <f>IFERROR(_xlfn.XLOOKUP($B202,Raw_Data!$A$3:$A$273,Raw_Data!$R$3:$R$273),"")</f>
        <v xml:space="preserve">Warburg Pincus </v>
      </c>
      <c r="N202" s="16" cm="1">
        <f t="array" ref="N202">IF(M202="",0,COUNTA(_xlfn._xlws.FILTER(_xlfn.TEXTSPLIT(M202,";"), _xlfn.TEXTSPLIT(M202,";")&lt;&gt;"")))</f>
        <v>1</v>
      </c>
      <c r="O202" s="16" t="str">
        <f t="shared" si="9"/>
        <v>N</v>
      </c>
      <c r="P202" s="19">
        <f>IFERROR(_xlfn.XLOOKUP($B202,Raw_Data!$A$3:$A$273,Raw_Data!$V$3:$V$273),"")</f>
        <v>0</v>
      </c>
      <c r="Q202" s="16" t="str">
        <f t="shared" si="10"/>
        <v>Y</v>
      </c>
      <c r="R202" s="32">
        <f>IFERROR(_xlfn.XLOOKUP($B202,Raw_Data!$A$3:$A$273,Raw_Data!$Y$3:$Y$273),"")</f>
        <v>1</v>
      </c>
      <c r="S202" s="4" t="str" cm="1">
        <f t="array" ref="S202">_xlfn.LET(_xlpm.s, Raw_Data!W202,_xlpm.strat, _xlfn._xlws.FILTER(REF_Setup!$B$3:$B$40, REF_Setup!$B$3:$B$40&lt;&gt;""),IF(OR(_xlpm.s="",_xlpm.s=0),"Unclassified",IF(SUM(--ISNUMBER(SEARCH(_xlpm.strat, _xlpm.s)))&gt;0, "Y", "N"))
)</f>
        <v>N</v>
      </c>
      <c r="T202" s="4" t="str" cm="1">
        <f t="array" ref="T202">_xlfn.LET(_xlpm.s,M202,_xlpm.phil, _xlfn._xlws.FILTER(REF_Setup!$D$3:$D$5, REF_Setup!$D$3:$D$5&lt;&gt;""),IF(OR(_xlpm.s="", _xlpm.s=0),"Unclassified",IF(SUM(--ISNUMBER(SEARCH(_xlpm.phil, _xlpm.s)))&gt;0, "Y", "N")))</f>
        <v>N</v>
      </c>
      <c r="U202" s="4" t="str" cm="1">
        <f t="array" ref="U202">IF(M202="", "Unclassified", IF(AND(SUMPRODUCT(--ISNUMBER(SEARCH(REF_Setup!$B$3:$B$40,M202)))&gt;0,SUMPRODUCT(--ISNUMBER(SEARCH(REF_Setup!$F$3:$F$15,M202)))&gt;0),"Mixed",IF(SUMPRODUCT(--ISNUMBER(SEARCH(REF_Setup!$B$3:$B$40,M202)))&gt;0,"Strategic Only",IF(SUMPRODUCT(--ISNUMBER(SEARCH(REF_Setup!$F$3:$F$15,M202)))&gt;0,"VC Only","Unclassified"))))</f>
        <v>Unclassified</v>
      </c>
    </row>
    <row r="203" spans="2:21" x14ac:dyDescent="0.35">
      <c r="B203" s="4">
        <f t="shared" si="11"/>
        <v>201</v>
      </c>
      <c r="C203" s="4" t="str">
        <f>IFERROR(_xlfn.XLOOKUP($B203,Raw_Data!$A$3:$A$273,Raw_Data!$B$3:$B$273),"")</f>
        <v>Scape Carbon</v>
      </c>
      <c r="D203" s="4" t="str">
        <f>IFERROR(_xlfn.XLOOKUP($B203,Raw_Data!$A$3:$A$273,Raw_Data!$C$3:$C$273),"")</f>
        <v>Los Angeles, CA</v>
      </c>
      <c r="E203" s="4">
        <f>IFERROR(_xlfn.XLOOKUP($B203,Raw_Data!$A$3:$A$273,Raw_Data!$D$3:$D$273),"")</f>
        <v>2022</v>
      </c>
      <c r="F203" s="4" t="str">
        <f>IFERROR(_xlfn.XLOOKUP($B203,Raw_Data!$A$3:$A$273,Raw_Data!$F$3:$F$273),"")</f>
        <v>CDR</v>
      </c>
      <c r="G203" s="35">
        <f>IFERROR(_xlfn.XLOOKUP($B203,Raw_Data!$A$3:$A$273,Raw_Data!$J$3:$J$273),"")</f>
        <v>45627</v>
      </c>
      <c r="H203" s="16" t="s">
        <v>1466</v>
      </c>
      <c r="I203" s="36">
        <f>IFERROR(_xlfn.XLOOKUP($B203,Raw_Data!$A$3:$A$273,Raw_Data!$I$3:$I$273),"")</f>
        <v>0.5</v>
      </c>
      <c r="J203" s="36">
        <f>IFERROR(_xlfn.XLOOKUP($B203,Raw_Data!$A$3:$A$273,Raw_Data!$L$3:$L$273),"")</f>
        <v>0.5</v>
      </c>
      <c r="K203" s="36">
        <f>IFERROR(_xlfn.XLOOKUP($B203,Raw_Data!$A$3:$A$273,Raw_Data!$M$3:$M$273),"")</f>
        <v>5</v>
      </c>
      <c r="L203" s="15">
        <f>IFERROR(_xlfn.XLOOKUP($B203,Raw_Data!$A$3:$A$273,Raw_Data!$Q$3:$Q$273),"")</f>
        <v>0</v>
      </c>
      <c r="M203" s="34" t="str">
        <f>IFERROR(_xlfn.XLOOKUP($B203,Raw_Data!$A$3:$A$273,Raw_Data!$R$3:$R$273),"")</f>
        <v>Anthropocene Ventures; E8; Five Two Five</v>
      </c>
      <c r="N203" s="16" cm="1">
        <f t="array" ref="N203">IF(M203="",0,COUNTA(_xlfn._xlws.FILTER(_xlfn.TEXTSPLIT(M203,";"), _xlfn.TEXTSPLIT(M203,";")&lt;&gt;"")))</f>
        <v>3</v>
      </c>
      <c r="O203" s="16" t="str">
        <f t="shared" si="9"/>
        <v>N</v>
      </c>
      <c r="P203" s="19">
        <f>IFERROR(_xlfn.XLOOKUP($B203,Raw_Data!$A$3:$A$273,Raw_Data!$V$3:$V$273),"")</f>
        <v>0</v>
      </c>
      <c r="Q203" s="16" t="str">
        <f t="shared" si="10"/>
        <v>Y</v>
      </c>
      <c r="R203" s="32">
        <f>IFERROR(_xlfn.XLOOKUP($B203,Raw_Data!$A$3:$A$273,Raw_Data!$Y$3:$Y$273),"")</f>
        <v>1</v>
      </c>
      <c r="S203" s="4" t="str" cm="1">
        <f t="array" ref="S203">_xlfn.LET(_xlpm.s, Raw_Data!W203,_xlpm.strat, _xlfn._xlws.FILTER(REF_Setup!$B$3:$B$40, REF_Setup!$B$3:$B$40&lt;&gt;""),IF(OR(_xlpm.s="",_xlpm.s=0),"Unclassified",IF(SUM(--ISNUMBER(SEARCH(_xlpm.strat, _xlpm.s)))&gt;0, "Y", "N"))
)</f>
        <v>N</v>
      </c>
      <c r="T203" s="4" t="str" cm="1">
        <f t="array" ref="T203">_xlfn.LET(_xlpm.s,M203,_xlpm.phil, _xlfn._xlws.FILTER(REF_Setup!$D$3:$D$5, REF_Setup!$D$3:$D$5&lt;&gt;""),IF(OR(_xlpm.s="", _xlpm.s=0),"Unclassified",IF(SUM(--ISNUMBER(SEARCH(_xlpm.phil, _xlpm.s)))&gt;0, "Y", "N")))</f>
        <v>N</v>
      </c>
      <c r="U203" s="4" t="str" cm="1">
        <f t="array" ref="U203">IF(M203="", "Unclassified", IF(AND(SUMPRODUCT(--ISNUMBER(SEARCH(REF_Setup!$B$3:$B$40,M203)))&gt;0,SUMPRODUCT(--ISNUMBER(SEARCH(REF_Setup!$F$3:$F$15,M203)))&gt;0),"Mixed",IF(SUMPRODUCT(--ISNUMBER(SEARCH(REF_Setup!$B$3:$B$40,M203)))&gt;0,"Strategic Only",IF(SUMPRODUCT(--ISNUMBER(SEARCH(REF_Setup!$F$3:$F$15,M203)))&gt;0,"VC Only","Unclassified"))))</f>
        <v>VC Only</v>
      </c>
    </row>
    <row r="204" spans="2:21" ht="29" x14ac:dyDescent="0.35">
      <c r="B204" s="4">
        <f t="shared" si="11"/>
        <v>202</v>
      </c>
      <c r="C204" s="4" t="str">
        <f>IFERROR(_xlfn.XLOOKUP($B204,Raw_Data!$A$3:$A$273,Raw_Data!$B$3:$B$273),"")</f>
        <v>Scooterson</v>
      </c>
      <c r="D204" s="4" t="str">
        <f>IFERROR(_xlfn.XLOOKUP($B204,Raw_Data!$A$3:$A$273,Raw_Data!$C$3:$C$273),"")</f>
        <v>San Francisco, CA</v>
      </c>
      <c r="E204" s="4">
        <f>IFERROR(_xlfn.XLOOKUP($B204,Raw_Data!$A$3:$A$273,Raw_Data!$D$3:$D$273),"")</f>
        <v>2016</v>
      </c>
      <c r="F204" s="4" t="str">
        <f>IFERROR(_xlfn.XLOOKUP($B204,Raw_Data!$A$3:$A$273,Raw_Data!$F$3:$F$273),"")</f>
        <v>Mobility</v>
      </c>
      <c r="G204" s="35">
        <f>IFERROR(_xlfn.XLOOKUP($B204,Raw_Data!$A$3:$A$273,Raw_Data!$J$3:$J$273),"")</f>
        <v>42939</v>
      </c>
      <c r="H204" s="16" t="s">
        <v>1466</v>
      </c>
      <c r="I204" s="36">
        <f>IFERROR(_xlfn.XLOOKUP($B204,Raw_Data!$A$3:$A$273,Raw_Data!$I$3:$I$273),"")</f>
        <v>1.81</v>
      </c>
      <c r="J204" s="36">
        <f>IFERROR(_xlfn.XLOOKUP($B204,Raw_Data!$A$3:$A$273,Raw_Data!$L$3:$L$273),"")</f>
        <v>1.75</v>
      </c>
      <c r="K204" s="36">
        <f>IFERROR(_xlfn.XLOOKUP($B204,Raw_Data!$A$3:$A$273,Raw_Data!$M$3:$M$273),"")</f>
        <v>15.25</v>
      </c>
      <c r="L204" s="15">
        <f>IFERROR(_xlfn.XLOOKUP($B204,Raw_Data!$A$3:$A$273,Raw_Data!$Q$3:$Q$273),"")</f>
        <v>0</v>
      </c>
      <c r="M204" s="34" t="str">
        <f>IFERROR(_xlfn.XLOOKUP($B204,Raw_Data!$A$3:$A$273,Raw_Data!$R$3:$R$273),"")</f>
        <v>Aditya Mathur; Arsat Industries; Bhavya Khanna; Elev8.vc; Elevate Ventures; Sai Anurag; SM Ventures</v>
      </c>
      <c r="N204" s="16" cm="1">
        <f t="array" ref="N204">IF(M204="",0,COUNTA(_xlfn._xlws.FILTER(_xlfn.TEXTSPLIT(M204,";"), _xlfn.TEXTSPLIT(M204,";")&lt;&gt;"")))</f>
        <v>7</v>
      </c>
      <c r="O204" s="16" t="str">
        <f t="shared" si="9"/>
        <v>N</v>
      </c>
      <c r="P204" s="19">
        <f>IFERROR(_xlfn.XLOOKUP($B204,Raw_Data!$A$3:$A$273,Raw_Data!$V$3:$V$273),"")</f>
        <v>0</v>
      </c>
      <c r="Q204" s="16" t="str">
        <f t="shared" si="10"/>
        <v>Y</v>
      </c>
      <c r="R204" s="32">
        <f>IFERROR(_xlfn.XLOOKUP($B204,Raw_Data!$A$3:$A$273,Raw_Data!$Y$3:$Y$273),"")</f>
        <v>1</v>
      </c>
      <c r="S204" s="4" t="str" cm="1">
        <f t="array" ref="S204">_xlfn.LET(_xlpm.s, Raw_Data!W204,_xlpm.strat, _xlfn._xlws.FILTER(REF_Setup!$B$3:$B$40, REF_Setup!$B$3:$B$40&lt;&gt;""),IF(OR(_xlpm.s="",_xlpm.s=0),"Unclassified",IF(SUM(--ISNUMBER(SEARCH(_xlpm.strat, _xlpm.s)))&gt;0, "Y", "N"))
)</f>
        <v>N</v>
      </c>
      <c r="T204" s="4" t="str" cm="1">
        <f t="array" ref="T204">_xlfn.LET(_xlpm.s,M204,_xlpm.phil, _xlfn._xlws.FILTER(REF_Setup!$D$3:$D$5, REF_Setup!$D$3:$D$5&lt;&gt;""),IF(OR(_xlpm.s="", _xlpm.s=0),"Unclassified",IF(SUM(--ISNUMBER(SEARCH(_xlpm.phil, _xlpm.s)))&gt;0, "Y", "N")))</f>
        <v>N</v>
      </c>
      <c r="U204" s="4" t="str" cm="1">
        <f t="array" ref="U204">IF(M204="", "Unclassified", IF(AND(SUMPRODUCT(--ISNUMBER(SEARCH(REF_Setup!$B$3:$B$40,M204)))&gt;0,SUMPRODUCT(--ISNUMBER(SEARCH(REF_Setup!$F$3:$F$15,M204)))&gt;0),"Mixed",IF(SUMPRODUCT(--ISNUMBER(SEARCH(REF_Setup!$B$3:$B$40,M204)))&gt;0,"Strategic Only",IF(SUMPRODUCT(--ISNUMBER(SEARCH(REF_Setup!$F$3:$F$15,M204)))&gt;0,"VC Only","Unclassified"))))</f>
        <v>VC Only</v>
      </c>
    </row>
    <row r="205" spans="2:21" x14ac:dyDescent="0.35">
      <c r="B205" s="4">
        <f t="shared" si="11"/>
        <v>203</v>
      </c>
      <c r="C205" s="4" t="str">
        <f>IFERROR(_xlfn.XLOOKUP($B205,Raw_Data!$A$3:$A$273,Raw_Data!$B$3:$B$273),"")</f>
        <v>SGP BioEnergy</v>
      </c>
      <c r="D205" s="4" t="str">
        <f>IFERROR(_xlfn.XLOOKUP($B205,Raw_Data!$A$3:$A$273,Raw_Data!$C$3:$C$273),"")</f>
        <v>New York, NY</v>
      </c>
      <c r="E205" s="4">
        <f>IFERROR(_xlfn.XLOOKUP($B205,Raw_Data!$A$3:$A$273,Raw_Data!$D$3:$D$273),"")</f>
        <v>2012</v>
      </c>
      <c r="F205" s="4" t="str">
        <f>IFERROR(_xlfn.XLOOKUP($B205,Raw_Data!$A$3:$A$273,Raw_Data!$F$3:$F$273),"")</f>
        <v>Industrial Decarbonization</v>
      </c>
      <c r="G205" s="35">
        <f>IFERROR(_xlfn.XLOOKUP($B205,Raw_Data!$A$3:$A$273,Raw_Data!$J$3:$J$273),"")</f>
        <v>45204</v>
      </c>
      <c r="H205" s="4" t="s">
        <v>75</v>
      </c>
      <c r="I205" s="36">
        <f>IFERROR(_xlfn.XLOOKUP($B205,Raw_Data!$A$3:$A$273,Raw_Data!$I$3:$I$273),"")</f>
        <v>250</v>
      </c>
      <c r="J205" s="36">
        <f>IFERROR(_xlfn.XLOOKUP($B205,Raw_Data!$A$3:$A$273,Raw_Data!$L$3:$L$273),"")</f>
        <v>250</v>
      </c>
      <c r="K205" s="36">
        <f>IFERROR(_xlfn.XLOOKUP($B205,Raw_Data!$A$3:$A$273,Raw_Data!$M$3:$M$273),"")</f>
        <v>0</v>
      </c>
      <c r="L205" s="15">
        <f>IFERROR(_xlfn.XLOOKUP($B205,Raw_Data!$A$3:$A$273,Raw_Data!$Q$3:$Q$273),"")</f>
        <v>0</v>
      </c>
      <c r="M205" s="34" t="str">
        <f>IFERROR(_xlfn.XLOOKUP($B205,Raw_Data!$A$3:$A$273,Raw_Data!$R$3:$R$273),"")</f>
        <v xml:space="preserve">Global Emerging Markets </v>
      </c>
      <c r="N205" s="16" cm="1">
        <f t="array" ref="N205">IF(M205="",0,COUNTA(_xlfn._xlws.FILTER(_xlfn.TEXTSPLIT(M205,";"), _xlfn.TEXTSPLIT(M205,";")&lt;&gt;"")))</f>
        <v>1</v>
      </c>
      <c r="O205" s="16" t="str">
        <f t="shared" si="9"/>
        <v>N</v>
      </c>
      <c r="P205" s="19">
        <f>IFERROR(_xlfn.XLOOKUP($B205,Raw_Data!$A$3:$A$273,Raw_Data!$V$3:$V$273),"")</f>
        <v>0</v>
      </c>
      <c r="Q205" s="16" t="str">
        <f t="shared" si="10"/>
        <v>Y</v>
      </c>
      <c r="R205" s="32">
        <f>IFERROR(_xlfn.XLOOKUP($B205,Raw_Data!$A$3:$A$273,Raw_Data!$Y$3:$Y$273),"")</f>
        <v>1</v>
      </c>
      <c r="S205" s="4" t="str" cm="1">
        <f t="array" ref="S205">_xlfn.LET(_xlpm.s, Raw_Data!W205,_xlpm.strat, _xlfn._xlws.FILTER(REF_Setup!$B$3:$B$40, REF_Setup!$B$3:$B$40&lt;&gt;""),IF(OR(_xlpm.s="",_xlpm.s=0),"Unclassified",IF(SUM(--ISNUMBER(SEARCH(_xlpm.strat, _xlpm.s)))&gt;0, "Y", "N"))
)</f>
        <v>N</v>
      </c>
      <c r="T205" s="4" t="str" cm="1">
        <f t="array" ref="T205">_xlfn.LET(_xlpm.s,M205,_xlpm.phil, _xlfn._xlws.FILTER(REF_Setup!$D$3:$D$5, REF_Setup!$D$3:$D$5&lt;&gt;""),IF(OR(_xlpm.s="", _xlpm.s=0),"Unclassified",IF(SUM(--ISNUMBER(SEARCH(_xlpm.phil, _xlpm.s)))&gt;0, "Y", "N")))</f>
        <v>N</v>
      </c>
      <c r="U205" s="4" t="str" cm="1">
        <f t="array" ref="U205">IF(M205="", "Unclassified", IF(AND(SUMPRODUCT(--ISNUMBER(SEARCH(REF_Setup!$B$3:$B$40,M205)))&gt;0,SUMPRODUCT(--ISNUMBER(SEARCH(REF_Setup!$F$3:$F$15,M205)))&gt;0),"Mixed",IF(SUMPRODUCT(--ISNUMBER(SEARCH(REF_Setup!$B$3:$B$40,M205)))&gt;0,"Strategic Only",IF(SUMPRODUCT(--ISNUMBER(SEARCH(REF_Setup!$F$3:$F$15,M205)))&gt;0,"VC Only","Unclassified"))))</f>
        <v>Unclassified</v>
      </c>
    </row>
    <row r="206" spans="2:21" x14ac:dyDescent="0.35">
      <c r="B206" s="4">
        <f t="shared" si="11"/>
        <v>204</v>
      </c>
      <c r="C206" s="4" t="str">
        <f>IFERROR(_xlfn.XLOOKUP($B206,Raw_Data!$A$3:$A$273,Raw_Data!$B$3:$B$273),"")</f>
        <v>SimpliPhi Power</v>
      </c>
      <c r="D206" s="4" t="str">
        <f>IFERROR(_xlfn.XLOOKUP($B206,Raw_Data!$A$3:$A$273,Raw_Data!$C$3:$C$273),"")</f>
        <v>Oxnard, CA</v>
      </c>
      <c r="E206" s="4">
        <f>IFERROR(_xlfn.XLOOKUP($B206,Raw_Data!$A$3:$A$273,Raw_Data!$D$3:$D$273),"")</f>
        <v>2002</v>
      </c>
      <c r="F206" s="4" t="str">
        <f>IFERROR(_xlfn.XLOOKUP($B206,Raw_Data!$A$3:$A$273,Raw_Data!$F$3:$F$273),"")</f>
        <v>LDES</v>
      </c>
      <c r="G206" s="35">
        <f>IFERROR(_xlfn.XLOOKUP($B206,Raw_Data!$A$3:$A$273,Raw_Data!$J$3:$J$273),"")</f>
        <v>42612</v>
      </c>
      <c r="H206" s="16" t="s">
        <v>1468</v>
      </c>
      <c r="I206" s="36">
        <f>IFERROR(_xlfn.XLOOKUP($B206,Raw_Data!$A$3:$A$273,Raw_Data!$I$3:$I$273),"")</f>
        <v>3.5</v>
      </c>
      <c r="J206" s="36">
        <f>IFERROR(_xlfn.XLOOKUP($B206,Raw_Data!$A$3:$A$273,Raw_Data!$L$3:$L$273),"")</f>
        <v>2</v>
      </c>
      <c r="K206" s="36">
        <f>IFERROR(_xlfn.XLOOKUP($B206,Raw_Data!$A$3:$A$273,Raw_Data!$M$3:$M$273),"")</f>
        <v>0</v>
      </c>
      <c r="L206" s="15">
        <f>IFERROR(_xlfn.XLOOKUP($B206,Raw_Data!$A$3:$A$273,Raw_Data!$Q$3:$Q$273),"")</f>
        <v>1</v>
      </c>
      <c r="M206" s="34"/>
      <c r="N206" s="16" cm="1">
        <f t="array" ref="N206">IF(M206="",0,COUNTA(_xlfn._xlws.FILTER(_xlfn.TEXTSPLIT(M206,";"), _xlfn.TEXTSPLIT(M206,";")&lt;&gt;"")))</f>
        <v>0</v>
      </c>
      <c r="O206" s="16" t="str">
        <f t="shared" si="9"/>
        <v>Y</v>
      </c>
      <c r="P206" s="19" t="str">
        <f>IFERROR(_xlfn.XLOOKUP($B206,Raw_Data!$A$3:$A$273,Raw_Data!$V$3:$V$273),"")</f>
        <v>N/A</v>
      </c>
      <c r="Q206" s="16" t="str">
        <f t="shared" si="10"/>
        <v>Y</v>
      </c>
      <c r="R206" s="32" t="str">
        <f>IFERROR(_xlfn.XLOOKUP($B206,Raw_Data!$A$3:$A$273,Raw_Data!$Y$3:$Y$273),"")</f>
        <v>N/A</v>
      </c>
      <c r="S206" s="4" t="str" cm="1">
        <f t="array" ref="S206">_xlfn.LET(_xlpm.s, Raw_Data!W206,_xlpm.strat, _xlfn._xlws.FILTER(REF_Setup!$B$3:$B$40, REF_Setup!$B$3:$B$40&lt;&gt;""),IF(OR(_xlpm.s="",_xlpm.s=0),"Unclassified",IF(SUM(--ISNUMBER(SEARCH(_xlpm.strat, _xlpm.s)))&gt;0, "Y", "N"))
)</f>
        <v>Unclassified</v>
      </c>
      <c r="T206" s="4" t="str" cm="1">
        <f t="array" ref="T206">_xlfn.LET(_xlpm.s,M206,_xlpm.phil, _xlfn._xlws.FILTER(REF_Setup!$D$3:$D$5, REF_Setup!$D$3:$D$5&lt;&gt;""),IF(OR(_xlpm.s="", _xlpm.s=0),"Unclassified",IF(SUM(--ISNUMBER(SEARCH(_xlpm.phil, _xlpm.s)))&gt;0, "Y", "N")))</f>
        <v>Unclassified</v>
      </c>
      <c r="U206" s="4" t="str" cm="1">
        <f t="array" ref="U206">IF(M206="", "Unclassified", IF(AND(SUMPRODUCT(--ISNUMBER(SEARCH(REF_Setup!$B$3:$B$40,M206)))&gt;0,SUMPRODUCT(--ISNUMBER(SEARCH(REF_Setup!$F$3:$F$15,M206)))&gt;0),"Mixed",IF(SUMPRODUCT(--ISNUMBER(SEARCH(REF_Setup!$B$3:$B$40,M206)))&gt;0,"Strategic Only",IF(SUMPRODUCT(--ISNUMBER(SEARCH(REF_Setup!$F$3:$F$15,M206)))&gt;0,"VC Only","Unclassified"))))</f>
        <v>Unclassified</v>
      </c>
    </row>
    <row r="207" spans="2:21" x14ac:dyDescent="0.35">
      <c r="B207" s="4">
        <f t="shared" si="11"/>
        <v>205</v>
      </c>
      <c r="C207" s="4" t="str">
        <f>IFERROR(_xlfn.XLOOKUP($B207,Raw_Data!$A$3:$A$273,Raw_Data!$B$3:$B$273),"")</f>
        <v>Sinclair Designs and Engineering</v>
      </c>
      <c r="D207" s="4" t="str">
        <f>IFERROR(_xlfn.XLOOKUP($B207,Raw_Data!$A$3:$A$273,Raw_Data!$C$3:$C$273),"")</f>
        <v>Albion, W</v>
      </c>
      <c r="E207" s="4">
        <f>IFERROR(_xlfn.XLOOKUP($B207,Raw_Data!$A$3:$A$273,Raw_Data!$D$3:$D$273),"")</f>
        <v>2007</v>
      </c>
      <c r="F207" s="4" t="str">
        <f>IFERROR(_xlfn.XLOOKUP($B207,Raw_Data!$A$3:$A$273,Raw_Data!$F$3:$F$273),"")</f>
        <v>Renewables</v>
      </c>
      <c r="G207" s="35">
        <f>IFERROR(_xlfn.XLOOKUP($B207,Raw_Data!$A$3:$A$273,Raw_Data!$J$3:$J$273),"")</f>
        <v>45323</v>
      </c>
      <c r="H207" s="4" t="s">
        <v>75</v>
      </c>
      <c r="I207" s="36">
        <f>IFERROR(_xlfn.XLOOKUP($B207,Raw_Data!$A$3:$A$273,Raw_Data!$I$3:$I$273),"")</f>
        <v>0</v>
      </c>
      <c r="J207" s="36">
        <f>IFERROR(_xlfn.XLOOKUP($B207,Raw_Data!$A$3:$A$273,Raw_Data!$L$3:$L$273),"")</f>
        <v>0</v>
      </c>
      <c r="K207" s="36">
        <f>IFERROR(_xlfn.XLOOKUP($B207,Raw_Data!$A$3:$A$273,Raw_Data!$M$3:$M$273),"")</f>
        <v>0</v>
      </c>
      <c r="L207" s="15" t="str">
        <f>IFERROR(_xlfn.XLOOKUP($B207,Raw_Data!$A$3:$A$273,Raw_Data!$Q$3:$Q$273),"")</f>
        <v>N/A</v>
      </c>
      <c r="M207" s="34" t="str">
        <f>IFERROR(_xlfn.XLOOKUP($B207,Raw_Data!$A$3:$A$273,Raw_Data!$R$3:$R$273),"")</f>
        <v xml:space="preserve">Eagle Private Capital </v>
      </c>
      <c r="N207" s="16" cm="1">
        <f t="array" ref="N207">IF(M207="",0,COUNTA(_xlfn._xlws.FILTER(_xlfn.TEXTSPLIT(M207,";"), _xlfn.TEXTSPLIT(M207,";")&lt;&gt;"")))</f>
        <v>1</v>
      </c>
      <c r="O207" s="16" t="str">
        <f t="shared" si="9"/>
        <v>N</v>
      </c>
      <c r="P207" s="19">
        <f>IFERROR(_xlfn.XLOOKUP($B207,Raw_Data!$A$3:$A$273,Raw_Data!$V$3:$V$273),"")</f>
        <v>0</v>
      </c>
      <c r="Q207" s="16" t="str">
        <f t="shared" si="10"/>
        <v>Y</v>
      </c>
      <c r="R207" s="32">
        <f>IFERROR(_xlfn.XLOOKUP($B207,Raw_Data!$A$3:$A$273,Raw_Data!$Y$3:$Y$273),"")</f>
        <v>1</v>
      </c>
      <c r="S207" s="4" t="str" cm="1">
        <f t="array" ref="S207">_xlfn.LET(_xlpm.s, Raw_Data!W207,_xlpm.strat, _xlfn._xlws.FILTER(REF_Setup!$B$3:$B$40, REF_Setup!$B$3:$B$40&lt;&gt;""),IF(OR(_xlpm.s="",_xlpm.s=0),"Unclassified",IF(SUM(--ISNUMBER(SEARCH(_xlpm.strat, _xlpm.s)))&gt;0, "Y", "N"))
)</f>
        <v>N</v>
      </c>
      <c r="T207" s="4" t="str" cm="1">
        <f t="array" ref="T207">_xlfn.LET(_xlpm.s,M207,_xlpm.phil, _xlfn._xlws.FILTER(REF_Setup!$D$3:$D$5, REF_Setup!$D$3:$D$5&lt;&gt;""),IF(OR(_xlpm.s="", _xlpm.s=0),"Unclassified",IF(SUM(--ISNUMBER(SEARCH(_xlpm.phil, _xlpm.s)))&gt;0, "Y", "N")))</f>
        <v>N</v>
      </c>
      <c r="U207" s="4" t="str" cm="1">
        <f t="array" ref="U207">IF(M207="", "Unclassified", IF(AND(SUMPRODUCT(--ISNUMBER(SEARCH(REF_Setup!$B$3:$B$40,M207)))&gt;0,SUMPRODUCT(--ISNUMBER(SEARCH(REF_Setup!$F$3:$F$15,M207)))&gt;0),"Mixed",IF(SUMPRODUCT(--ISNUMBER(SEARCH(REF_Setup!$B$3:$B$40,M207)))&gt;0,"Strategic Only",IF(SUMPRODUCT(--ISNUMBER(SEARCH(REF_Setup!$F$3:$F$15,M207)))&gt;0,"VC Only","Unclassified"))))</f>
        <v>VC Only</v>
      </c>
    </row>
    <row r="208" spans="2:21" ht="43.5" x14ac:dyDescent="0.35">
      <c r="B208" s="4">
        <f t="shared" si="11"/>
        <v>206</v>
      </c>
      <c r="C208" s="4" t="str">
        <f>IFERROR(_xlfn.XLOOKUP($B208,Raw_Data!$A$3:$A$273,Raw_Data!$B$3:$B$273),"")</f>
        <v>Sionic Energy</v>
      </c>
      <c r="D208" s="4" t="str">
        <f>IFERROR(_xlfn.XLOOKUP($B208,Raw_Data!$A$3:$A$273,Raw_Data!$C$3:$C$273),"")</f>
        <v>Rochester, NY</v>
      </c>
      <c r="E208" s="4">
        <f>IFERROR(_xlfn.XLOOKUP($B208,Raw_Data!$A$3:$A$273,Raw_Data!$D$3:$D$273),"")</f>
        <v>2011</v>
      </c>
      <c r="F208" s="4" t="str">
        <f>IFERROR(_xlfn.XLOOKUP($B208,Raw_Data!$A$3:$A$273,Raw_Data!$F$3:$F$273),"")</f>
        <v>Mobility</v>
      </c>
      <c r="G208" s="35">
        <f>IFERROR(_xlfn.XLOOKUP($B208,Raw_Data!$A$3:$A$273,Raw_Data!$J$3:$J$273),"")</f>
        <v>42657</v>
      </c>
      <c r="H208" s="16" t="s">
        <v>1467</v>
      </c>
      <c r="I208" s="36">
        <f>IFERROR(_xlfn.XLOOKUP($B208,Raw_Data!$A$3:$A$273,Raw_Data!$I$3:$I$273),"")</f>
        <v>11.14</v>
      </c>
      <c r="J208" s="36">
        <f>IFERROR(_xlfn.XLOOKUP($B208,Raw_Data!$A$3:$A$273,Raw_Data!$L$3:$L$273),"")</f>
        <v>6.5</v>
      </c>
      <c r="K208" s="36">
        <f>IFERROR(_xlfn.XLOOKUP($B208,Raw_Data!$A$3:$A$273,Raw_Data!$M$3:$M$273),"")</f>
        <v>13.5</v>
      </c>
      <c r="L208" s="15">
        <f>IFERROR(_xlfn.XLOOKUP($B208,Raw_Data!$A$3:$A$273,Raw_Data!$Q$3:$Q$273),"")</f>
        <v>0</v>
      </c>
      <c r="M208" s="34" t="str">
        <f>IFERROR(_xlfn.XLOOKUP($B208,Raw_Data!$A$3:$A$273,Raw_Data!$R$3:$R$273),"")</f>
        <v>Cornell University; Coulometrics; In-Q-Tel; New York Ventures; Phoenix Venture Partners; Rochester Institute of Technology Venture Fund; Syensqo Ventures; University of Colorado</v>
      </c>
      <c r="N208" s="16" cm="1">
        <f t="array" ref="N208">IF(M208="",0,COUNTA(_xlfn._xlws.FILTER(_xlfn.TEXTSPLIT(M208,";"), _xlfn.TEXTSPLIT(M208,";")&lt;&gt;"")))</f>
        <v>8</v>
      </c>
      <c r="O208" s="16" t="str">
        <f t="shared" si="9"/>
        <v>N</v>
      </c>
      <c r="P208" s="19">
        <f>IFERROR(_xlfn.XLOOKUP($B208,Raw_Data!$A$3:$A$273,Raw_Data!$V$3:$V$273),"")</f>
        <v>0</v>
      </c>
      <c r="Q208" s="16" t="str">
        <f t="shared" si="10"/>
        <v>Y</v>
      </c>
      <c r="R208" s="32">
        <f>IFERROR(_xlfn.XLOOKUP($B208,Raw_Data!$A$3:$A$273,Raw_Data!$Y$3:$Y$273),"")</f>
        <v>1</v>
      </c>
      <c r="S208" s="4" t="str" cm="1">
        <f t="array" ref="S208">_xlfn.LET(_xlpm.s, Raw_Data!W208,_xlpm.strat, _xlfn._xlws.FILTER(REF_Setup!$B$3:$B$40, REF_Setup!$B$3:$B$40&lt;&gt;""),IF(OR(_xlpm.s="",_xlpm.s=0),"Unclassified",IF(SUM(--ISNUMBER(SEARCH(_xlpm.strat, _xlpm.s)))&gt;0, "Y", "N"))
)</f>
        <v>N</v>
      </c>
      <c r="T208" s="4" t="str" cm="1">
        <f t="array" ref="T208">_xlfn.LET(_xlpm.s,M208,_xlpm.phil, _xlfn._xlws.FILTER(REF_Setup!$D$3:$D$5, REF_Setup!$D$3:$D$5&lt;&gt;""),IF(OR(_xlpm.s="", _xlpm.s=0),"Unclassified",IF(SUM(--ISNUMBER(SEARCH(_xlpm.phil, _xlpm.s)))&gt;0, "Y", "N")))</f>
        <v>N</v>
      </c>
      <c r="U208" s="4" t="str" cm="1">
        <f t="array" ref="U208">IF(M208="", "Unclassified", IF(AND(SUMPRODUCT(--ISNUMBER(SEARCH(REF_Setup!$B$3:$B$40,M208)))&gt;0,SUMPRODUCT(--ISNUMBER(SEARCH(REF_Setup!$F$3:$F$15,M208)))&gt;0),"Mixed",IF(SUMPRODUCT(--ISNUMBER(SEARCH(REF_Setup!$B$3:$B$40,M208)))&gt;0,"Strategic Only",IF(SUMPRODUCT(--ISNUMBER(SEARCH(REF_Setup!$F$3:$F$15,M208)))&gt;0,"VC Only","Unclassified"))))</f>
        <v>VC Only</v>
      </c>
    </row>
    <row r="209" spans="2:21" x14ac:dyDescent="0.35">
      <c r="B209" s="4">
        <f t="shared" si="11"/>
        <v>207</v>
      </c>
      <c r="C209" s="4" t="str">
        <f>IFERROR(_xlfn.XLOOKUP($B209,Raw_Data!$A$3:$A$273,Raw_Data!$B$3:$B$273),"")</f>
        <v>Smart Wires</v>
      </c>
      <c r="D209" s="4" t="str">
        <f>IFERROR(_xlfn.XLOOKUP($B209,Raw_Data!$A$3:$A$273,Raw_Data!$C$3:$C$273),"")</f>
        <v>Durham, NC</v>
      </c>
      <c r="E209" s="4">
        <f>IFERROR(_xlfn.XLOOKUP($B209,Raw_Data!$A$3:$A$273,Raw_Data!$D$3:$D$273),"")</f>
        <v>2010</v>
      </c>
      <c r="F209" s="4" t="str">
        <f>IFERROR(_xlfn.XLOOKUP($B209,Raw_Data!$A$3:$A$273,Raw_Data!$F$3:$F$273),"")</f>
        <v>Renewables</v>
      </c>
      <c r="G209" s="35">
        <f>IFERROR(_xlfn.XLOOKUP($B209,Raw_Data!$A$3:$A$273,Raw_Data!$J$3:$J$273),"")</f>
        <v>42158</v>
      </c>
      <c r="H209" s="4" t="s">
        <v>1467</v>
      </c>
      <c r="I209" s="36">
        <f>IFERROR(_xlfn.XLOOKUP($B209,Raw_Data!$A$3:$A$273,Raw_Data!$I$3:$I$273),"")</f>
        <v>52.34</v>
      </c>
      <c r="J209" s="36">
        <f>IFERROR(_xlfn.XLOOKUP($B209,Raw_Data!$A$3:$A$273,Raw_Data!$L$3:$L$273),"")</f>
        <v>17.350000000000001</v>
      </c>
      <c r="K209" s="36">
        <f>IFERROR(_xlfn.XLOOKUP($B209,Raw_Data!$A$3:$A$273,Raw_Data!$M$3:$M$273),"")</f>
        <v>57.61</v>
      </c>
      <c r="L209" s="15">
        <f>IFERROR(_xlfn.XLOOKUP($B209,Raw_Data!$A$3:$A$273,Raw_Data!$Q$3:$Q$273),"")</f>
        <v>0</v>
      </c>
      <c r="M209" s="34"/>
      <c r="N209" s="16" cm="1">
        <f t="array" ref="N209">IF(M209="",0,COUNTA(_xlfn._xlws.FILTER(_xlfn.TEXTSPLIT(M209,";"), _xlfn.TEXTSPLIT(M209,";")&lt;&gt;"")))</f>
        <v>0</v>
      </c>
      <c r="O209" s="16" t="str">
        <f t="shared" si="9"/>
        <v>Y</v>
      </c>
      <c r="P209" s="19" t="str">
        <f>IFERROR(_xlfn.XLOOKUP($B209,Raw_Data!$A$3:$A$273,Raw_Data!$V$3:$V$273),"")</f>
        <v>N/A</v>
      </c>
      <c r="Q209" s="16" t="str">
        <f t="shared" si="10"/>
        <v>Y</v>
      </c>
      <c r="R209" s="32" t="str">
        <f>IFERROR(_xlfn.XLOOKUP($B209,Raw_Data!$A$3:$A$273,Raw_Data!$Y$3:$Y$273),"")</f>
        <v>N/A</v>
      </c>
      <c r="S209" s="4" t="str" cm="1">
        <f t="array" ref="S209">_xlfn.LET(_xlpm.s, Raw_Data!W209,_xlpm.strat, _xlfn._xlws.FILTER(REF_Setup!$B$3:$B$40, REF_Setup!$B$3:$B$40&lt;&gt;""),IF(OR(_xlpm.s="",_xlpm.s=0),"Unclassified",IF(SUM(--ISNUMBER(SEARCH(_xlpm.strat, _xlpm.s)))&gt;0, "Y", "N"))
)</f>
        <v>Unclassified</v>
      </c>
      <c r="T209" s="4" t="str" cm="1">
        <f t="array" ref="T209">_xlfn.LET(_xlpm.s,M209,_xlpm.phil, _xlfn._xlws.FILTER(REF_Setup!$D$3:$D$5, REF_Setup!$D$3:$D$5&lt;&gt;""),IF(OR(_xlpm.s="", _xlpm.s=0),"Unclassified",IF(SUM(--ISNUMBER(SEARCH(_xlpm.phil, _xlpm.s)))&gt;0, "Y", "N")))</f>
        <v>Unclassified</v>
      </c>
      <c r="U209" s="4" t="str" cm="1">
        <f t="array" ref="U209">IF(M209="", "Unclassified", IF(AND(SUMPRODUCT(--ISNUMBER(SEARCH(REF_Setup!$B$3:$B$40,M209)))&gt;0,SUMPRODUCT(--ISNUMBER(SEARCH(REF_Setup!$F$3:$F$15,M209)))&gt;0),"Mixed",IF(SUMPRODUCT(--ISNUMBER(SEARCH(REF_Setup!$B$3:$B$40,M209)))&gt;0,"Strategic Only",IF(SUMPRODUCT(--ISNUMBER(SEARCH(REF_Setup!$F$3:$F$15,M209)))&gt;0,"VC Only","Unclassified"))))</f>
        <v>Unclassified</v>
      </c>
    </row>
    <row r="210" spans="2:21" x14ac:dyDescent="0.35">
      <c r="B210" s="4">
        <f t="shared" si="11"/>
        <v>208</v>
      </c>
      <c r="C210" s="4" t="str">
        <f>IFERROR(_xlfn.XLOOKUP($B210,Raw_Data!$A$3:$A$273,Raw_Data!$B$3:$B$273),"")</f>
        <v>Smart Wires</v>
      </c>
      <c r="D210" s="4" t="str">
        <f>IFERROR(_xlfn.XLOOKUP($B210,Raw_Data!$A$3:$A$273,Raw_Data!$C$3:$C$273),"")</f>
        <v>Durham, NC</v>
      </c>
      <c r="E210" s="4">
        <f>IFERROR(_xlfn.XLOOKUP($B210,Raw_Data!$A$3:$A$273,Raw_Data!$D$3:$D$273),"")</f>
        <v>2010</v>
      </c>
      <c r="F210" s="4" t="str">
        <f>IFERROR(_xlfn.XLOOKUP($B210,Raw_Data!$A$3:$A$273,Raw_Data!$F$3:$F$273),"")</f>
        <v>Renewables</v>
      </c>
      <c r="G210" s="35">
        <f>IFERROR(_xlfn.XLOOKUP($B210,Raw_Data!$A$3:$A$273,Raw_Data!$J$3:$J$273),"")</f>
        <v>45686</v>
      </c>
      <c r="H210" s="4" t="s">
        <v>75</v>
      </c>
      <c r="I210" s="36">
        <f>IFERROR(_xlfn.XLOOKUP($B210,Raw_Data!$A$3:$A$273,Raw_Data!$I$3:$I$273),"")</f>
        <v>632.72</v>
      </c>
      <c r="J210" s="36">
        <f>IFERROR(_xlfn.XLOOKUP($B210,Raw_Data!$A$3:$A$273,Raw_Data!$L$3:$L$273),"")</f>
        <v>65</v>
      </c>
      <c r="K210" s="36">
        <f>IFERROR(_xlfn.XLOOKUP($B210,Raw_Data!$A$3:$A$273,Raw_Data!$M$3:$M$273),"")</f>
        <v>0</v>
      </c>
      <c r="L210" s="15">
        <f>IFERROR(_xlfn.XLOOKUP($B210,Raw_Data!$A$3:$A$273,Raw_Data!$Q$3:$Q$273),"")</f>
        <v>0</v>
      </c>
      <c r="M210" s="34" t="str">
        <f>IFERROR(_xlfn.XLOOKUP($B210,Raw_Data!$A$3:$A$273,Raw_Data!$R$3:$R$273),"")</f>
        <v xml:space="preserve">BP Energy Partners; Keystone Group </v>
      </c>
      <c r="N210" s="16" cm="1">
        <f t="array" ref="N210">IF(M210="",0,COUNTA(_xlfn._xlws.FILTER(_xlfn.TEXTSPLIT(M210,";"), _xlfn.TEXTSPLIT(M210,";")&lt;&gt;"")))</f>
        <v>2</v>
      </c>
      <c r="O210" s="16" t="str">
        <f t="shared" si="9"/>
        <v>Y</v>
      </c>
      <c r="P210" s="19">
        <f>IFERROR(_xlfn.XLOOKUP($B210,Raw_Data!$A$3:$A$273,Raw_Data!$V$3:$V$273),"")</f>
        <v>0.5</v>
      </c>
      <c r="Q210" s="16" t="str">
        <f t="shared" si="10"/>
        <v>Y</v>
      </c>
      <c r="R210" s="32">
        <f>IFERROR(_xlfn.XLOOKUP($B210,Raw_Data!$A$3:$A$273,Raw_Data!$Y$3:$Y$273),"")</f>
        <v>0.5</v>
      </c>
      <c r="S210" s="4" t="str" cm="1">
        <f t="array" ref="S210">_xlfn.LET(_xlpm.s, Raw_Data!W210,_xlpm.strat, _xlfn._xlws.FILTER(REF_Setup!$B$3:$B$40, REF_Setup!$B$3:$B$40&lt;&gt;""),IF(OR(_xlpm.s="",_xlpm.s=0),"Unclassified",IF(SUM(--ISNUMBER(SEARCH(_xlpm.strat, _xlpm.s)))&gt;0, "Y", "N"))
)</f>
        <v>N</v>
      </c>
      <c r="T210" s="4" t="str" cm="1">
        <f t="array" ref="T210">_xlfn.LET(_xlpm.s,M210,_xlpm.phil, _xlfn._xlws.FILTER(REF_Setup!$D$3:$D$5, REF_Setup!$D$3:$D$5&lt;&gt;""),IF(OR(_xlpm.s="", _xlpm.s=0),"Unclassified",IF(SUM(--ISNUMBER(SEARCH(_xlpm.phil, _xlpm.s)))&gt;0, "Y", "N")))</f>
        <v>N</v>
      </c>
      <c r="U210" s="4" t="str" cm="1">
        <f t="array" ref="U210">IF(M210="", "Unclassified", IF(AND(SUMPRODUCT(--ISNUMBER(SEARCH(REF_Setup!$B$3:$B$40,M210)))&gt;0,SUMPRODUCT(--ISNUMBER(SEARCH(REF_Setup!$F$3:$F$15,M210)))&gt;0),"Mixed",IF(SUMPRODUCT(--ISNUMBER(SEARCH(REF_Setup!$B$3:$B$40,M210)))&gt;0,"Strategic Only",IF(SUMPRODUCT(--ISNUMBER(SEARCH(REF_Setup!$F$3:$F$15,M210)))&gt;0,"VC Only","Unclassified"))))</f>
        <v>VC Only</v>
      </c>
    </row>
    <row r="211" spans="2:21" x14ac:dyDescent="0.35">
      <c r="B211" s="4">
        <f t="shared" si="11"/>
        <v>209</v>
      </c>
      <c r="C211" s="4" t="str">
        <f>IFERROR(_xlfn.XLOOKUP($B211,Raw_Data!$A$3:$A$273,Raw_Data!$B$3:$B$273),"")</f>
        <v>Sol Clarity</v>
      </c>
      <c r="D211" s="4" t="str">
        <f>IFERROR(_xlfn.XLOOKUP($B211,Raw_Data!$A$3:$A$273,Raw_Data!$C$3:$C$273),"")</f>
        <v>Somerville, MA</v>
      </c>
      <c r="E211" s="4">
        <f>IFERROR(_xlfn.XLOOKUP($B211,Raw_Data!$A$3:$A$273,Raw_Data!$D$3:$D$273),"")</f>
        <v>2020</v>
      </c>
      <c r="F211" s="4" t="str">
        <f>IFERROR(_xlfn.XLOOKUP($B211,Raw_Data!$A$3:$A$273,Raw_Data!$F$3:$F$273),"")</f>
        <v>Renewables</v>
      </c>
      <c r="G211" s="35">
        <f>IFERROR(_xlfn.XLOOKUP($B211,Raw_Data!$A$3:$A$273,Raw_Data!$J$3:$J$273),"")</f>
        <v>44875</v>
      </c>
      <c r="H211" s="16" t="s">
        <v>1466</v>
      </c>
      <c r="I211" s="36">
        <f>IFERROR(_xlfn.XLOOKUP($B211,Raw_Data!$A$3:$A$273,Raw_Data!$I$3:$I$273),"")</f>
        <v>0.94</v>
      </c>
      <c r="J211" s="36">
        <f>IFERROR(_xlfn.XLOOKUP($B211,Raw_Data!$A$3:$A$273,Raw_Data!$L$3:$L$273),"")</f>
        <v>0.92</v>
      </c>
      <c r="K211" s="36">
        <f>IFERROR(_xlfn.XLOOKUP($B211,Raw_Data!$A$3:$A$273,Raw_Data!$M$3:$M$273),"")</f>
        <v>0</v>
      </c>
      <c r="L211" s="15">
        <f>IFERROR(_xlfn.XLOOKUP($B211,Raw_Data!$A$3:$A$273,Raw_Data!$Q$3:$Q$273),"")</f>
        <v>1</v>
      </c>
      <c r="M211" s="34" t="str">
        <f>IFERROR(_xlfn.XLOOKUP($B211,Raw_Data!$A$3:$A$273,Raw_Data!$R$3:$R$273),"")</f>
        <v>Equinor Ventures; Techstars</v>
      </c>
      <c r="N211" s="16" cm="1">
        <f t="array" ref="N211">IF(M211="",0,COUNTA(_xlfn._xlws.FILTER(_xlfn.TEXTSPLIT(M211,";"), _xlfn.TEXTSPLIT(M211,";")&lt;&gt;"")))</f>
        <v>2</v>
      </c>
      <c r="O211" s="16" t="str">
        <f t="shared" si="9"/>
        <v>N</v>
      </c>
      <c r="P211" s="19">
        <f>IFERROR(_xlfn.XLOOKUP($B211,Raw_Data!$A$3:$A$273,Raw_Data!$V$3:$V$273),"")</f>
        <v>0</v>
      </c>
      <c r="Q211" s="16" t="str">
        <f t="shared" si="10"/>
        <v>Y</v>
      </c>
      <c r="R211" s="32">
        <f>IFERROR(_xlfn.XLOOKUP($B211,Raw_Data!$A$3:$A$273,Raw_Data!$Y$3:$Y$273),"")</f>
        <v>1</v>
      </c>
      <c r="S211" s="4" t="str" cm="1">
        <f t="array" ref="S211">_xlfn.LET(_xlpm.s, Raw_Data!W211,_xlpm.strat, _xlfn._xlws.FILTER(REF_Setup!$B$3:$B$40, REF_Setup!$B$3:$B$40&lt;&gt;""),IF(OR(_xlpm.s="",_xlpm.s=0),"Unclassified",IF(SUM(--ISNUMBER(SEARCH(_xlpm.strat, _xlpm.s)))&gt;0, "Y", "N"))
)</f>
        <v>N</v>
      </c>
      <c r="T211" s="4" t="str" cm="1">
        <f t="array" ref="T211">_xlfn.LET(_xlpm.s,M211,_xlpm.phil, _xlfn._xlws.FILTER(REF_Setup!$D$3:$D$5, REF_Setup!$D$3:$D$5&lt;&gt;""),IF(OR(_xlpm.s="", _xlpm.s=0),"Unclassified",IF(SUM(--ISNUMBER(SEARCH(_xlpm.phil, _xlpm.s)))&gt;0, "Y", "N")))</f>
        <v>N</v>
      </c>
      <c r="U211" s="4" t="str" cm="1">
        <f t="array" ref="U211">IF(M211="", "Unclassified", IF(AND(SUMPRODUCT(--ISNUMBER(SEARCH(REF_Setup!$B$3:$B$40,M211)))&gt;0,SUMPRODUCT(--ISNUMBER(SEARCH(REF_Setup!$F$3:$F$15,M211)))&gt;0),"Mixed",IF(SUMPRODUCT(--ISNUMBER(SEARCH(REF_Setup!$B$3:$B$40,M211)))&gt;0,"Strategic Only",IF(SUMPRODUCT(--ISNUMBER(SEARCH(REF_Setup!$F$3:$F$15,M211)))&gt;0,"VC Only","Unclassified"))))</f>
        <v>VC Only</v>
      </c>
    </row>
    <row r="212" spans="2:21" x14ac:dyDescent="0.35">
      <c r="B212" s="4">
        <f t="shared" si="11"/>
        <v>210</v>
      </c>
      <c r="C212" s="4" t="str">
        <f>IFERROR(_xlfn.XLOOKUP($B212,Raw_Data!$A$3:$A$273,Raw_Data!$B$3:$B$273),"")</f>
        <v>Solarlytics</v>
      </c>
      <c r="D212" s="4" t="str">
        <f>IFERROR(_xlfn.XLOOKUP($B212,Raw_Data!$A$3:$A$273,Raw_Data!$C$3:$C$273),"")</f>
        <v>Livermore, CA</v>
      </c>
      <c r="E212" s="4">
        <f>IFERROR(_xlfn.XLOOKUP($B212,Raw_Data!$A$3:$A$273,Raw_Data!$D$3:$D$273),"")</f>
        <v>2014</v>
      </c>
      <c r="F212" s="4" t="str">
        <f>IFERROR(_xlfn.XLOOKUP($B212,Raw_Data!$A$3:$A$273,Raw_Data!$F$3:$F$273),"")</f>
        <v>Renewables</v>
      </c>
      <c r="G212" s="35">
        <f>IFERROR(_xlfn.XLOOKUP($B212,Raw_Data!$A$3:$A$273,Raw_Data!$J$3:$J$273),"")</f>
        <v>44682</v>
      </c>
      <c r="H212" s="16" t="s">
        <v>1467</v>
      </c>
      <c r="I212" s="36">
        <f>IFERROR(_xlfn.XLOOKUP($B212,Raw_Data!$A$3:$A$273,Raw_Data!$I$3:$I$273),"")</f>
        <v>23.93</v>
      </c>
      <c r="J212" s="36">
        <f>IFERROR(_xlfn.XLOOKUP($B212,Raw_Data!$A$3:$A$273,Raw_Data!$L$3:$L$273),"")</f>
        <v>12.63</v>
      </c>
      <c r="K212" s="36">
        <f>IFERROR(_xlfn.XLOOKUP($B212,Raw_Data!$A$3:$A$273,Raw_Data!$M$3:$M$273),"")</f>
        <v>80</v>
      </c>
      <c r="L212" s="15">
        <f>IFERROR(_xlfn.XLOOKUP($B212,Raw_Data!$A$3:$A$273,Raw_Data!$Q$3:$Q$273),"")</f>
        <v>0</v>
      </c>
      <c r="M212" s="34" t="str">
        <f>IFERROR(_xlfn.XLOOKUP($B212,Raw_Data!$A$3:$A$273,Raw_Data!$R$3:$R$273),"")</f>
        <v>Helios Climate Ventures; Innova Capital Partners</v>
      </c>
      <c r="N212" s="16" cm="1">
        <f t="array" ref="N212">IF(M212="",0,COUNTA(_xlfn._xlws.FILTER(_xlfn.TEXTSPLIT(M212,";"), _xlfn.TEXTSPLIT(M212,";")&lt;&gt;"")))</f>
        <v>2</v>
      </c>
      <c r="O212" s="16" t="str">
        <f t="shared" si="9"/>
        <v>Y</v>
      </c>
      <c r="P212" s="19">
        <f>IFERROR(_xlfn.XLOOKUP($B212,Raw_Data!$A$3:$A$273,Raw_Data!$V$3:$V$273),"")</f>
        <v>0.5</v>
      </c>
      <c r="Q212" s="16" t="str">
        <f t="shared" si="10"/>
        <v>Y</v>
      </c>
      <c r="R212" s="32">
        <f>IFERROR(_xlfn.XLOOKUP($B212,Raw_Data!$A$3:$A$273,Raw_Data!$Y$3:$Y$273),"")</f>
        <v>0.5</v>
      </c>
      <c r="S212" s="4" t="str" cm="1">
        <f t="array" ref="S212">_xlfn.LET(_xlpm.s, Raw_Data!W212,_xlpm.strat, _xlfn._xlws.FILTER(REF_Setup!$B$3:$B$40, REF_Setup!$B$3:$B$40&lt;&gt;""),IF(OR(_xlpm.s="",_xlpm.s=0),"Unclassified",IF(SUM(--ISNUMBER(SEARCH(_xlpm.strat, _xlpm.s)))&gt;0, "Y", "N"))
)</f>
        <v>N</v>
      </c>
      <c r="T212" s="4" t="str" cm="1">
        <f t="array" ref="T212">_xlfn.LET(_xlpm.s,M212,_xlpm.phil, _xlfn._xlws.FILTER(REF_Setup!$D$3:$D$5, REF_Setup!$D$3:$D$5&lt;&gt;""),IF(OR(_xlpm.s="", _xlpm.s=0),"Unclassified",IF(SUM(--ISNUMBER(SEARCH(_xlpm.phil, _xlpm.s)))&gt;0, "Y", "N")))</f>
        <v>N</v>
      </c>
      <c r="U212" s="4" t="str" cm="1">
        <f t="array" ref="U212">IF(M212="", "Unclassified", IF(AND(SUMPRODUCT(--ISNUMBER(SEARCH(REF_Setup!$B$3:$B$40,M212)))&gt;0,SUMPRODUCT(--ISNUMBER(SEARCH(REF_Setup!$F$3:$F$15,M212)))&gt;0),"Mixed",IF(SUMPRODUCT(--ISNUMBER(SEARCH(REF_Setup!$B$3:$B$40,M212)))&gt;0,"Strategic Only",IF(SUMPRODUCT(--ISNUMBER(SEARCH(REF_Setup!$F$3:$F$15,M212)))&gt;0,"VC Only","Unclassified"))))</f>
        <v>VC Only</v>
      </c>
    </row>
    <row r="213" spans="2:21" ht="58" x14ac:dyDescent="0.35">
      <c r="B213" s="4">
        <f t="shared" si="11"/>
        <v>211</v>
      </c>
      <c r="C213" s="4" t="str">
        <f>IFERROR(_xlfn.XLOOKUP($B213,Raw_Data!$A$3:$A$273,Raw_Data!$B$3:$B$273),"")</f>
        <v>Solugen</v>
      </c>
      <c r="D213" s="4" t="str">
        <f>IFERROR(_xlfn.XLOOKUP($B213,Raw_Data!$A$3:$A$273,Raw_Data!$C$3:$C$273),"")</f>
        <v>Houston, TX</v>
      </c>
      <c r="E213" s="4">
        <f>IFERROR(_xlfn.XLOOKUP($B213,Raw_Data!$A$3:$A$273,Raw_Data!$D$3:$D$273),"")</f>
        <v>2016</v>
      </c>
      <c r="F213" s="4" t="str">
        <f>IFERROR(_xlfn.XLOOKUP($B213,Raw_Data!$A$3:$A$273,Raw_Data!$F$3:$F$273),"")</f>
        <v>Industrial Decarbonization</v>
      </c>
      <c r="G213" s="35">
        <f>IFERROR(_xlfn.XLOOKUP($B213,Raw_Data!$A$3:$A$273,Raw_Data!$J$3:$J$273),"")</f>
        <v>44089</v>
      </c>
      <c r="H213" s="16" t="s">
        <v>1467</v>
      </c>
      <c r="I213" s="36">
        <f>IFERROR(_xlfn.XLOOKUP($B213,Raw_Data!$A$3:$A$273,Raw_Data!$I$3:$I$273),"")</f>
        <v>85.95</v>
      </c>
      <c r="J213" s="36">
        <f>IFERROR(_xlfn.XLOOKUP($B213,Raw_Data!$A$3:$A$273,Raw_Data!$L$3:$L$273),"")</f>
        <v>30.15</v>
      </c>
      <c r="K213" s="36">
        <f>IFERROR(_xlfn.XLOOKUP($B213,Raw_Data!$A$3:$A$273,Raw_Data!$M$3:$M$273),"")</f>
        <v>230</v>
      </c>
      <c r="L213" s="15">
        <f>IFERROR(_xlfn.XLOOKUP($B213,Raw_Data!$A$3:$A$273,Raw_Data!$Q$3:$Q$273),"")</f>
        <v>0</v>
      </c>
      <c r="M213" s="34" t="str">
        <f>IFERROR(_xlfn.XLOOKUP($B213,Raw_Data!$A$3:$A$273,Raw_Data!$R$3:$R$273),"")</f>
        <v>Flight Ventures; Ford Street Ventures; Harpoon VC; Jonathan Hung; Lowercarbon Capital; McWin Partners; Meron Capital; Next Play Capital; Refactor Capital; Reform Ventures; Ruvento Ventures; Tjucholmen Ventures; Unicorn Venture Partners</v>
      </c>
      <c r="N213" s="16" cm="1">
        <f t="array" ref="N213">IF(M213="",0,COUNTA(_xlfn._xlws.FILTER(_xlfn.TEXTSPLIT(M213,";"), _xlfn.TEXTSPLIT(M213,";")&lt;&gt;"")))</f>
        <v>13</v>
      </c>
      <c r="O213" s="16" t="str">
        <f t="shared" si="9"/>
        <v>Y</v>
      </c>
      <c r="P213" s="19">
        <f>IFERROR(_xlfn.XLOOKUP($B213,Raw_Data!$A$3:$A$273,Raw_Data!$V$3:$V$273),"")</f>
        <v>0.15384615384615385</v>
      </c>
      <c r="Q213" s="16" t="str">
        <f t="shared" si="10"/>
        <v>Y</v>
      </c>
      <c r="R213" s="32">
        <f>IFERROR(_xlfn.XLOOKUP($B213,Raw_Data!$A$3:$A$273,Raw_Data!$Y$3:$Y$273),"")</f>
        <v>0.84615384615384615</v>
      </c>
      <c r="S213" s="4" t="str" cm="1">
        <f t="array" ref="S213">_xlfn.LET(_xlpm.s, Raw_Data!W213,_xlpm.strat, _xlfn._xlws.FILTER(REF_Setup!$B$3:$B$40, REF_Setup!$B$3:$B$40&lt;&gt;""),IF(OR(_xlpm.s="",_xlpm.s=0),"Unclassified",IF(SUM(--ISNUMBER(SEARCH(_xlpm.strat, _xlpm.s)))&gt;0, "Y", "N"))
)</f>
        <v>N</v>
      </c>
      <c r="T213" s="4" t="str" cm="1">
        <f t="array" ref="T213">_xlfn.LET(_xlpm.s,M213,_xlpm.phil, _xlfn._xlws.FILTER(REF_Setup!$D$3:$D$5, REF_Setup!$D$3:$D$5&lt;&gt;""),IF(OR(_xlpm.s="", _xlpm.s=0),"Unclassified",IF(SUM(--ISNUMBER(SEARCH(_xlpm.phil, _xlpm.s)))&gt;0, "Y", "N")))</f>
        <v>N</v>
      </c>
      <c r="U213" s="4" t="str" cm="1">
        <f t="array" ref="U213">IF(M213="", "Unclassified", IF(AND(SUMPRODUCT(--ISNUMBER(SEARCH(REF_Setup!$B$3:$B$40,M213)))&gt;0,SUMPRODUCT(--ISNUMBER(SEARCH(REF_Setup!$F$3:$F$15,M213)))&gt;0),"Mixed",IF(SUMPRODUCT(--ISNUMBER(SEARCH(REF_Setup!$B$3:$B$40,M213)))&gt;0,"Strategic Only",IF(SUMPRODUCT(--ISNUMBER(SEARCH(REF_Setup!$F$3:$F$15,M213)))&gt;0,"VC Only","Unclassified"))))</f>
        <v>VC Only</v>
      </c>
    </row>
    <row r="214" spans="2:21" x14ac:dyDescent="0.35">
      <c r="B214" s="4">
        <f t="shared" si="11"/>
        <v>212</v>
      </c>
      <c r="C214" s="4" t="str">
        <f>IFERROR(_xlfn.XLOOKUP($B214,Raw_Data!$A$3:$A$273,Raw_Data!$B$3:$B$273),"")</f>
        <v>Spotlight Solar</v>
      </c>
      <c r="D214" s="4" t="str">
        <f>IFERROR(_xlfn.XLOOKUP($B214,Raw_Data!$A$3:$A$273,Raw_Data!$C$3:$C$273),"")</f>
        <v>Chapel Hill, NC</v>
      </c>
      <c r="E214" s="4">
        <f>IFERROR(_xlfn.XLOOKUP($B214,Raw_Data!$A$3:$A$273,Raw_Data!$D$3:$D$273),"")</f>
        <v>2010</v>
      </c>
      <c r="F214" s="4" t="str">
        <f>IFERROR(_xlfn.XLOOKUP($B214,Raw_Data!$A$3:$A$273,Raw_Data!$F$3:$F$273),"")</f>
        <v>Renewables</v>
      </c>
      <c r="G214" s="35">
        <f>IFERROR(_xlfn.XLOOKUP($B214,Raw_Data!$A$3:$A$273,Raw_Data!$J$3:$J$273),"")</f>
        <v>42629</v>
      </c>
      <c r="H214" s="16" t="s">
        <v>1466</v>
      </c>
      <c r="I214" s="36">
        <f>IFERROR(_xlfn.XLOOKUP($B214,Raw_Data!$A$3:$A$273,Raw_Data!$I$3:$I$273),"")</f>
        <v>0.25</v>
      </c>
      <c r="J214" s="36">
        <f>IFERROR(_xlfn.XLOOKUP($B214,Raw_Data!$A$3:$A$273,Raw_Data!$L$3:$L$273),"")</f>
        <v>0.25</v>
      </c>
      <c r="K214" s="36">
        <f>IFERROR(_xlfn.XLOOKUP($B214,Raw_Data!$A$3:$A$273,Raw_Data!$M$3:$M$273),"")</f>
        <v>2.75</v>
      </c>
      <c r="L214" s="15">
        <f>IFERROR(_xlfn.XLOOKUP($B214,Raw_Data!$A$3:$A$273,Raw_Data!$Q$3:$Q$273),"")</f>
        <v>0</v>
      </c>
      <c r="M214" s="34" t="str">
        <f>IFERROR(_xlfn.XLOOKUP($B214,Raw_Data!$A$3:$A$273,Raw_Data!$R$3:$R$273),"")</f>
        <v>Social Venture Circle; Solidarity Capital Group</v>
      </c>
      <c r="N214" s="16" cm="1">
        <f t="array" ref="N214">IF(M214="",0,COUNTA(_xlfn._xlws.FILTER(_xlfn.TEXTSPLIT(M214,";"), _xlfn.TEXTSPLIT(M214,";")&lt;&gt;"")))</f>
        <v>2</v>
      </c>
      <c r="O214" s="16" t="str">
        <f t="shared" si="9"/>
        <v>N</v>
      </c>
      <c r="P214" s="19">
        <f>IFERROR(_xlfn.XLOOKUP($B214,Raw_Data!$A$3:$A$273,Raw_Data!$V$3:$V$273),"")</f>
        <v>0</v>
      </c>
      <c r="Q214" s="16" t="str">
        <f t="shared" si="10"/>
        <v>Y</v>
      </c>
      <c r="R214" s="32">
        <f>IFERROR(_xlfn.XLOOKUP($B214,Raw_Data!$A$3:$A$273,Raw_Data!$Y$3:$Y$273),"")</f>
        <v>1</v>
      </c>
      <c r="S214" s="4" t="str" cm="1">
        <f t="array" ref="S214">_xlfn.LET(_xlpm.s, Raw_Data!W214,_xlpm.strat, _xlfn._xlws.FILTER(REF_Setup!$B$3:$B$40, REF_Setup!$B$3:$B$40&lt;&gt;""),IF(OR(_xlpm.s="",_xlpm.s=0),"Unclassified",IF(SUM(--ISNUMBER(SEARCH(_xlpm.strat, _xlpm.s)))&gt;0, "Y", "N"))
)</f>
        <v>N</v>
      </c>
      <c r="T214" s="4" t="str" cm="1">
        <f t="array" ref="T214">_xlfn.LET(_xlpm.s,M214,_xlpm.phil, _xlfn._xlws.FILTER(REF_Setup!$D$3:$D$5, REF_Setup!$D$3:$D$5&lt;&gt;""),IF(OR(_xlpm.s="", _xlpm.s=0),"Unclassified",IF(SUM(--ISNUMBER(SEARCH(_xlpm.phil, _xlpm.s)))&gt;0, "Y", "N")))</f>
        <v>N</v>
      </c>
      <c r="U214" s="4" t="str" cm="1">
        <f t="array" ref="U214">IF(M214="", "Unclassified", IF(AND(SUMPRODUCT(--ISNUMBER(SEARCH(REF_Setup!$B$3:$B$40,M214)))&gt;0,SUMPRODUCT(--ISNUMBER(SEARCH(REF_Setup!$F$3:$F$15,M214)))&gt;0),"Mixed",IF(SUMPRODUCT(--ISNUMBER(SEARCH(REF_Setup!$B$3:$B$40,M214)))&gt;0,"Strategic Only",IF(SUMPRODUCT(--ISNUMBER(SEARCH(REF_Setup!$F$3:$F$15,M214)))&gt;0,"VC Only","Unclassified"))))</f>
        <v>VC Only</v>
      </c>
    </row>
    <row r="215" spans="2:21" x14ac:dyDescent="0.35">
      <c r="B215" s="4">
        <f t="shared" si="11"/>
        <v>213</v>
      </c>
      <c r="C215" s="4" t="str">
        <f>IFERROR(_xlfn.XLOOKUP($B215,Raw_Data!$A$3:$A$273,Raw_Data!$B$3:$B$273),"")</f>
        <v>Steelhead Composites</v>
      </c>
      <c r="D215" s="4" t="str">
        <f>IFERROR(_xlfn.XLOOKUP($B215,Raw_Data!$A$3:$A$273,Raw_Data!$C$3:$C$273),"")</f>
        <v>Golden, CO</v>
      </c>
      <c r="E215" s="4">
        <f>IFERROR(_xlfn.XLOOKUP($B215,Raw_Data!$A$3:$A$273,Raw_Data!$D$3:$D$273),"")</f>
        <v>2012</v>
      </c>
      <c r="F215" s="4" t="str">
        <f>IFERROR(_xlfn.XLOOKUP($B215,Raw_Data!$A$3:$A$273,Raw_Data!$F$3:$F$273),"")</f>
        <v>Hydrogen</v>
      </c>
      <c r="G215" s="35">
        <f>IFERROR(_xlfn.XLOOKUP($B215,Raw_Data!$A$3:$A$273,Raw_Data!$J$3:$J$273),"")</f>
        <v>45530</v>
      </c>
      <c r="H215" s="16" t="s">
        <v>1465</v>
      </c>
      <c r="I215" s="36">
        <f>IFERROR(_xlfn.XLOOKUP($B215,Raw_Data!$A$3:$A$273,Raw_Data!$I$3:$I$273),"")</f>
        <v>40.76</v>
      </c>
      <c r="J215" s="36">
        <f>IFERROR(_xlfn.XLOOKUP($B215,Raw_Data!$A$3:$A$273,Raw_Data!$L$3:$L$273),"")</f>
        <v>15</v>
      </c>
      <c r="K215" s="36">
        <f>IFERROR(_xlfn.XLOOKUP($B215,Raw_Data!$A$3:$A$273,Raw_Data!$M$3:$M$273),"")</f>
        <v>83</v>
      </c>
      <c r="L215" s="15">
        <f>IFERROR(_xlfn.XLOOKUP($B215,Raw_Data!$A$3:$A$273,Raw_Data!$Q$3:$Q$273),"")</f>
        <v>0</v>
      </c>
      <c r="M215" s="34"/>
      <c r="N215" s="16" cm="1">
        <f t="array" ref="N215">IF(M215="",0,COUNTA(_xlfn._xlws.FILTER(_xlfn.TEXTSPLIT(M215,";"), _xlfn.TEXTSPLIT(M215,";")&lt;&gt;"")))</f>
        <v>0</v>
      </c>
      <c r="O215" s="16" t="str">
        <f t="shared" si="9"/>
        <v>Y</v>
      </c>
      <c r="P215" s="19" t="str">
        <f>IFERROR(_xlfn.XLOOKUP($B215,Raw_Data!$A$3:$A$273,Raw_Data!$V$3:$V$273),"")</f>
        <v>N/A</v>
      </c>
      <c r="Q215" s="16" t="str">
        <f t="shared" si="10"/>
        <v>Y</v>
      </c>
      <c r="R215" s="32" t="str">
        <f>IFERROR(_xlfn.XLOOKUP($B215,Raw_Data!$A$3:$A$273,Raw_Data!$Y$3:$Y$273),"")</f>
        <v>N/A</v>
      </c>
      <c r="S215" s="4" t="str" cm="1">
        <f t="array" ref="S215">_xlfn.LET(_xlpm.s, Raw_Data!W215,_xlpm.strat, _xlfn._xlws.FILTER(REF_Setup!$B$3:$B$40, REF_Setup!$B$3:$B$40&lt;&gt;""),IF(OR(_xlpm.s="",_xlpm.s=0),"Unclassified",IF(SUM(--ISNUMBER(SEARCH(_xlpm.strat, _xlpm.s)))&gt;0, "Y", "N"))
)</f>
        <v>Unclassified</v>
      </c>
      <c r="T215" s="4" t="str" cm="1">
        <f t="array" ref="T215">_xlfn.LET(_xlpm.s,M215,_xlpm.phil, _xlfn._xlws.FILTER(REF_Setup!$D$3:$D$5, REF_Setup!$D$3:$D$5&lt;&gt;""),IF(OR(_xlpm.s="", _xlpm.s=0),"Unclassified",IF(SUM(--ISNUMBER(SEARCH(_xlpm.phil, _xlpm.s)))&gt;0, "Y", "N")))</f>
        <v>Unclassified</v>
      </c>
      <c r="U215" s="4" t="str" cm="1">
        <f t="array" ref="U215">IF(M215="", "Unclassified", IF(AND(SUMPRODUCT(--ISNUMBER(SEARCH(REF_Setup!$B$3:$B$40,M215)))&gt;0,SUMPRODUCT(--ISNUMBER(SEARCH(REF_Setup!$F$3:$F$15,M215)))&gt;0),"Mixed",IF(SUMPRODUCT(--ISNUMBER(SEARCH(REF_Setup!$B$3:$B$40,M215)))&gt;0,"Strategic Only",IF(SUMPRODUCT(--ISNUMBER(SEARCH(REF_Setup!$F$3:$F$15,M215)))&gt;0,"VC Only","Unclassified"))))</f>
        <v>Unclassified</v>
      </c>
    </row>
    <row r="216" spans="2:21" x14ac:dyDescent="0.35">
      <c r="B216" s="4">
        <f t="shared" si="11"/>
        <v>214</v>
      </c>
      <c r="C216" s="4" t="str">
        <f>IFERROR(_xlfn.XLOOKUP($B216,Raw_Data!$A$3:$A$273,Raw_Data!$B$3:$B$273),"")</f>
        <v>Sun Density</v>
      </c>
      <c r="D216" s="4" t="str">
        <f>IFERROR(_xlfn.XLOOKUP($B216,Raw_Data!$A$3:$A$273,Raw_Data!$C$3:$C$273),"")</f>
        <v>Rochester, NY</v>
      </c>
      <c r="E216" s="4">
        <f>IFERROR(_xlfn.XLOOKUP($B216,Raw_Data!$A$3:$A$273,Raw_Data!$D$3:$D$273),"")</f>
        <v>0</v>
      </c>
      <c r="F216" s="4" t="str">
        <f>IFERROR(_xlfn.XLOOKUP($B216,Raw_Data!$A$3:$A$273,Raw_Data!$F$3:$F$273),"")</f>
        <v>Renewables</v>
      </c>
      <c r="G216" s="35">
        <f>IFERROR(_xlfn.XLOOKUP($B216,Raw_Data!$A$3:$A$273,Raw_Data!$J$3:$J$273),"")</f>
        <v>44118</v>
      </c>
      <c r="H216" s="16" t="s">
        <v>1466</v>
      </c>
      <c r="I216" s="36">
        <f>IFERROR(_xlfn.XLOOKUP($B216,Raw_Data!$A$3:$A$273,Raw_Data!$I$3:$I$273),"")</f>
        <v>3.01</v>
      </c>
      <c r="J216" s="36">
        <f>IFERROR(_xlfn.XLOOKUP($B216,Raw_Data!$A$3:$A$273,Raw_Data!$L$3:$L$273),"")</f>
        <v>0.51</v>
      </c>
      <c r="K216" s="36">
        <f>IFERROR(_xlfn.XLOOKUP($B216,Raw_Data!$A$3:$A$273,Raw_Data!$M$3:$M$273),"")</f>
        <v>0.87</v>
      </c>
      <c r="L216" s="15">
        <f>IFERROR(_xlfn.XLOOKUP($B216,Raw_Data!$A$3:$A$273,Raw_Data!$Q$3:$Q$273),"")</f>
        <v>0</v>
      </c>
      <c r="M216" s="34" t="str">
        <f>IFERROR(_xlfn.XLOOKUP($B216,Raw_Data!$A$3:$A$273,Raw_Data!$R$3:$R$273),"")</f>
        <v>NextCorps Luminate</v>
      </c>
      <c r="N216" s="16" cm="1">
        <f t="array" ref="N216">IF(M216="",0,COUNTA(_xlfn._xlws.FILTER(_xlfn.TEXTSPLIT(M216,";"), _xlfn.TEXTSPLIT(M216,";")&lt;&gt;"")))</f>
        <v>1</v>
      </c>
      <c r="O216" s="16" t="str">
        <f t="shared" si="9"/>
        <v>Y</v>
      </c>
      <c r="P216" s="19">
        <f>IFERROR(_xlfn.XLOOKUP($B216,Raw_Data!$A$3:$A$273,Raw_Data!$V$3:$V$273),"")</f>
        <v>1</v>
      </c>
      <c r="Q216" s="16" t="str">
        <f t="shared" si="10"/>
        <v>Y</v>
      </c>
      <c r="R216" s="32" t="str">
        <f>IFERROR(_xlfn.XLOOKUP($B216,Raw_Data!$A$3:$A$273,Raw_Data!$Y$3:$Y$273),"")</f>
        <v>N/A</v>
      </c>
      <c r="S216" s="4" t="str" cm="1">
        <f t="array" ref="S216">_xlfn.LET(_xlpm.s, Raw_Data!W216,_xlpm.strat, _xlfn._xlws.FILTER(REF_Setup!$B$3:$B$40, REF_Setup!$B$3:$B$40&lt;&gt;""),IF(OR(_xlpm.s="",_xlpm.s=0),"Unclassified",IF(SUM(--ISNUMBER(SEARCH(_xlpm.strat, _xlpm.s)))&gt;0, "Y", "N"))
)</f>
        <v>Unclassified</v>
      </c>
      <c r="T216" s="4" t="str" cm="1">
        <f t="array" ref="T216">_xlfn.LET(_xlpm.s,M216,_xlpm.phil, _xlfn._xlws.FILTER(REF_Setup!$D$3:$D$5, REF_Setup!$D$3:$D$5&lt;&gt;""),IF(OR(_xlpm.s="", _xlpm.s=0),"Unclassified",IF(SUM(--ISNUMBER(SEARCH(_xlpm.phil, _xlpm.s)))&gt;0, "Y", "N")))</f>
        <v>N</v>
      </c>
      <c r="U216" s="4" t="str" cm="1">
        <f t="array" ref="U216">IF(M216="", "Unclassified", IF(AND(SUMPRODUCT(--ISNUMBER(SEARCH(REF_Setup!$B$3:$B$40,M216)))&gt;0,SUMPRODUCT(--ISNUMBER(SEARCH(REF_Setup!$F$3:$F$15,M216)))&gt;0),"Mixed",IF(SUMPRODUCT(--ISNUMBER(SEARCH(REF_Setup!$B$3:$B$40,M216)))&gt;0,"Strategic Only",IF(SUMPRODUCT(--ISNUMBER(SEARCH(REF_Setup!$F$3:$F$15,M216)))&gt;0,"VC Only","Unclassified"))))</f>
        <v>Unclassified</v>
      </c>
    </row>
    <row r="217" spans="2:21" x14ac:dyDescent="0.35">
      <c r="B217" s="4">
        <f t="shared" si="11"/>
        <v>215</v>
      </c>
      <c r="C217" s="4" t="str">
        <f>IFERROR(_xlfn.XLOOKUP($B217,Raw_Data!$A$3:$A$273,Raw_Data!$B$3:$B$273),"")</f>
        <v>Suniva</v>
      </c>
      <c r="D217" s="4" t="str">
        <f>IFERROR(_xlfn.XLOOKUP($B217,Raw_Data!$A$3:$A$273,Raw_Data!$C$3:$C$273),"")</f>
        <v>Norcross, GA</v>
      </c>
      <c r="E217" s="4">
        <f>IFERROR(_xlfn.XLOOKUP($B217,Raw_Data!$A$3:$A$273,Raw_Data!$D$3:$D$273),"")</f>
        <v>2007</v>
      </c>
      <c r="F217" s="4" t="str">
        <f>IFERROR(_xlfn.XLOOKUP($B217,Raw_Data!$A$3:$A$273,Raw_Data!$F$3:$F$273),"")</f>
        <v>Renewables</v>
      </c>
      <c r="G217" s="35">
        <f>IFERROR(_xlfn.XLOOKUP($B217,Raw_Data!$A$3:$A$273,Raw_Data!$J$3:$J$273),"")</f>
        <v>44927</v>
      </c>
      <c r="H217" s="4" t="s">
        <v>75</v>
      </c>
      <c r="I217" s="36">
        <f>IFERROR(_xlfn.XLOOKUP($B217,Raw_Data!$A$3:$A$273,Raw_Data!$I$3:$I$273),"")</f>
        <v>110</v>
      </c>
      <c r="J217" s="36">
        <f>IFERROR(_xlfn.XLOOKUP($B217,Raw_Data!$A$3:$A$273,Raw_Data!$L$3:$L$273),"")</f>
        <v>110</v>
      </c>
      <c r="K217" s="36">
        <f>IFERROR(_xlfn.XLOOKUP($B217,Raw_Data!$A$3:$A$273,Raw_Data!$M$3:$M$273),"")</f>
        <v>0</v>
      </c>
      <c r="L217" s="15">
        <f>IFERROR(_xlfn.XLOOKUP($B217,Raw_Data!$A$3:$A$273,Raw_Data!$Q$3:$Q$273),"")</f>
        <v>0</v>
      </c>
      <c r="M217" s="34" t="str">
        <f>IFERROR(_xlfn.XLOOKUP($B217,Raw_Data!$A$3:$A$273,Raw_Data!$R$3:$R$273),"")</f>
        <v>Orion Infrastructure Capital</v>
      </c>
      <c r="N217" s="16" cm="1">
        <f t="array" ref="N217">IF(M217="",0,COUNTA(_xlfn._xlws.FILTER(_xlfn.TEXTSPLIT(M217,";"), _xlfn.TEXTSPLIT(M217,";")&lt;&gt;"")))</f>
        <v>1</v>
      </c>
      <c r="O217" s="16" t="str">
        <f t="shared" si="9"/>
        <v>N</v>
      </c>
      <c r="P217" s="19">
        <f>IFERROR(_xlfn.XLOOKUP($B217,Raw_Data!$A$3:$A$273,Raw_Data!$V$3:$V$273),"")</f>
        <v>0</v>
      </c>
      <c r="Q217" s="16" t="str">
        <f t="shared" si="10"/>
        <v>Y</v>
      </c>
      <c r="R217" s="32">
        <f>IFERROR(_xlfn.XLOOKUP($B217,Raw_Data!$A$3:$A$273,Raw_Data!$Y$3:$Y$273),"")</f>
        <v>1</v>
      </c>
      <c r="S217" s="4" t="str" cm="1">
        <f t="array" ref="S217">_xlfn.LET(_xlpm.s, Raw_Data!W217,_xlpm.strat, _xlfn._xlws.FILTER(REF_Setup!$B$3:$B$40, REF_Setup!$B$3:$B$40&lt;&gt;""),IF(OR(_xlpm.s="",_xlpm.s=0),"Unclassified",IF(SUM(--ISNUMBER(SEARCH(_xlpm.strat, _xlpm.s)))&gt;0, "Y", "N"))
)</f>
        <v>N</v>
      </c>
      <c r="T217" s="4" t="str" cm="1">
        <f t="array" ref="T217">_xlfn.LET(_xlpm.s,M217,_xlpm.phil, _xlfn._xlws.FILTER(REF_Setup!$D$3:$D$5, REF_Setup!$D$3:$D$5&lt;&gt;""),IF(OR(_xlpm.s="", _xlpm.s=0),"Unclassified",IF(SUM(--ISNUMBER(SEARCH(_xlpm.phil, _xlpm.s)))&gt;0, "Y", "N")))</f>
        <v>N</v>
      </c>
      <c r="U217" s="4" t="str" cm="1">
        <f t="array" ref="U217">IF(M217="", "Unclassified", IF(AND(SUMPRODUCT(--ISNUMBER(SEARCH(REF_Setup!$B$3:$B$40,M217)))&gt;0,SUMPRODUCT(--ISNUMBER(SEARCH(REF_Setup!$F$3:$F$15,M217)))&gt;0),"Mixed",IF(SUMPRODUCT(--ISNUMBER(SEARCH(REF_Setup!$B$3:$B$40,M217)))&gt;0,"Strategic Only",IF(SUMPRODUCT(--ISNUMBER(SEARCH(REF_Setup!$F$3:$F$15,M217)))&gt;0,"VC Only","Unclassified"))))</f>
        <v>VC Only</v>
      </c>
    </row>
    <row r="218" spans="2:21" x14ac:dyDescent="0.35">
      <c r="B218" s="4">
        <f t="shared" si="11"/>
        <v>216</v>
      </c>
      <c r="C218" s="4" t="str">
        <f>IFERROR(_xlfn.XLOOKUP($B218,Raw_Data!$A$3:$A$273,Raw_Data!$B$3:$B$273),"")</f>
        <v>Sun Modo</v>
      </c>
      <c r="D218" s="4" t="str">
        <f>IFERROR(_xlfn.XLOOKUP($B218,Raw_Data!$A$3:$A$273,Raw_Data!$C$3:$C$273),"")</f>
        <v>Vancouver, WA</v>
      </c>
      <c r="E218" s="4">
        <f>IFERROR(_xlfn.XLOOKUP($B218,Raw_Data!$A$3:$A$273,Raw_Data!$D$3:$D$273),"")</f>
        <v>2008</v>
      </c>
      <c r="F218" s="4" t="str">
        <f>IFERROR(_xlfn.XLOOKUP($B218,Raw_Data!$A$3:$A$273,Raw_Data!$F$3:$F$273),"")</f>
        <v>Renewables</v>
      </c>
      <c r="G218" s="35">
        <f>IFERROR(_xlfn.XLOOKUP($B218,Raw_Data!$A$3:$A$273,Raw_Data!$J$3:$J$273),"")</f>
        <v>45383</v>
      </c>
      <c r="H218" s="4" t="s">
        <v>75</v>
      </c>
      <c r="I218" s="36">
        <f>IFERROR(_xlfn.XLOOKUP($B218,Raw_Data!$A$3:$A$273,Raw_Data!$I$3:$I$273),"")</f>
        <v>0</v>
      </c>
      <c r="J218" s="36">
        <f>IFERROR(_xlfn.XLOOKUP($B218,Raw_Data!$A$3:$A$273,Raw_Data!$L$3:$L$273),"")</f>
        <v>0</v>
      </c>
      <c r="K218" s="36">
        <f>IFERROR(_xlfn.XLOOKUP($B218,Raw_Data!$A$3:$A$273,Raw_Data!$M$3:$M$273),"")</f>
        <v>0</v>
      </c>
      <c r="L218" s="15" t="str">
        <f>IFERROR(_xlfn.XLOOKUP($B218,Raw_Data!$A$3:$A$273,Raw_Data!$Q$3:$Q$273),"")</f>
        <v>N/A</v>
      </c>
      <c r="M218" s="34" t="str">
        <f>IFERROR(_xlfn.XLOOKUP($B218,Raw_Data!$A$3:$A$273,Raw_Data!$R$3:$R$273),"")</f>
        <v xml:space="preserve">MB Energy Partners </v>
      </c>
      <c r="N218" s="16" cm="1">
        <f t="array" ref="N218">IF(M218="",0,COUNTA(_xlfn._xlws.FILTER(_xlfn.TEXTSPLIT(M218,";"), _xlfn.TEXTSPLIT(M218,";")&lt;&gt;"")))</f>
        <v>1</v>
      </c>
      <c r="O218" s="16" t="str">
        <f t="shared" si="9"/>
        <v>N</v>
      </c>
      <c r="P218" s="19">
        <f>IFERROR(_xlfn.XLOOKUP($B218,Raw_Data!$A$3:$A$273,Raw_Data!$V$3:$V$273),"")</f>
        <v>0</v>
      </c>
      <c r="Q218" s="16" t="str">
        <f t="shared" si="10"/>
        <v>Y</v>
      </c>
      <c r="R218" s="32">
        <f>IFERROR(_xlfn.XLOOKUP($B218,Raw_Data!$A$3:$A$273,Raw_Data!$Y$3:$Y$273),"")</f>
        <v>1</v>
      </c>
      <c r="S218" s="4" t="str" cm="1">
        <f t="array" ref="S218">_xlfn.LET(_xlpm.s, Raw_Data!W218,_xlpm.strat, _xlfn._xlws.FILTER(REF_Setup!$B$3:$B$40, REF_Setup!$B$3:$B$40&lt;&gt;""),IF(OR(_xlpm.s="",_xlpm.s=0),"Unclassified",IF(SUM(--ISNUMBER(SEARCH(_xlpm.strat, _xlpm.s)))&gt;0, "Y", "N"))
)</f>
        <v>N</v>
      </c>
      <c r="T218" s="4" t="str" cm="1">
        <f t="array" ref="T218">_xlfn.LET(_xlpm.s,M218,_xlpm.phil, _xlfn._xlws.FILTER(REF_Setup!$D$3:$D$5, REF_Setup!$D$3:$D$5&lt;&gt;""),IF(OR(_xlpm.s="", _xlpm.s=0),"Unclassified",IF(SUM(--ISNUMBER(SEARCH(_xlpm.phil, _xlpm.s)))&gt;0, "Y", "N")))</f>
        <v>N</v>
      </c>
      <c r="U218" s="4" t="str" cm="1">
        <f t="array" ref="U218">IF(M218="", "Unclassified", IF(AND(SUMPRODUCT(--ISNUMBER(SEARCH(REF_Setup!$B$3:$B$40,M218)))&gt;0,SUMPRODUCT(--ISNUMBER(SEARCH(REF_Setup!$F$3:$F$15,M218)))&gt;0),"Mixed",IF(SUMPRODUCT(--ISNUMBER(SEARCH(REF_Setup!$B$3:$B$40,M218)))&gt;0,"Strategic Only",IF(SUMPRODUCT(--ISNUMBER(SEARCH(REF_Setup!$F$3:$F$15,M218)))&gt;0,"VC Only","Unclassified"))))</f>
        <v>VC Only</v>
      </c>
    </row>
    <row r="219" spans="2:21" x14ac:dyDescent="0.35">
      <c r="B219" s="4">
        <f t="shared" si="11"/>
        <v>217</v>
      </c>
      <c r="C219" s="4" t="str">
        <f>IFERROR(_xlfn.XLOOKUP($B219,Raw_Data!$A$3:$A$273,Raw_Data!$B$3:$B$273),"")</f>
        <v>SunStream Partners</v>
      </c>
      <c r="D219" s="4" t="str">
        <f>IFERROR(_xlfn.XLOOKUP($B219,Raw_Data!$A$3:$A$273,Raw_Data!$C$3:$C$273),"")</f>
        <v>Albany, NY</v>
      </c>
      <c r="E219" s="4">
        <f>IFERROR(_xlfn.XLOOKUP($B219,Raw_Data!$A$3:$A$273,Raw_Data!$D$3:$D$273),"")</f>
        <v>2010</v>
      </c>
      <c r="F219" s="4" t="str">
        <f>IFERROR(_xlfn.XLOOKUP($B219,Raw_Data!$A$3:$A$273,Raw_Data!$F$3:$F$273),"")</f>
        <v>Renewables</v>
      </c>
      <c r="G219" s="35">
        <f>IFERROR(_xlfn.XLOOKUP($B219,Raw_Data!$A$3:$A$273,Raw_Data!$J$3:$J$273),"")</f>
        <v>42348</v>
      </c>
      <c r="H219" s="4" t="s">
        <v>75</v>
      </c>
      <c r="I219" s="36">
        <f>IFERROR(_xlfn.XLOOKUP($B219,Raw_Data!$A$3:$A$273,Raw_Data!$I$3:$I$273),"")</f>
        <v>11</v>
      </c>
      <c r="J219" s="36">
        <f>IFERROR(_xlfn.XLOOKUP($B219,Raw_Data!$A$3:$A$273,Raw_Data!$L$3:$L$273),"")</f>
        <v>11</v>
      </c>
      <c r="K219" s="36">
        <f>IFERROR(_xlfn.XLOOKUP($B219,Raw_Data!$A$3:$A$273,Raw_Data!$M$3:$M$273),"")</f>
        <v>0</v>
      </c>
      <c r="L219" s="15">
        <f>IFERROR(_xlfn.XLOOKUP($B219,Raw_Data!$A$3:$A$273,Raw_Data!$Q$3:$Q$273),"")</f>
        <v>0</v>
      </c>
      <c r="M219" s="34" t="str">
        <f>IFERROR(_xlfn.XLOOKUP($B219,Raw_Data!$A$3:$A$273,Raw_Data!$R$3:$R$273),"")</f>
        <v>MMA Capital Holdings (Robert Hopper)</v>
      </c>
      <c r="N219" s="16" cm="1">
        <f t="array" ref="N219">IF(M219="",0,COUNTA(_xlfn._xlws.FILTER(_xlfn.TEXTSPLIT(M219,";"), _xlfn.TEXTSPLIT(M219,";")&lt;&gt;"")))</f>
        <v>1</v>
      </c>
      <c r="O219" s="16" t="str">
        <f t="shared" si="9"/>
        <v>N</v>
      </c>
      <c r="P219" s="19">
        <f>IFERROR(_xlfn.XLOOKUP($B219,Raw_Data!$A$3:$A$273,Raw_Data!$V$3:$V$273),"")</f>
        <v>0</v>
      </c>
      <c r="Q219" s="16" t="str">
        <f t="shared" si="10"/>
        <v>Y</v>
      </c>
      <c r="R219" s="32">
        <f>IFERROR(_xlfn.XLOOKUP($B219,Raw_Data!$A$3:$A$273,Raw_Data!$Y$3:$Y$273),"")</f>
        <v>1</v>
      </c>
      <c r="S219" s="4" t="str" cm="1">
        <f t="array" ref="S219">_xlfn.LET(_xlpm.s, Raw_Data!W219,_xlpm.strat, _xlfn._xlws.FILTER(REF_Setup!$B$3:$B$40, REF_Setup!$B$3:$B$40&lt;&gt;""),IF(OR(_xlpm.s="",_xlpm.s=0),"Unclassified",IF(SUM(--ISNUMBER(SEARCH(_xlpm.strat, _xlpm.s)))&gt;0, "Y", "N"))
)</f>
        <v>N</v>
      </c>
      <c r="T219" s="4" t="str" cm="1">
        <f t="array" ref="T219">_xlfn.LET(_xlpm.s,M219,_xlpm.phil, _xlfn._xlws.FILTER(REF_Setup!$D$3:$D$5, REF_Setup!$D$3:$D$5&lt;&gt;""),IF(OR(_xlpm.s="", _xlpm.s=0),"Unclassified",IF(SUM(--ISNUMBER(SEARCH(_xlpm.phil, _xlpm.s)))&gt;0, "Y", "N")))</f>
        <v>N</v>
      </c>
      <c r="U219" s="4" t="str" cm="1">
        <f t="array" ref="U219">IF(M219="", "Unclassified", IF(AND(SUMPRODUCT(--ISNUMBER(SEARCH(REF_Setup!$B$3:$B$40,M219)))&gt;0,SUMPRODUCT(--ISNUMBER(SEARCH(REF_Setup!$F$3:$F$15,M219)))&gt;0),"Mixed",IF(SUMPRODUCT(--ISNUMBER(SEARCH(REF_Setup!$B$3:$B$40,M219)))&gt;0,"Strategic Only",IF(SUMPRODUCT(--ISNUMBER(SEARCH(REF_Setup!$F$3:$F$15,M219)))&gt;0,"VC Only","Unclassified"))))</f>
        <v>VC Only</v>
      </c>
    </row>
    <row r="220" spans="2:21" ht="29" x14ac:dyDescent="0.35">
      <c r="B220" s="4">
        <f t="shared" si="11"/>
        <v>218</v>
      </c>
      <c r="C220" s="4" t="str">
        <f>IFERROR(_xlfn.XLOOKUP($B220,Raw_Data!$A$3:$A$273,Raw_Data!$B$3:$B$273),"")</f>
        <v>Swift Solar</v>
      </c>
      <c r="D220" s="4" t="str">
        <f>IFERROR(_xlfn.XLOOKUP($B220,Raw_Data!$A$3:$A$273,Raw_Data!$C$3:$C$273),"")</f>
        <v>San Carlos, CA</v>
      </c>
      <c r="E220" s="4">
        <f>IFERROR(_xlfn.XLOOKUP($B220,Raw_Data!$A$3:$A$273,Raw_Data!$D$3:$D$273),"")</f>
        <v>2017</v>
      </c>
      <c r="F220" s="4" t="str">
        <f>IFERROR(_xlfn.XLOOKUP($B220,Raw_Data!$A$3:$A$273,Raw_Data!$F$3:$F$273),"")</f>
        <v>Renewables</v>
      </c>
      <c r="G220" s="35">
        <f>IFERROR(_xlfn.XLOOKUP($B220,Raw_Data!$A$3:$A$273,Raw_Data!$J$3:$J$273),"")</f>
        <v>44165</v>
      </c>
      <c r="H220" s="16" t="s">
        <v>1466</v>
      </c>
      <c r="I220" s="36">
        <f>IFERROR(_xlfn.XLOOKUP($B220,Raw_Data!$A$3:$A$273,Raw_Data!$I$3:$I$273),"")</f>
        <v>16.809999999999999</v>
      </c>
      <c r="J220" s="36">
        <f>IFERROR(_xlfn.XLOOKUP($B220,Raw_Data!$A$3:$A$273,Raw_Data!$L$3:$L$273),"")</f>
        <v>9.66</v>
      </c>
      <c r="K220" s="36">
        <f>IFERROR(_xlfn.XLOOKUP($B220,Raw_Data!$A$3:$A$273,Raw_Data!$M$3:$M$273),"")</f>
        <v>39.9</v>
      </c>
      <c r="L220" s="15">
        <f>IFERROR(_xlfn.XLOOKUP($B220,Raw_Data!$A$3:$A$273,Raw_Data!$Q$3:$Q$273),"")</f>
        <v>0</v>
      </c>
      <c r="M220" s="34" t="str">
        <f>IFERROR(_xlfn.XLOOKUP($B220,Raw_Data!$A$3:$A$273,Raw_Data!$R$3:$R$273),"")</f>
        <v>Climate Capital; Good Growth Capital; Grant Hummer; Jack Fuchs; James Fickel lame; Kelly Lei; Safar Partners; Sierra Peterson; Sytse Sijbrandij; Vitalik Buterin</v>
      </c>
      <c r="N220" s="16" cm="1">
        <f t="array" ref="N220">IF(M220="",0,COUNTA(_xlfn._xlws.FILTER(_xlfn.TEXTSPLIT(M220,";"), _xlfn.TEXTSPLIT(M220,";")&lt;&gt;"")))</f>
        <v>10</v>
      </c>
      <c r="O220" s="16" t="str">
        <f t="shared" si="9"/>
        <v>Y</v>
      </c>
      <c r="P220" s="19">
        <f>IFERROR(_xlfn.XLOOKUP($B220,Raw_Data!$A$3:$A$273,Raw_Data!$V$3:$V$273),"")</f>
        <v>0.2</v>
      </c>
      <c r="Q220" s="16" t="str">
        <f t="shared" si="10"/>
        <v>Y</v>
      </c>
      <c r="R220" s="32">
        <f>IFERROR(_xlfn.XLOOKUP($B220,Raw_Data!$A$3:$A$273,Raw_Data!$Y$3:$Y$273),"")</f>
        <v>0.8</v>
      </c>
      <c r="S220" s="4" t="str" cm="1">
        <f t="array" ref="S220">_xlfn.LET(_xlpm.s, Raw_Data!W220,_xlpm.strat, _xlfn._xlws.FILTER(REF_Setup!$B$3:$B$40, REF_Setup!$B$3:$B$40&lt;&gt;""),IF(OR(_xlpm.s="",_xlpm.s=0),"Unclassified",IF(SUM(--ISNUMBER(SEARCH(_xlpm.strat, _xlpm.s)))&gt;0, "Y", "N"))
)</f>
        <v>N</v>
      </c>
      <c r="T220" s="4" t="str" cm="1">
        <f t="array" ref="T220">_xlfn.LET(_xlpm.s,M220,_xlpm.phil, _xlfn._xlws.FILTER(REF_Setup!$D$3:$D$5, REF_Setup!$D$3:$D$5&lt;&gt;""),IF(OR(_xlpm.s="", _xlpm.s=0),"Unclassified",IF(SUM(--ISNUMBER(SEARCH(_xlpm.phil, _xlpm.s)))&gt;0, "Y", "N")))</f>
        <v>N</v>
      </c>
      <c r="U220" s="4" t="str" cm="1">
        <f t="array" ref="U220">IF(M220="", "Unclassified", IF(AND(SUMPRODUCT(--ISNUMBER(SEARCH(REF_Setup!$B$3:$B$40,M220)))&gt;0,SUMPRODUCT(--ISNUMBER(SEARCH(REF_Setup!$F$3:$F$15,M220)))&gt;0),"Mixed",IF(SUMPRODUCT(--ISNUMBER(SEARCH(REF_Setup!$B$3:$B$40,M220)))&gt;0,"Strategic Only",IF(SUMPRODUCT(--ISNUMBER(SEARCH(REF_Setup!$F$3:$F$15,M220)))&gt;0,"VC Only","Unclassified"))))</f>
        <v>VC Only</v>
      </c>
    </row>
    <row r="221" spans="2:21" x14ac:dyDescent="0.35">
      <c r="B221" s="4">
        <f t="shared" si="11"/>
        <v>219</v>
      </c>
      <c r="C221" s="4" t="str">
        <f>IFERROR(_xlfn.XLOOKUP($B221,Raw_Data!$A$3:$A$273,Raw_Data!$B$3:$B$273),"")</f>
        <v>Swiftmile</v>
      </c>
      <c r="D221" s="4" t="str">
        <f>IFERROR(_xlfn.XLOOKUP($B221,Raw_Data!$A$3:$A$273,Raw_Data!$C$3:$C$273),"")</f>
        <v>Belmont, CA</v>
      </c>
      <c r="E221" s="4">
        <f>IFERROR(_xlfn.XLOOKUP($B221,Raw_Data!$A$3:$A$273,Raw_Data!$D$3:$D$273),"")</f>
        <v>2015</v>
      </c>
      <c r="F221" s="4" t="str">
        <f>IFERROR(_xlfn.XLOOKUP($B221,Raw_Data!$A$3:$A$273,Raw_Data!$F$3:$F$273),"")</f>
        <v>Mobility</v>
      </c>
      <c r="G221" s="35">
        <f>IFERROR(_xlfn.XLOOKUP($B221,Raw_Data!$A$3:$A$273,Raw_Data!$J$3:$J$273),"")</f>
        <v>42930</v>
      </c>
      <c r="H221" s="16" t="s">
        <v>1466</v>
      </c>
      <c r="I221" s="36">
        <f>IFERROR(_xlfn.XLOOKUP($B221,Raw_Data!$A$3:$A$273,Raw_Data!$I$3:$I$273),"")</f>
        <v>1</v>
      </c>
      <c r="J221" s="36">
        <f>IFERROR(_xlfn.XLOOKUP($B221,Raw_Data!$A$3:$A$273,Raw_Data!$L$3:$L$273),"")</f>
        <v>0.85</v>
      </c>
      <c r="K221" s="36">
        <f>IFERROR(_xlfn.XLOOKUP($B221,Raw_Data!$A$3:$A$273,Raw_Data!$M$3:$M$273),"")</f>
        <v>0</v>
      </c>
      <c r="L221" s="15">
        <f>IFERROR(_xlfn.XLOOKUP($B221,Raw_Data!$A$3:$A$273,Raw_Data!$Q$3:$Q$273),"")</f>
        <v>1</v>
      </c>
      <c r="M221" s="34" t="str">
        <f>IFERROR(_xlfn.XLOOKUP($B221,Raw_Data!$A$3:$A$273,Raw_Data!$R$3:$R$273),"")</f>
        <v>Plug and Play Tech Center; Seedlnvest; Sunmeet Jolly; Verizon Ventures</v>
      </c>
      <c r="N221" s="16" cm="1">
        <f t="array" ref="N221">IF(M221="",0,COUNTA(_xlfn._xlws.FILTER(_xlfn.TEXTSPLIT(M221,";"), _xlfn.TEXTSPLIT(M221,";")&lt;&gt;"")))</f>
        <v>4</v>
      </c>
      <c r="O221" s="16" t="str">
        <f t="shared" si="9"/>
        <v>Y</v>
      </c>
      <c r="P221" s="19">
        <f>IFERROR(_xlfn.XLOOKUP($B221,Raw_Data!$A$3:$A$273,Raw_Data!$V$3:$V$273),"")</f>
        <v>0.5</v>
      </c>
      <c r="Q221" s="16" t="str">
        <f t="shared" si="10"/>
        <v>Y</v>
      </c>
      <c r="R221" s="32">
        <f>IFERROR(_xlfn.XLOOKUP($B221,Raw_Data!$A$3:$A$273,Raw_Data!$Y$3:$Y$273),"")</f>
        <v>0.5</v>
      </c>
      <c r="S221" s="4" t="str" cm="1">
        <f t="array" ref="S221">_xlfn.LET(_xlpm.s, Raw_Data!W221,_xlpm.strat, _xlfn._xlws.FILTER(REF_Setup!$B$3:$B$40, REF_Setup!$B$3:$B$40&lt;&gt;""),IF(OR(_xlpm.s="",_xlpm.s=0),"Unclassified",IF(SUM(--ISNUMBER(SEARCH(_xlpm.strat, _xlpm.s)))&gt;0, "Y", "N"))
)</f>
        <v>N</v>
      </c>
      <c r="T221" s="4" t="str" cm="1">
        <f t="array" ref="T221">_xlfn.LET(_xlpm.s,M221,_xlpm.phil, _xlfn._xlws.FILTER(REF_Setup!$D$3:$D$5, REF_Setup!$D$3:$D$5&lt;&gt;""),IF(OR(_xlpm.s="", _xlpm.s=0),"Unclassified",IF(SUM(--ISNUMBER(SEARCH(_xlpm.phil, _xlpm.s)))&gt;0, "Y", "N")))</f>
        <v>N</v>
      </c>
      <c r="U221" s="4" t="str" cm="1">
        <f t="array" ref="U221">IF(M221="", "Unclassified", IF(AND(SUMPRODUCT(--ISNUMBER(SEARCH(REF_Setup!$B$3:$B$40,M221)))&gt;0,SUMPRODUCT(--ISNUMBER(SEARCH(REF_Setup!$F$3:$F$15,M221)))&gt;0),"Mixed",IF(SUMPRODUCT(--ISNUMBER(SEARCH(REF_Setup!$B$3:$B$40,M221)))&gt;0,"Strategic Only",IF(SUMPRODUCT(--ISNUMBER(SEARCH(REF_Setup!$F$3:$F$15,M221)))&gt;0,"VC Only","Unclassified"))))</f>
        <v>VC Only</v>
      </c>
    </row>
    <row r="222" spans="2:21" ht="29" x14ac:dyDescent="0.35">
      <c r="B222" s="4">
        <f t="shared" si="11"/>
        <v>220</v>
      </c>
      <c r="C222" s="4" t="str">
        <f>IFERROR(_xlfn.XLOOKUP($B222,Raw_Data!$A$3:$A$273,Raw_Data!$B$3:$B$273),"")</f>
        <v>Swiftmile</v>
      </c>
      <c r="D222" s="4" t="str">
        <f>IFERROR(_xlfn.XLOOKUP($B222,Raw_Data!$A$3:$A$273,Raw_Data!$C$3:$C$273),"")</f>
        <v>Belmont, CA</v>
      </c>
      <c r="E222" s="4">
        <f>IFERROR(_xlfn.XLOOKUP($B222,Raw_Data!$A$3:$A$273,Raw_Data!$D$3:$D$273),"")</f>
        <v>2015</v>
      </c>
      <c r="F222" s="4" t="str">
        <f>IFERROR(_xlfn.XLOOKUP($B222,Raw_Data!$A$3:$A$273,Raw_Data!$F$3:$F$273),"")</f>
        <v>Mobility</v>
      </c>
      <c r="G222" s="35">
        <f>IFERROR(_xlfn.XLOOKUP($B222,Raw_Data!$A$3:$A$273,Raw_Data!$J$3:$J$273),"")</f>
        <v>43216</v>
      </c>
      <c r="I222" s="36">
        <f>IFERROR(_xlfn.XLOOKUP($B222,Raw_Data!$A$3:$A$273,Raw_Data!$I$3:$I$273),"")</f>
        <v>1.95</v>
      </c>
      <c r="J222" s="36">
        <f>IFERROR(_xlfn.XLOOKUP($B222,Raw_Data!$A$3:$A$273,Raw_Data!$L$3:$L$273),"")</f>
        <v>0.95</v>
      </c>
      <c r="K222" s="36">
        <f>IFERROR(_xlfn.XLOOKUP($B222,Raw_Data!$A$3:$A$273,Raw_Data!$M$3:$M$273),"")</f>
        <v>0</v>
      </c>
      <c r="L222" s="15">
        <f>IFERROR(_xlfn.XLOOKUP($B222,Raw_Data!$A$3:$A$273,Raw_Data!$Q$3:$Q$273),"")</f>
        <v>0</v>
      </c>
      <c r="M222" s="34" t="str">
        <f>IFERROR(_xlfn.XLOOKUP($B222,Raw_Data!$A$3:$A$273,Raw_Data!$R$3:$R$273),"")</f>
        <v>G Ventures; Mukul Agapwal; Nonlinear Capital; Plug and Play Tech Center; Verizon Ventures</v>
      </c>
      <c r="N222" s="16" cm="1">
        <f t="array" ref="N222">IF(M222="",0,COUNTA(_xlfn._xlws.FILTER(_xlfn.TEXTSPLIT(M222,";"), _xlfn.TEXTSPLIT(M222,";")&lt;&gt;"")))</f>
        <v>5</v>
      </c>
      <c r="O222" s="16" t="str">
        <f t="shared" si="9"/>
        <v>Y</v>
      </c>
      <c r="P222" s="19">
        <f>IFERROR(_xlfn.XLOOKUP($B222,Raw_Data!$A$3:$A$273,Raw_Data!$V$3:$V$273),"")</f>
        <v>0.4</v>
      </c>
      <c r="Q222" s="16" t="str">
        <f t="shared" si="10"/>
        <v>Y</v>
      </c>
      <c r="R222" s="32">
        <f>IFERROR(_xlfn.XLOOKUP($B222,Raw_Data!$A$3:$A$273,Raw_Data!$Y$3:$Y$273),"")</f>
        <v>0.6</v>
      </c>
      <c r="S222" s="4" t="str" cm="1">
        <f t="array" ref="S222">_xlfn.LET(_xlpm.s, Raw_Data!W222,_xlpm.strat, _xlfn._xlws.FILTER(REF_Setup!$B$3:$B$40, REF_Setup!$B$3:$B$40&lt;&gt;""),IF(OR(_xlpm.s="",_xlpm.s=0),"Unclassified",IF(SUM(--ISNUMBER(SEARCH(_xlpm.strat, _xlpm.s)))&gt;0, "Y", "N"))
)</f>
        <v>N</v>
      </c>
      <c r="T222" s="4" t="str" cm="1">
        <f t="array" ref="T222">_xlfn.LET(_xlpm.s,M222,_xlpm.phil, _xlfn._xlws.FILTER(REF_Setup!$D$3:$D$5, REF_Setup!$D$3:$D$5&lt;&gt;""),IF(OR(_xlpm.s="", _xlpm.s=0),"Unclassified",IF(SUM(--ISNUMBER(SEARCH(_xlpm.phil, _xlpm.s)))&gt;0, "Y", "N")))</f>
        <v>N</v>
      </c>
      <c r="U222" s="4" t="str" cm="1">
        <f t="array" ref="U222">IF(M222="", "Unclassified", IF(AND(SUMPRODUCT(--ISNUMBER(SEARCH(REF_Setup!$B$3:$B$40,M222)))&gt;0,SUMPRODUCT(--ISNUMBER(SEARCH(REF_Setup!$F$3:$F$15,M222)))&gt;0),"Mixed",IF(SUMPRODUCT(--ISNUMBER(SEARCH(REF_Setup!$B$3:$B$40,M222)))&gt;0,"Strategic Only",IF(SUMPRODUCT(--ISNUMBER(SEARCH(REF_Setup!$F$3:$F$15,M222)))&gt;0,"VC Only","Unclassified"))))</f>
        <v>VC Only</v>
      </c>
    </row>
    <row r="223" spans="2:21" ht="29" x14ac:dyDescent="0.35">
      <c r="B223" s="4">
        <f t="shared" si="11"/>
        <v>221</v>
      </c>
      <c r="C223" s="4" t="str">
        <f>IFERROR(_xlfn.XLOOKUP($B223,Raw_Data!$A$3:$A$273,Raw_Data!$B$3:$B$273),"")</f>
        <v>Sylvatex</v>
      </c>
      <c r="D223" s="4" t="str">
        <f>IFERROR(_xlfn.XLOOKUP($B223,Raw_Data!$A$3:$A$273,Raw_Data!$C$3:$C$273),"")</f>
        <v>Alameda, CA</v>
      </c>
      <c r="E223" s="4">
        <f>IFERROR(_xlfn.XLOOKUP($B223,Raw_Data!$A$3:$A$273,Raw_Data!$D$3:$D$273),"")</f>
        <v>2007</v>
      </c>
      <c r="F223" s="4" t="str">
        <f>IFERROR(_xlfn.XLOOKUP($B223,Raw_Data!$A$3:$A$273,Raw_Data!$F$3:$F$273),"")</f>
        <v>Mobility</v>
      </c>
      <c r="G223" s="35">
        <f>IFERROR(_xlfn.XLOOKUP($B223,Raw_Data!$A$3:$A$273,Raw_Data!$J$3:$J$273),"")</f>
        <v>44197</v>
      </c>
      <c r="H223" s="16" t="s">
        <v>1465</v>
      </c>
      <c r="I223" s="36">
        <f>IFERROR(_xlfn.XLOOKUP($B223,Raw_Data!$A$3:$A$273,Raw_Data!$I$3:$I$273),"")</f>
        <v>4.76</v>
      </c>
      <c r="J223" s="36">
        <f>IFERROR(_xlfn.XLOOKUP($B223,Raw_Data!$A$3:$A$273,Raw_Data!$L$3:$L$273),"")</f>
        <v>2</v>
      </c>
      <c r="K223" s="36">
        <f>IFERROR(_xlfn.XLOOKUP($B223,Raw_Data!$A$3:$A$273,Raw_Data!$M$3:$M$273),"")</f>
        <v>16</v>
      </c>
      <c r="L223" s="15">
        <f>IFERROR(_xlfn.XLOOKUP($B223,Raw_Data!$A$3:$A$273,Raw_Data!$Q$3:$Q$273),"")</f>
        <v>0</v>
      </c>
      <c r="M223" s="34" t="str">
        <f>IFERROR(_xlfn.XLOOKUP($B223,Raw_Data!$A$3:$A$273,Raw_Data!$R$3:$R$273),"")</f>
        <v>Amplify Capital; Bruce Rubin; Kathy Salmanowitz; One World; Scott Saslow; Steve Rosard; SXU Investment; Volo Earth Ventures; Zygote Ventures</v>
      </c>
      <c r="N223" s="16" cm="1">
        <f t="array" ref="N223">IF(M223="",0,COUNTA(_xlfn._xlws.FILTER(_xlfn.TEXTSPLIT(M223,";"), _xlfn.TEXTSPLIT(M223,";")&lt;&gt;"")))</f>
        <v>9</v>
      </c>
      <c r="O223" s="16" t="str">
        <f t="shared" si="9"/>
        <v>N</v>
      </c>
      <c r="P223" s="19">
        <f>IFERROR(_xlfn.XLOOKUP($B223,Raw_Data!$A$3:$A$273,Raw_Data!$V$3:$V$273),"")</f>
        <v>0</v>
      </c>
      <c r="Q223" s="16" t="str">
        <f t="shared" si="10"/>
        <v>Y</v>
      </c>
      <c r="R223" s="32">
        <f>IFERROR(_xlfn.XLOOKUP($B223,Raw_Data!$A$3:$A$273,Raw_Data!$Y$3:$Y$273),"")</f>
        <v>1</v>
      </c>
      <c r="S223" s="4" t="str" cm="1">
        <f t="array" ref="S223">_xlfn.LET(_xlpm.s, Raw_Data!W223,_xlpm.strat, _xlfn._xlws.FILTER(REF_Setup!$B$3:$B$40, REF_Setup!$B$3:$B$40&lt;&gt;""),IF(OR(_xlpm.s="",_xlpm.s=0),"Unclassified",IF(SUM(--ISNUMBER(SEARCH(_xlpm.strat, _xlpm.s)))&gt;0, "Y", "N"))
)</f>
        <v>N</v>
      </c>
      <c r="T223" s="4" t="str" cm="1">
        <f t="array" ref="T223">_xlfn.LET(_xlpm.s,M223,_xlpm.phil, _xlfn._xlws.FILTER(REF_Setup!$D$3:$D$5, REF_Setup!$D$3:$D$5&lt;&gt;""),IF(OR(_xlpm.s="", _xlpm.s=0),"Unclassified",IF(SUM(--ISNUMBER(SEARCH(_xlpm.phil, _xlpm.s)))&gt;0, "Y", "N")))</f>
        <v>N</v>
      </c>
      <c r="U223" s="4" t="str" cm="1">
        <f t="array" ref="U223">IF(M223="", "Unclassified", IF(AND(SUMPRODUCT(--ISNUMBER(SEARCH(REF_Setup!$B$3:$B$40,M223)))&gt;0,SUMPRODUCT(--ISNUMBER(SEARCH(REF_Setup!$F$3:$F$15,M223)))&gt;0),"Mixed",IF(SUMPRODUCT(--ISNUMBER(SEARCH(REF_Setup!$B$3:$B$40,M223)))&gt;0,"Strategic Only",IF(SUMPRODUCT(--ISNUMBER(SEARCH(REF_Setup!$F$3:$F$15,M223)))&gt;0,"VC Only","Unclassified"))))</f>
        <v>VC Only</v>
      </c>
    </row>
    <row r="224" spans="2:21" x14ac:dyDescent="0.35">
      <c r="B224" s="4">
        <f t="shared" si="11"/>
        <v>222</v>
      </c>
      <c r="C224" s="4" t="str">
        <f>IFERROR(_xlfn.XLOOKUP($B224,Raw_Data!$A$3:$A$273,Raw_Data!$B$3:$B$273),"")</f>
        <v>Syzygy Plasmonics</v>
      </c>
      <c r="D224" s="4" t="str">
        <f>IFERROR(_xlfn.XLOOKUP($B224,Raw_Data!$A$3:$A$273,Raw_Data!$C$3:$C$273),"")</f>
        <v>Houston, TX</v>
      </c>
      <c r="E224" s="4">
        <f>IFERROR(_xlfn.XLOOKUP($B224,Raw_Data!$A$3:$A$273,Raw_Data!$D$3:$D$273),"")</f>
        <v>2018</v>
      </c>
      <c r="F224" s="4" t="str">
        <f>IFERROR(_xlfn.XLOOKUP($B224,Raw_Data!$A$3:$A$273,Raw_Data!$F$3:$F$273),"")</f>
        <v>Hydrogen</v>
      </c>
      <c r="G224" s="35">
        <f>IFERROR(_xlfn.XLOOKUP($B224,Raw_Data!$A$3:$A$273,Raw_Data!$J$3:$J$273),"")</f>
        <v>45749</v>
      </c>
      <c r="H224" s="16" t="s">
        <v>880</v>
      </c>
      <c r="I224" s="36">
        <f>IFERROR(_xlfn.XLOOKUP($B224,Raw_Data!$A$3:$A$273,Raw_Data!$I$3:$I$273),"")</f>
        <v>136.79</v>
      </c>
      <c r="J224" s="36">
        <f>IFERROR(_xlfn.XLOOKUP($B224,Raw_Data!$A$3:$A$273,Raw_Data!$L$3:$L$273),"")</f>
        <v>24.5</v>
      </c>
      <c r="K224" s="36">
        <f>IFERROR(_xlfn.XLOOKUP($B224,Raw_Data!$A$3:$A$273,Raw_Data!$M$3:$M$273),"")</f>
        <v>0</v>
      </c>
      <c r="L224" s="15">
        <f>IFERROR(_xlfn.XLOOKUP($B224,Raw_Data!$A$3:$A$273,Raw_Data!$Q$3:$Q$273),"")</f>
        <v>0</v>
      </c>
      <c r="M224" s="34" t="str">
        <f>IFERROR(_xlfn.XLOOKUP($B224,Raw_Data!$A$3:$A$273,Raw_Data!$R$3:$R$273),"")</f>
        <v>Tupras Ventures</v>
      </c>
      <c r="N224" s="16" cm="1">
        <f t="array" ref="N224">IF(M224="",0,COUNTA(_xlfn._xlws.FILTER(_xlfn.TEXTSPLIT(M224,";"), _xlfn.TEXTSPLIT(M224,";")&lt;&gt;"")))</f>
        <v>1</v>
      </c>
      <c r="O224" s="16" t="str">
        <f t="shared" si="9"/>
        <v>N</v>
      </c>
      <c r="P224" s="19">
        <f>IFERROR(_xlfn.XLOOKUP($B224,Raw_Data!$A$3:$A$273,Raw_Data!$V$3:$V$273),"")</f>
        <v>0</v>
      </c>
      <c r="Q224" s="16" t="str">
        <f t="shared" si="10"/>
        <v>Y</v>
      </c>
      <c r="R224" s="32">
        <f>IFERROR(_xlfn.XLOOKUP($B224,Raw_Data!$A$3:$A$273,Raw_Data!$Y$3:$Y$273),"")</f>
        <v>1</v>
      </c>
      <c r="S224" s="4" t="str" cm="1">
        <f t="array" ref="S224">_xlfn.LET(_xlpm.s, Raw_Data!W224,_xlpm.strat, _xlfn._xlws.FILTER(REF_Setup!$B$3:$B$40, REF_Setup!$B$3:$B$40&lt;&gt;""),IF(OR(_xlpm.s="",_xlpm.s=0),"Unclassified",IF(SUM(--ISNUMBER(SEARCH(_xlpm.strat, _xlpm.s)))&gt;0, "Y", "N"))
)</f>
        <v>N</v>
      </c>
      <c r="T224" s="4" t="str" cm="1">
        <f t="array" ref="T224">_xlfn.LET(_xlpm.s,M224,_xlpm.phil, _xlfn._xlws.FILTER(REF_Setup!$D$3:$D$5, REF_Setup!$D$3:$D$5&lt;&gt;""),IF(OR(_xlpm.s="", _xlpm.s=0),"Unclassified",IF(SUM(--ISNUMBER(SEARCH(_xlpm.phil, _xlpm.s)))&gt;0, "Y", "N")))</f>
        <v>N</v>
      </c>
      <c r="U224" s="4" t="str" cm="1">
        <f t="array" ref="U224">IF(M224="", "Unclassified", IF(AND(SUMPRODUCT(--ISNUMBER(SEARCH(REF_Setup!$B$3:$B$40,M224)))&gt;0,SUMPRODUCT(--ISNUMBER(SEARCH(REF_Setup!$F$3:$F$15,M224)))&gt;0),"Mixed",IF(SUMPRODUCT(--ISNUMBER(SEARCH(REF_Setup!$B$3:$B$40,M224)))&gt;0,"Strategic Only",IF(SUMPRODUCT(--ISNUMBER(SEARCH(REF_Setup!$F$3:$F$15,M224)))&gt;0,"VC Only","Unclassified"))))</f>
        <v>VC Only</v>
      </c>
    </row>
    <row r="225" spans="2:21" ht="29" x14ac:dyDescent="0.35">
      <c r="B225" s="4">
        <f t="shared" si="11"/>
        <v>223</v>
      </c>
      <c r="C225" s="4" t="str">
        <f>IFERROR(_xlfn.XLOOKUP($B225,Raw_Data!$A$3:$A$273,Raw_Data!$B$3:$B$273),"")</f>
        <v>Tandem PV</v>
      </c>
      <c r="D225" s="4" t="str">
        <f>IFERROR(_xlfn.XLOOKUP($B225,Raw_Data!$A$3:$A$273,Raw_Data!$C$3:$C$273),"")</f>
        <v>San Jose, CA</v>
      </c>
      <c r="E225" s="4">
        <f>IFERROR(_xlfn.XLOOKUP($B225,Raw_Data!$A$3:$A$273,Raw_Data!$D$3:$D$273),"")</f>
        <v>2016</v>
      </c>
      <c r="F225" s="4" t="str">
        <f>IFERROR(_xlfn.XLOOKUP($B225,Raw_Data!$A$3:$A$273,Raw_Data!$F$3:$F$273),"")</f>
        <v>Renewables</v>
      </c>
      <c r="G225" s="35">
        <f>IFERROR(_xlfn.XLOOKUP($B225,Raw_Data!$A$3:$A$273,Raw_Data!$J$3:$J$273),"")</f>
        <v>45307</v>
      </c>
      <c r="H225" s="16" t="s">
        <v>1465</v>
      </c>
      <c r="I225" s="36">
        <f>IFERROR(_xlfn.XLOOKUP($B225,Raw_Data!$A$3:$A$273,Raw_Data!$I$3:$I$273),"")</f>
        <v>17.989999999999998</v>
      </c>
      <c r="J225" s="36">
        <f>IFERROR(_xlfn.XLOOKUP($B225,Raw_Data!$A$3:$A$273,Raw_Data!$L$3:$L$273),"")</f>
        <v>6</v>
      </c>
      <c r="K225" s="36">
        <f>IFERROR(_xlfn.XLOOKUP($B225,Raw_Data!$A$3:$A$273,Raw_Data!$M$3:$M$273),"")</f>
        <v>40</v>
      </c>
      <c r="L225" s="15">
        <f>IFERROR(_xlfn.XLOOKUP($B225,Raw_Data!$A$3:$A$273,Raw_Data!$Q$3:$Q$273),"")</f>
        <v>0</v>
      </c>
      <c r="M225" s="34" t="str">
        <f>IFERROR(_xlfn.XLOOKUP($B225,Raw_Data!$A$3:$A$273,Raw_Data!$R$3:$R$273),"")</f>
        <v>Constellation Technology Ventures; Planetary Technologies; Thomas Werner; Uncorrelated Ventures</v>
      </c>
      <c r="N225" s="16" cm="1">
        <f t="array" ref="N225">IF(M225="",0,COUNTA(_xlfn._xlws.FILTER(_xlfn.TEXTSPLIT(M225,";"), _xlfn.TEXTSPLIT(M225,";")&lt;&gt;"")))</f>
        <v>4</v>
      </c>
      <c r="O225" s="16" t="str">
        <f t="shared" si="9"/>
        <v>N</v>
      </c>
      <c r="P225" s="19">
        <f>IFERROR(_xlfn.XLOOKUP($B225,Raw_Data!$A$3:$A$273,Raw_Data!$V$3:$V$273),"")</f>
        <v>0</v>
      </c>
      <c r="Q225" s="16" t="str">
        <f t="shared" si="10"/>
        <v>Y</v>
      </c>
      <c r="R225" s="32">
        <f>IFERROR(_xlfn.XLOOKUP($B225,Raw_Data!$A$3:$A$273,Raw_Data!$Y$3:$Y$273),"")</f>
        <v>1</v>
      </c>
      <c r="S225" s="4" t="str" cm="1">
        <f t="array" ref="S225">_xlfn.LET(_xlpm.s, Raw_Data!W225,_xlpm.strat, _xlfn._xlws.FILTER(REF_Setup!$B$3:$B$40, REF_Setup!$B$3:$B$40&lt;&gt;""),IF(OR(_xlpm.s="",_xlpm.s=0),"Unclassified",IF(SUM(--ISNUMBER(SEARCH(_xlpm.strat, _xlpm.s)))&gt;0, "Y", "N"))
)</f>
        <v>N</v>
      </c>
      <c r="T225" s="4" t="str" cm="1">
        <f t="array" ref="T225">_xlfn.LET(_xlpm.s,M225,_xlpm.phil, _xlfn._xlws.FILTER(REF_Setup!$D$3:$D$5, REF_Setup!$D$3:$D$5&lt;&gt;""),IF(OR(_xlpm.s="", _xlpm.s=0),"Unclassified",IF(SUM(--ISNUMBER(SEARCH(_xlpm.phil, _xlpm.s)))&gt;0, "Y", "N")))</f>
        <v>N</v>
      </c>
      <c r="U225" s="4" t="str" cm="1">
        <f t="array" ref="U225">IF(M225="", "Unclassified", IF(AND(SUMPRODUCT(--ISNUMBER(SEARCH(REF_Setup!$B$3:$B$40,M225)))&gt;0,SUMPRODUCT(--ISNUMBER(SEARCH(REF_Setup!$F$3:$F$15,M225)))&gt;0),"Mixed",IF(SUMPRODUCT(--ISNUMBER(SEARCH(REF_Setup!$B$3:$B$40,M225)))&gt;0,"Strategic Only",IF(SUMPRODUCT(--ISNUMBER(SEARCH(REF_Setup!$F$3:$F$15,M225)))&gt;0,"VC Only","Unclassified"))))</f>
        <v>VC Only</v>
      </c>
    </row>
    <row r="226" spans="2:21" x14ac:dyDescent="0.35">
      <c r="B226" s="4">
        <f t="shared" si="11"/>
        <v>224</v>
      </c>
      <c r="C226" s="4" t="str">
        <f>IFERROR(_xlfn.XLOOKUP($B226,Raw_Data!$A$3:$A$273,Raw_Data!$B$3:$B$273),"")</f>
        <v>Tandem Repeat</v>
      </c>
      <c r="D226" s="4" t="str">
        <f>IFERROR(_xlfn.XLOOKUP($B226,Raw_Data!$A$3:$A$273,Raw_Data!$C$3:$C$273),"")</f>
        <v>Philadelphia, PA</v>
      </c>
      <c r="E226" s="4">
        <f>IFERROR(_xlfn.XLOOKUP($B226,Raw_Data!$A$3:$A$273,Raw_Data!$D$3:$D$273),"")</f>
        <v>2017</v>
      </c>
      <c r="F226" s="4" t="str">
        <f>IFERROR(_xlfn.XLOOKUP($B226,Raw_Data!$A$3:$A$273,Raw_Data!$F$3:$F$273),"")</f>
        <v>Industrial Decarbonization</v>
      </c>
      <c r="G226" s="35">
        <f>IFERROR(_xlfn.XLOOKUP($B226,Raw_Data!$A$3:$A$273,Raw_Data!$J$3:$J$273),"")</f>
        <v>44868</v>
      </c>
      <c r="I226" s="36">
        <f>IFERROR(_xlfn.XLOOKUP($B226,Raw_Data!$A$3:$A$273,Raw_Data!$I$3:$I$273),"")</f>
        <v>2.98</v>
      </c>
      <c r="J226" s="36">
        <f>IFERROR(_xlfn.XLOOKUP($B226,Raw_Data!$A$3:$A$273,Raw_Data!$L$3:$L$273),"")</f>
        <v>2.1800000000000002</v>
      </c>
      <c r="K226" s="36">
        <f>IFERROR(_xlfn.XLOOKUP($B226,Raw_Data!$A$3:$A$273,Raw_Data!$M$3:$M$273),"")</f>
        <v>0</v>
      </c>
      <c r="L226" s="15">
        <f>IFERROR(_xlfn.XLOOKUP($B226,Raw_Data!$A$3:$A$273,Raw_Data!$Q$3:$Q$273),"")</f>
        <v>0</v>
      </c>
      <c r="M226" s="34" t="str">
        <f>IFERROR(_xlfn.XLOOKUP($B226,Raw_Data!$A$3:$A$273,Raw_Data!$R$3:$R$273),"")</f>
        <v xml:space="preserve">Climate Capital; Hacker Capital; Kanca Ventures </v>
      </c>
      <c r="N226" s="16" cm="1">
        <f t="array" ref="N226">IF(M226="",0,COUNTA(_xlfn._xlws.FILTER(_xlfn.TEXTSPLIT(M226,";"), _xlfn.TEXTSPLIT(M226,";")&lt;&gt;"")))</f>
        <v>3</v>
      </c>
      <c r="O226" s="16" t="str">
        <f t="shared" si="9"/>
        <v>N</v>
      </c>
      <c r="P226" s="19">
        <f>IFERROR(_xlfn.XLOOKUP($B226,Raw_Data!$A$3:$A$273,Raw_Data!$V$3:$V$273),"")</f>
        <v>0</v>
      </c>
      <c r="Q226" s="16" t="str">
        <f t="shared" si="10"/>
        <v>Y</v>
      </c>
      <c r="R226" s="32">
        <f>IFERROR(_xlfn.XLOOKUP($B226,Raw_Data!$A$3:$A$273,Raw_Data!$Y$3:$Y$273),"")</f>
        <v>1</v>
      </c>
      <c r="S226" s="4" t="str" cm="1">
        <f t="array" ref="S226">_xlfn.LET(_xlpm.s, Raw_Data!W226,_xlpm.strat, _xlfn._xlws.FILTER(REF_Setup!$B$3:$B$40, REF_Setup!$B$3:$B$40&lt;&gt;""),IF(OR(_xlpm.s="",_xlpm.s=0),"Unclassified",IF(SUM(--ISNUMBER(SEARCH(_xlpm.strat, _xlpm.s)))&gt;0, "Y", "N"))
)</f>
        <v>N</v>
      </c>
      <c r="T226" s="4" t="str" cm="1">
        <f t="array" ref="T226">_xlfn.LET(_xlpm.s,M226,_xlpm.phil, _xlfn._xlws.FILTER(REF_Setup!$D$3:$D$5, REF_Setup!$D$3:$D$5&lt;&gt;""),IF(OR(_xlpm.s="", _xlpm.s=0),"Unclassified",IF(SUM(--ISNUMBER(SEARCH(_xlpm.phil, _xlpm.s)))&gt;0, "Y", "N")))</f>
        <v>N</v>
      </c>
      <c r="U226" s="4" t="str" cm="1">
        <f t="array" ref="U226">IF(M226="", "Unclassified", IF(AND(SUMPRODUCT(--ISNUMBER(SEARCH(REF_Setup!$B$3:$B$40,M226)))&gt;0,SUMPRODUCT(--ISNUMBER(SEARCH(REF_Setup!$F$3:$F$15,M226)))&gt;0),"Mixed",IF(SUMPRODUCT(--ISNUMBER(SEARCH(REF_Setup!$B$3:$B$40,M226)))&gt;0,"Strategic Only",IF(SUMPRODUCT(--ISNUMBER(SEARCH(REF_Setup!$F$3:$F$15,M226)))&gt;0,"VC Only","Unclassified"))))</f>
        <v>VC Only</v>
      </c>
    </row>
    <row r="227" spans="2:21" ht="29" x14ac:dyDescent="0.35">
      <c r="B227" s="4">
        <f t="shared" si="11"/>
        <v>225</v>
      </c>
      <c r="C227" s="4" t="str">
        <f>IFERROR(_xlfn.XLOOKUP($B227,Raw_Data!$A$3:$A$273,Raw_Data!$B$3:$B$273),"")</f>
        <v>Tarform</v>
      </c>
      <c r="D227" s="4" t="str">
        <f>IFERROR(_xlfn.XLOOKUP($B227,Raw_Data!$A$3:$A$273,Raw_Data!$C$3:$C$273),"")</f>
        <v>New York, NY</v>
      </c>
      <c r="E227" s="4">
        <f>IFERROR(_xlfn.XLOOKUP($B227,Raw_Data!$A$3:$A$273,Raw_Data!$D$3:$D$273),"")</f>
        <v>2016</v>
      </c>
      <c r="F227" s="4" t="str">
        <f>IFERROR(_xlfn.XLOOKUP($B227,Raw_Data!$A$3:$A$273,Raw_Data!$F$3:$F$273),"")</f>
        <v>Mobility</v>
      </c>
      <c r="G227" s="35">
        <f>IFERROR(_xlfn.XLOOKUP($B227,Raw_Data!$A$3:$A$273,Raw_Data!$J$3:$J$273),"")</f>
        <v>44413</v>
      </c>
      <c r="H227" s="16" t="s">
        <v>1466</v>
      </c>
      <c r="I227" s="36">
        <f>IFERROR(_xlfn.XLOOKUP($B227,Raw_Data!$A$3:$A$273,Raw_Data!$I$3:$I$273),"")</f>
        <v>0</v>
      </c>
      <c r="J227" s="36">
        <f>IFERROR(_xlfn.XLOOKUP($B227,Raw_Data!$A$3:$A$273,Raw_Data!$L$3:$L$273),"")</f>
        <v>0</v>
      </c>
      <c r="K227" s="36">
        <f>IFERROR(_xlfn.XLOOKUP($B227,Raw_Data!$A$3:$A$273,Raw_Data!$M$3:$M$273),"")</f>
        <v>0</v>
      </c>
      <c r="L227" s="15" t="str">
        <f>IFERROR(_xlfn.XLOOKUP($B227,Raw_Data!$A$3:$A$273,Raw_Data!$Q$3:$Q$273),"")</f>
        <v>N/A</v>
      </c>
      <c r="M227" s="34" t="str">
        <f>IFERROR(_xlfn.XLOOKUP($B227,Raw_Data!$A$3:$A$273,Raw_Data!$R$3:$R$273),"")</f>
        <v>10X Capital; Ajay Yadav ; C2 Ventures; Camwood Ventures; M13; Riverside Ventures; Spacestation</v>
      </c>
      <c r="N227" s="16" cm="1">
        <f t="array" ref="N227">IF(M227="",0,COUNTA(_xlfn._xlws.FILTER(_xlfn.TEXTSPLIT(M227,";"), _xlfn.TEXTSPLIT(M227,";")&lt;&gt;"")))</f>
        <v>7</v>
      </c>
      <c r="O227" s="16" t="str">
        <f t="shared" si="9"/>
        <v>Y</v>
      </c>
      <c r="P227" s="19">
        <f>IFERROR(_xlfn.XLOOKUP($B227,Raw_Data!$A$3:$A$273,Raw_Data!$V$3:$V$273),"")</f>
        <v>0.14285714285714285</v>
      </c>
      <c r="Q227" s="16" t="str">
        <f t="shared" si="10"/>
        <v>Y</v>
      </c>
      <c r="R227" s="32">
        <f>IFERROR(_xlfn.XLOOKUP($B227,Raw_Data!$A$3:$A$273,Raw_Data!$Y$3:$Y$273),"")</f>
        <v>0.8571428571428571</v>
      </c>
      <c r="S227" s="4" t="str" cm="1">
        <f t="array" ref="S227">_xlfn.LET(_xlpm.s, Raw_Data!W227,_xlpm.strat, _xlfn._xlws.FILTER(REF_Setup!$B$3:$B$40, REF_Setup!$B$3:$B$40&lt;&gt;""),IF(OR(_xlpm.s="",_xlpm.s=0),"Unclassified",IF(SUM(--ISNUMBER(SEARCH(_xlpm.strat, _xlpm.s)))&gt;0, "Y", "N"))
)</f>
        <v>N</v>
      </c>
      <c r="T227" s="4" t="str" cm="1">
        <f t="array" ref="T227">_xlfn.LET(_xlpm.s,M227,_xlpm.phil, _xlfn._xlws.FILTER(REF_Setup!$D$3:$D$5, REF_Setup!$D$3:$D$5&lt;&gt;""),IF(OR(_xlpm.s="", _xlpm.s=0),"Unclassified",IF(SUM(--ISNUMBER(SEARCH(_xlpm.phil, _xlpm.s)))&gt;0, "Y", "N")))</f>
        <v>N</v>
      </c>
      <c r="U227" s="4" t="str" cm="1">
        <f t="array" ref="U227">IF(M227="", "Unclassified", IF(AND(SUMPRODUCT(--ISNUMBER(SEARCH(REF_Setup!$B$3:$B$40,M227)))&gt;0,SUMPRODUCT(--ISNUMBER(SEARCH(REF_Setup!$F$3:$F$15,M227)))&gt;0),"Mixed",IF(SUMPRODUCT(--ISNUMBER(SEARCH(REF_Setup!$B$3:$B$40,M227)))&gt;0,"Strategic Only",IF(SUMPRODUCT(--ISNUMBER(SEARCH(REF_Setup!$F$3:$F$15,M227)))&gt;0,"VC Only","Unclassified"))))</f>
        <v>VC Only</v>
      </c>
    </row>
    <row r="228" spans="2:21" x14ac:dyDescent="0.35">
      <c r="B228" s="4">
        <f t="shared" si="11"/>
        <v>226</v>
      </c>
      <c r="C228" s="4" t="str">
        <f>IFERROR(_xlfn.XLOOKUP($B228,Raw_Data!$A$3:$A$273,Raw_Data!$B$3:$B$273),"")</f>
        <v>TemperPack Technologies</v>
      </c>
      <c r="D228" s="4" t="str">
        <f>IFERROR(_xlfn.XLOOKUP($B228,Raw_Data!$A$3:$A$273,Raw_Data!$C$3:$C$273),"")</f>
        <v>Richmond, VA</v>
      </c>
      <c r="E228" s="4">
        <f>IFERROR(_xlfn.XLOOKUP($B228,Raw_Data!$A$3:$A$273,Raw_Data!$D$3:$D$273),"")</f>
        <v>2013</v>
      </c>
      <c r="F228" s="4" t="str">
        <f>IFERROR(_xlfn.XLOOKUP($B228,Raw_Data!$A$3:$A$273,Raw_Data!$F$3:$F$273),"")</f>
        <v>Industrial Decarbonization</v>
      </c>
      <c r="G228" s="35">
        <f>IFERROR(_xlfn.XLOOKUP($B228,Raw_Data!$A$3:$A$273,Raw_Data!$J$3:$J$273),"")</f>
        <v>45809</v>
      </c>
      <c r="H228" s="4" t="s">
        <v>75</v>
      </c>
      <c r="I228" s="36">
        <f>IFERROR(_xlfn.XLOOKUP($B228,Raw_Data!$A$3:$A$273,Raw_Data!$I$3:$I$273),"")</f>
        <v>249.87</v>
      </c>
      <c r="J228" s="36">
        <f>IFERROR(_xlfn.XLOOKUP($B228,Raw_Data!$A$3:$A$273,Raw_Data!$L$3:$L$273),"")</f>
        <v>0</v>
      </c>
      <c r="K228" s="36">
        <f>IFERROR(_xlfn.XLOOKUP($B228,Raw_Data!$A$3:$A$273,Raw_Data!$M$3:$M$273),"")</f>
        <v>0</v>
      </c>
      <c r="L228" s="15" t="str">
        <f>IFERROR(_xlfn.XLOOKUP($B228,Raw_Data!$A$3:$A$273,Raw_Data!$Q$3:$Q$273),"")</f>
        <v>N/A</v>
      </c>
      <c r="M228" s="34" t="str">
        <f>IFERROR(_xlfn.XLOOKUP($B228,Raw_Data!$A$3:$A$273,Raw_Data!$R$3:$R$273),"")</f>
        <v xml:space="preserve">Aliment Capital </v>
      </c>
      <c r="N228" s="16" cm="1">
        <f t="array" ref="N228">IF(M228="",0,COUNTA(_xlfn._xlws.FILTER(_xlfn.TEXTSPLIT(M228,";"), _xlfn.TEXTSPLIT(M228,";")&lt;&gt;"")))</f>
        <v>1</v>
      </c>
      <c r="O228" s="16" t="str">
        <f t="shared" si="9"/>
        <v>N</v>
      </c>
      <c r="P228" s="19">
        <f>IFERROR(_xlfn.XLOOKUP($B228,Raw_Data!$A$3:$A$273,Raw_Data!$V$3:$V$273),"")</f>
        <v>0</v>
      </c>
      <c r="Q228" s="16" t="str">
        <f t="shared" si="10"/>
        <v>Y</v>
      </c>
      <c r="R228" s="32">
        <f>IFERROR(_xlfn.XLOOKUP($B228,Raw_Data!$A$3:$A$273,Raw_Data!$Y$3:$Y$273),"")</f>
        <v>1</v>
      </c>
      <c r="S228" s="4" t="str" cm="1">
        <f t="array" ref="S228">_xlfn.LET(_xlpm.s, Raw_Data!W228,_xlpm.strat, _xlfn._xlws.FILTER(REF_Setup!$B$3:$B$40, REF_Setup!$B$3:$B$40&lt;&gt;""),IF(OR(_xlpm.s="",_xlpm.s=0),"Unclassified",IF(SUM(--ISNUMBER(SEARCH(_xlpm.strat, _xlpm.s)))&gt;0, "Y", "N"))
)</f>
        <v>N</v>
      </c>
      <c r="T228" s="4" t="str" cm="1">
        <f t="array" ref="T228">_xlfn.LET(_xlpm.s,M228,_xlpm.phil, _xlfn._xlws.FILTER(REF_Setup!$D$3:$D$5, REF_Setup!$D$3:$D$5&lt;&gt;""),IF(OR(_xlpm.s="", _xlpm.s=0),"Unclassified",IF(SUM(--ISNUMBER(SEARCH(_xlpm.phil, _xlpm.s)))&gt;0, "Y", "N")))</f>
        <v>N</v>
      </c>
      <c r="U228" s="4" t="str" cm="1">
        <f t="array" ref="U228">IF(M228="", "Unclassified", IF(AND(SUMPRODUCT(--ISNUMBER(SEARCH(REF_Setup!$B$3:$B$40,M228)))&gt;0,SUMPRODUCT(--ISNUMBER(SEARCH(REF_Setup!$F$3:$F$15,M228)))&gt;0),"Mixed",IF(SUMPRODUCT(--ISNUMBER(SEARCH(REF_Setup!$B$3:$B$40,M228)))&gt;0,"Strategic Only",IF(SUMPRODUCT(--ISNUMBER(SEARCH(REF_Setup!$F$3:$F$15,M228)))&gt;0,"VC Only","Unclassified"))))</f>
        <v>VC Only</v>
      </c>
    </row>
    <row r="229" spans="2:21" ht="58" x14ac:dyDescent="0.35">
      <c r="B229" s="4">
        <f t="shared" si="11"/>
        <v>227</v>
      </c>
      <c r="C229" s="4" t="str">
        <f>IFERROR(_xlfn.XLOOKUP($B229,Raw_Data!$A$3:$A$273,Raw_Data!$B$3:$B$273),"")</f>
        <v>Terradot</v>
      </c>
      <c r="D229" s="4" t="str">
        <f>IFERROR(_xlfn.XLOOKUP($B229,Raw_Data!$A$3:$A$273,Raw_Data!$C$3:$C$273),"")</f>
        <v>Stanford, CA</v>
      </c>
      <c r="E229" s="4">
        <f>IFERROR(_xlfn.XLOOKUP($B229,Raw_Data!$A$3:$A$273,Raw_Data!$D$3:$D$273),"")</f>
        <v>2022</v>
      </c>
      <c r="F229" s="4" t="str">
        <f>IFERROR(_xlfn.XLOOKUP($B229,Raw_Data!$A$3:$A$273,Raw_Data!$F$3:$F$273),"")</f>
        <v>CDR</v>
      </c>
      <c r="G229" s="35">
        <f>IFERROR(_xlfn.XLOOKUP($B229,Raw_Data!$A$3:$A$273,Raw_Data!$J$3:$J$273),"")</f>
        <v>45610</v>
      </c>
      <c r="H229" s="16" t="s">
        <v>1465</v>
      </c>
      <c r="I229" s="36">
        <f>IFERROR(_xlfn.XLOOKUP($B229,Raw_Data!$A$3:$A$273,Raw_Data!$I$3:$I$273),"")</f>
        <v>58.2</v>
      </c>
      <c r="J229" s="36">
        <f>IFERROR(_xlfn.XLOOKUP($B229,Raw_Data!$A$3:$A$273,Raw_Data!$L$3:$L$273),"")</f>
        <v>54</v>
      </c>
      <c r="K229" s="36">
        <f>IFERROR(_xlfn.XLOOKUP($B229,Raw_Data!$A$3:$A$273,Raw_Data!$M$3:$M$273),"")</f>
        <v>0</v>
      </c>
      <c r="L229" s="15">
        <f>IFERROR(_xlfn.XLOOKUP($B229,Raw_Data!$A$3:$A$273,Raw_Data!$Q$3:$Q$273),"")</f>
        <v>0</v>
      </c>
      <c r="M229" s="34" t="str">
        <f>IFERROR(_xlfn.XLOOKUP($B229,Raw_Data!$A$3:$A$273,Raw_Data!$R$3:$R$273),"")</f>
        <v>Acre Venture Partners; Alphabet; Cisco Foundation; Cisco Investments; Floodgate; George Roberts; Gigascale Capital; John Doerr; Kleiner Perkins; Kyber Knight Capital; Microsoft; Ponderosa Ventures; Sheryl Sandberg; Tom Bernthal; Valor Capital Group</v>
      </c>
      <c r="N229" s="16" cm="1">
        <f t="array" ref="N229">IF(M229="",0,COUNTA(_xlfn._xlws.FILTER(_xlfn.TEXTSPLIT(M229,";"), _xlfn.TEXTSPLIT(M229,";")&lt;&gt;"")))</f>
        <v>15</v>
      </c>
      <c r="O229" s="16" t="str">
        <f t="shared" si="9"/>
        <v>Y</v>
      </c>
      <c r="P229" s="19">
        <f>IFERROR(_xlfn.XLOOKUP($B229,Raw_Data!$A$3:$A$273,Raw_Data!$V$3:$V$273),"")</f>
        <v>0.4</v>
      </c>
      <c r="Q229" s="16" t="str">
        <f t="shared" si="10"/>
        <v>Y</v>
      </c>
      <c r="R229" s="32">
        <f>IFERROR(_xlfn.XLOOKUP($B229,Raw_Data!$A$3:$A$273,Raw_Data!$Y$3:$Y$273),"")</f>
        <v>0.66666666666666663</v>
      </c>
      <c r="S229" s="4" t="str" cm="1">
        <f t="array" ref="S229">_xlfn.LET(_xlpm.s, Raw_Data!W229,_xlpm.strat, _xlfn._xlws.FILTER(REF_Setup!$B$3:$B$40, REF_Setup!$B$3:$B$40&lt;&gt;""),IF(OR(_xlpm.s="",_xlpm.s=0),"Unclassified",IF(SUM(--ISNUMBER(SEARCH(_xlpm.strat, _xlpm.s)))&gt;0, "Y", "N"))
)</f>
        <v>Y</v>
      </c>
      <c r="T229" s="4" t="str" cm="1">
        <f t="array" ref="T229">_xlfn.LET(_xlpm.s,M229,_xlpm.phil, _xlfn._xlws.FILTER(REF_Setup!$D$3:$D$5, REF_Setup!$D$3:$D$5&lt;&gt;""),IF(OR(_xlpm.s="", _xlpm.s=0),"Unclassified",IF(SUM(--ISNUMBER(SEARCH(_xlpm.phil, _xlpm.s)))&gt;0, "Y", "N")))</f>
        <v>Y</v>
      </c>
      <c r="U229" s="4" t="str" cm="1">
        <f t="array" ref="U229">IF(M229="", "Unclassified", IF(AND(SUMPRODUCT(--ISNUMBER(SEARCH(REF_Setup!$B$3:$B$40,M229)))&gt;0,SUMPRODUCT(--ISNUMBER(SEARCH(REF_Setup!$F$3:$F$15,M229)))&gt;0),"Mixed",IF(SUMPRODUCT(--ISNUMBER(SEARCH(REF_Setup!$B$3:$B$40,M229)))&gt;0,"Strategic Only",IF(SUMPRODUCT(--ISNUMBER(SEARCH(REF_Setup!$F$3:$F$15,M229)))&gt;0,"VC Only","Unclassified"))))</f>
        <v>Mixed</v>
      </c>
    </row>
    <row r="230" spans="2:21" ht="29" x14ac:dyDescent="0.35">
      <c r="B230" s="4">
        <f t="shared" si="11"/>
        <v>228</v>
      </c>
      <c r="C230" s="4" t="str">
        <f>IFERROR(_xlfn.XLOOKUP($B230,Raw_Data!$A$3:$A$273,Raw_Data!$B$3:$B$273),"")</f>
        <v>Terraformation</v>
      </c>
      <c r="D230" s="4" t="str">
        <f>IFERROR(_xlfn.XLOOKUP($B230,Raw_Data!$A$3:$A$273,Raw_Data!$C$3:$C$273),"")</f>
        <v>Honolulu, HI</v>
      </c>
      <c r="E230" s="4">
        <f>IFERROR(_xlfn.XLOOKUP($B230,Raw_Data!$A$3:$A$273,Raw_Data!$D$3:$D$273),"")</f>
        <v>2020</v>
      </c>
      <c r="F230" s="4" t="str">
        <f>IFERROR(_xlfn.XLOOKUP($B230,Raw_Data!$A$3:$A$273,Raw_Data!$F$3:$F$273),"")</f>
        <v>CDR</v>
      </c>
      <c r="G230" s="35">
        <f>IFERROR(_xlfn.XLOOKUP($B230,Raw_Data!$A$3:$A$273,Raw_Data!$J$3:$J$273),"")</f>
        <v>45215</v>
      </c>
      <c r="H230" s="16" t="s">
        <v>1465</v>
      </c>
      <c r="I230" s="36">
        <f>IFERROR(_xlfn.XLOOKUP($B230,Raw_Data!$A$3:$A$273,Raw_Data!$I$3:$I$273),"")</f>
        <v>84.47</v>
      </c>
      <c r="J230" s="36">
        <f>IFERROR(_xlfn.XLOOKUP($B230,Raw_Data!$A$3:$A$273,Raw_Data!$L$3:$L$273),"")</f>
        <v>48</v>
      </c>
      <c r="K230" s="36">
        <f>IFERROR(_xlfn.XLOOKUP($B230,Raw_Data!$A$3:$A$273,Raw_Data!$M$3:$M$273),"")</f>
        <v>153</v>
      </c>
      <c r="L230" s="15">
        <f>IFERROR(_xlfn.XLOOKUP($B230,Raw_Data!$A$3:$A$273,Raw_Data!$Q$3:$Q$273),"")</f>
        <v>0</v>
      </c>
      <c r="M230" s="34" t="str">
        <f>IFERROR(_xlfn.XLOOKUP($B230,Raw_Data!$A$3:$A$273,Raw_Data!$R$3:$R$273),"")</f>
        <v>Calm Ventures; Fanjul Capital; Gaingels; Knockout Capital; Lombardstreet Ventures; Relumin; The Scope Fund; VISION</v>
      </c>
      <c r="N230" s="16" cm="1">
        <f t="array" ref="N230">IF(M230="",0,COUNTA(_xlfn._xlws.FILTER(_xlfn.TEXTSPLIT(M230,";"), _xlfn.TEXTSPLIT(M230,";")&lt;&gt;"")))</f>
        <v>8</v>
      </c>
      <c r="O230" s="16" t="str">
        <f t="shared" si="9"/>
        <v>N</v>
      </c>
      <c r="P230" s="19">
        <f>IFERROR(_xlfn.XLOOKUP($B230,Raw_Data!$A$3:$A$273,Raw_Data!$V$3:$V$273),"")</f>
        <v>0</v>
      </c>
      <c r="Q230" s="16" t="str">
        <f t="shared" si="10"/>
        <v>Y</v>
      </c>
      <c r="R230" s="32">
        <f>IFERROR(_xlfn.XLOOKUP($B230,Raw_Data!$A$3:$A$273,Raw_Data!$Y$3:$Y$273),"")</f>
        <v>1</v>
      </c>
      <c r="S230" s="4" t="str" cm="1">
        <f t="array" ref="S230">_xlfn.LET(_xlpm.s, Raw_Data!W230,_xlpm.strat, _xlfn._xlws.FILTER(REF_Setup!$B$3:$B$40, REF_Setup!$B$3:$B$40&lt;&gt;""),IF(OR(_xlpm.s="",_xlpm.s=0),"Unclassified",IF(SUM(--ISNUMBER(SEARCH(_xlpm.strat, _xlpm.s)))&gt;0, "Y", "N"))
)</f>
        <v>N</v>
      </c>
      <c r="T230" s="4" t="str" cm="1">
        <f t="array" ref="T230">_xlfn.LET(_xlpm.s,M230,_xlpm.phil, _xlfn._xlws.FILTER(REF_Setup!$D$3:$D$5, REF_Setup!$D$3:$D$5&lt;&gt;""),IF(OR(_xlpm.s="", _xlpm.s=0),"Unclassified",IF(SUM(--ISNUMBER(SEARCH(_xlpm.phil, _xlpm.s)))&gt;0, "Y", "N")))</f>
        <v>N</v>
      </c>
      <c r="U230" s="4" t="str" cm="1">
        <f t="array" ref="U230">IF(M230="", "Unclassified", IF(AND(SUMPRODUCT(--ISNUMBER(SEARCH(REF_Setup!$B$3:$B$40,M230)))&gt;0,SUMPRODUCT(--ISNUMBER(SEARCH(REF_Setup!$F$3:$F$15,M230)))&gt;0),"Mixed",IF(SUMPRODUCT(--ISNUMBER(SEARCH(REF_Setup!$B$3:$B$40,M230)))&gt;0,"Strategic Only",IF(SUMPRODUCT(--ISNUMBER(SEARCH(REF_Setup!$F$3:$F$15,M230)))&gt;0,"VC Only","Unclassified"))))</f>
        <v>VC Only</v>
      </c>
    </row>
    <row r="231" spans="2:21" ht="29" x14ac:dyDescent="0.35">
      <c r="B231" s="4">
        <f t="shared" si="11"/>
        <v>229</v>
      </c>
      <c r="C231" s="4" t="str">
        <f>IFERROR(_xlfn.XLOOKUP($B231,Raw_Data!$A$3:$A$273,Raw_Data!$B$3:$B$273),"")</f>
        <v>Terrapower</v>
      </c>
      <c r="D231" s="4" t="str">
        <f>IFERROR(_xlfn.XLOOKUP($B231,Raw_Data!$A$3:$A$273,Raw_Data!$C$3:$C$273),"")</f>
        <v>Bellevue, WA</v>
      </c>
      <c r="E231" s="4">
        <f>IFERROR(_xlfn.XLOOKUP($B231,Raw_Data!$A$3:$A$273,Raw_Data!$D$3:$D$273),"")</f>
        <v>2006</v>
      </c>
      <c r="F231" s="4" t="str">
        <f>IFERROR(_xlfn.XLOOKUP($B231,Raw_Data!$A$3:$A$273,Raw_Data!$F$3:$F$273),"")</f>
        <v>Renewables</v>
      </c>
      <c r="G231" s="35">
        <f>IFERROR(_xlfn.XLOOKUP($B231,Raw_Data!$A$3:$A$273,Raw_Data!$J$3:$J$273),"")</f>
        <v>44868</v>
      </c>
      <c r="I231" s="36">
        <f>IFERROR(_xlfn.XLOOKUP($B231,Raw_Data!$A$3:$A$273,Raw_Data!$I$3:$I$273),"")</f>
        <v>10008</v>
      </c>
      <c r="J231" s="36">
        <f>IFERROR(_xlfn.XLOOKUP($B231,Raw_Data!$A$3:$A$273,Raw_Data!$L$3:$L$273),"")</f>
        <v>830</v>
      </c>
      <c r="K231" s="36">
        <f>IFERROR(_xlfn.XLOOKUP($B231,Raw_Data!$A$3:$A$273,Raw_Data!$M$3:$M$273),"")</f>
        <v>0</v>
      </c>
      <c r="L231" s="15">
        <f>IFERROR(_xlfn.XLOOKUP($B231,Raw_Data!$A$3:$A$273,Raw_Data!$Q$3:$Q$273),"")</f>
        <v>0</v>
      </c>
      <c r="M231" s="34" t="str">
        <f>IFERROR(_xlfn.XLOOKUP($B231,Raw_Data!$A$3:$A$273,Raw_Data!$R$3:$R$273),"")</f>
        <v>ArcelorMittal; Cascade Investment; Hedonova; Korea Shipbuilding and Offshore Engineering; SK Group; SK Innovation</v>
      </c>
      <c r="N231" s="16" cm="1">
        <f t="array" ref="N231">IF(M231="",0,COUNTA(_xlfn._xlws.FILTER(_xlfn.TEXTSPLIT(M231,";"), _xlfn.TEXTSPLIT(M231,";")&lt;&gt;"")))</f>
        <v>6</v>
      </c>
      <c r="O231" s="16" t="str">
        <f t="shared" si="9"/>
        <v>N</v>
      </c>
      <c r="P231" s="19">
        <f>IFERROR(_xlfn.XLOOKUP($B231,Raw_Data!$A$3:$A$273,Raw_Data!$V$3:$V$273),"")</f>
        <v>0</v>
      </c>
      <c r="Q231" s="16" t="str">
        <f t="shared" si="10"/>
        <v>Y</v>
      </c>
      <c r="R231" s="32">
        <f>IFERROR(_xlfn.XLOOKUP($B231,Raw_Data!$A$3:$A$273,Raw_Data!$Y$3:$Y$273),"")</f>
        <v>1</v>
      </c>
      <c r="S231" s="4" t="str" cm="1">
        <f t="array" ref="S231">_xlfn.LET(_xlpm.s, Raw_Data!W231,_xlpm.strat, _xlfn._xlws.FILTER(REF_Setup!$B$3:$B$40, REF_Setup!$B$3:$B$40&lt;&gt;""),IF(OR(_xlpm.s="",_xlpm.s=0),"Unclassified",IF(SUM(--ISNUMBER(SEARCH(_xlpm.strat, _xlpm.s)))&gt;0, "Y", "N"))
)</f>
        <v>Y</v>
      </c>
      <c r="T231" s="4" t="str" cm="1">
        <f t="array" ref="T231">_xlfn.LET(_xlpm.s,M231,_xlpm.phil, _xlfn._xlws.FILTER(REF_Setup!$D$3:$D$5, REF_Setup!$D$3:$D$5&lt;&gt;""),IF(OR(_xlpm.s="", _xlpm.s=0),"Unclassified",IF(SUM(--ISNUMBER(SEARCH(_xlpm.phil, _xlpm.s)))&gt;0, "Y", "N")))</f>
        <v>N</v>
      </c>
      <c r="U231" s="4" t="str" cm="1">
        <f t="array" ref="U231">IF(M231="", "Unclassified", IF(AND(SUMPRODUCT(--ISNUMBER(SEARCH(REF_Setup!$B$3:$B$40,M231)))&gt;0,SUMPRODUCT(--ISNUMBER(SEARCH(REF_Setup!$F$3:$F$15,M231)))&gt;0),"Mixed",IF(SUMPRODUCT(--ISNUMBER(SEARCH(REF_Setup!$B$3:$B$40,M231)))&gt;0,"Strategic Only",IF(SUMPRODUCT(--ISNUMBER(SEARCH(REF_Setup!$F$3:$F$15,M231)))&gt;0,"VC Only","Unclassified"))))</f>
        <v>Mixed</v>
      </c>
    </row>
    <row r="232" spans="2:21" x14ac:dyDescent="0.35">
      <c r="B232" s="4">
        <f t="shared" si="11"/>
        <v>230</v>
      </c>
      <c r="C232" s="4" t="str">
        <f>IFERROR(_xlfn.XLOOKUP($B232,Raw_Data!$A$3:$A$273,Raw_Data!$B$3:$B$273),"")</f>
        <v>Tethis (Erwironmental Services (B2B)</v>
      </c>
      <c r="D232" s="4" t="str">
        <f>IFERROR(_xlfn.XLOOKUP($B232,Raw_Data!$A$3:$A$273,Raw_Data!$C$3:$C$273),"")</f>
        <v>Raleigh, NC</v>
      </c>
      <c r="E232" s="4">
        <f>IFERROR(_xlfn.XLOOKUP($B232,Raw_Data!$A$3:$A$273,Raw_Data!$D$3:$D$273),"")</f>
        <v>2012</v>
      </c>
      <c r="F232" s="4" t="str">
        <f>IFERROR(_xlfn.XLOOKUP($B232,Raw_Data!$A$3:$A$273,Raw_Data!$F$3:$F$273),"")</f>
        <v>Industrial Decarbonization</v>
      </c>
      <c r="G232" s="35">
        <f>IFERROR(_xlfn.XLOOKUP($B232,Raw_Data!$A$3:$A$273,Raw_Data!$J$3:$J$273),"")</f>
        <v>42348</v>
      </c>
      <c r="H232" s="16" t="s">
        <v>1467</v>
      </c>
      <c r="I232" s="36">
        <f>IFERROR(_xlfn.XLOOKUP($B232,Raw_Data!$A$3:$A$273,Raw_Data!$I$3:$I$273),"")</f>
        <v>2.88</v>
      </c>
      <c r="J232" s="36">
        <f>IFERROR(_xlfn.XLOOKUP($B232,Raw_Data!$A$3:$A$273,Raw_Data!$L$3:$L$273),"")</f>
        <v>2.1</v>
      </c>
      <c r="K232" s="36">
        <f>IFERROR(_xlfn.XLOOKUP($B232,Raw_Data!$A$3:$A$273,Raw_Data!$M$3:$M$273),"")</f>
        <v>13.6</v>
      </c>
      <c r="L232" s="15">
        <f>IFERROR(_xlfn.XLOOKUP($B232,Raw_Data!$A$3:$A$273,Raw_Data!$Q$3:$Q$273),"")</f>
        <v>0</v>
      </c>
      <c r="M232" s="34"/>
      <c r="N232" s="16" cm="1">
        <f t="array" ref="N232">IF(M232="",0,COUNTA(_xlfn._xlws.FILTER(_xlfn.TEXTSPLIT(M232,";"), _xlfn.TEXTSPLIT(M232,";")&lt;&gt;"")))</f>
        <v>0</v>
      </c>
      <c r="O232" s="16" t="str">
        <f t="shared" si="9"/>
        <v>Y</v>
      </c>
      <c r="P232" s="19" t="str">
        <f>IFERROR(_xlfn.XLOOKUP($B232,Raw_Data!$A$3:$A$273,Raw_Data!$V$3:$V$273),"")</f>
        <v>N/A</v>
      </c>
      <c r="Q232" s="16" t="str">
        <f t="shared" si="10"/>
        <v>Y</v>
      </c>
      <c r="R232" s="32" t="str">
        <f>IFERROR(_xlfn.XLOOKUP($B232,Raw_Data!$A$3:$A$273,Raw_Data!$Y$3:$Y$273),"")</f>
        <v>N/A</v>
      </c>
      <c r="S232" s="4" t="str" cm="1">
        <f t="array" ref="S232">_xlfn.LET(_xlpm.s, Raw_Data!W232,_xlpm.strat, _xlfn._xlws.FILTER(REF_Setup!$B$3:$B$40, REF_Setup!$B$3:$B$40&lt;&gt;""),IF(OR(_xlpm.s="",_xlpm.s=0),"Unclassified",IF(SUM(--ISNUMBER(SEARCH(_xlpm.strat, _xlpm.s)))&gt;0, "Y", "N"))
)</f>
        <v>Unclassified</v>
      </c>
      <c r="T232" s="4" t="str" cm="1">
        <f t="array" ref="T232">_xlfn.LET(_xlpm.s,M232,_xlpm.phil, _xlfn._xlws.FILTER(REF_Setup!$D$3:$D$5, REF_Setup!$D$3:$D$5&lt;&gt;""),IF(OR(_xlpm.s="", _xlpm.s=0),"Unclassified",IF(SUM(--ISNUMBER(SEARCH(_xlpm.phil, _xlpm.s)))&gt;0, "Y", "N")))</f>
        <v>Unclassified</v>
      </c>
      <c r="U232" s="4" t="str" cm="1">
        <f t="array" ref="U232">IF(M232="", "Unclassified", IF(AND(SUMPRODUCT(--ISNUMBER(SEARCH(REF_Setup!$B$3:$B$40,M232)))&gt;0,SUMPRODUCT(--ISNUMBER(SEARCH(REF_Setup!$F$3:$F$15,M232)))&gt;0),"Mixed",IF(SUMPRODUCT(--ISNUMBER(SEARCH(REF_Setup!$B$3:$B$40,M232)))&gt;0,"Strategic Only",IF(SUMPRODUCT(--ISNUMBER(SEARCH(REF_Setup!$F$3:$F$15,M232)))&gt;0,"VC Only","Unclassified"))))</f>
        <v>Unclassified</v>
      </c>
    </row>
    <row r="233" spans="2:21" ht="72.5" x14ac:dyDescent="0.35">
      <c r="B233" s="4">
        <f t="shared" si="11"/>
        <v>231</v>
      </c>
      <c r="C233" s="4" t="str">
        <f>IFERROR(_xlfn.XLOOKUP($B233,Raw_Data!$A$3:$A$273,Raw_Data!$B$3:$B$273),"")</f>
        <v>Tomtex</v>
      </c>
      <c r="D233" s="4" t="str">
        <f>IFERROR(_xlfn.XLOOKUP($B233,Raw_Data!$A$3:$A$273,Raw_Data!$C$3:$C$273),"")</f>
        <v>New York, NY</v>
      </c>
      <c r="E233" s="4">
        <f>IFERROR(_xlfn.XLOOKUP($B233,Raw_Data!$A$3:$A$273,Raw_Data!$D$3:$D$273),"")</f>
        <v>2020</v>
      </c>
      <c r="F233" s="4" t="str">
        <f>IFERROR(_xlfn.XLOOKUP($B233,Raw_Data!$A$3:$A$273,Raw_Data!$F$3:$F$273),"")</f>
        <v>Industrial Decarbonization</v>
      </c>
      <c r="G233" s="35">
        <f>IFERROR(_xlfn.XLOOKUP($B233,Raw_Data!$A$3:$A$273,Raw_Data!$J$3:$J$273),"")</f>
        <v>45246</v>
      </c>
      <c r="H233" s="16" t="s">
        <v>1466</v>
      </c>
      <c r="I233" s="36">
        <f>IFERROR(_xlfn.XLOOKUP($B233,Raw_Data!$A$3:$A$273,Raw_Data!$I$3:$I$273),"")</f>
        <v>4.1500000000000004</v>
      </c>
      <c r="J233" s="36">
        <f>IFERROR(_xlfn.XLOOKUP($B233,Raw_Data!$A$3:$A$273,Raw_Data!$L$3:$L$273),"")</f>
        <v>4.1500000000000004</v>
      </c>
      <c r="K233" s="36">
        <f>IFERROR(_xlfn.XLOOKUP($B233,Raw_Data!$A$3:$A$273,Raw_Data!$M$3:$M$273),"")</f>
        <v>12.15</v>
      </c>
      <c r="L233" s="15">
        <f>IFERROR(_xlfn.XLOOKUP($B233,Raw_Data!$A$3:$A$273,Raw_Data!$Q$3:$Q$273),"")</f>
        <v>0</v>
      </c>
      <c r="M233" s="34" t="str">
        <f>IFERROR(_xlfn.XLOOKUP($B233,Raw_Data!$A$3:$A$273,Raw_Data!$R$3:$R$273),"")</f>
        <v xml:space="preserve">Aria Emiko; Beck Koss; Benjamin Stokes; C3 Ventures; Carrier-ok; Chasing Rainbows; Claire England; Climate Capital; CRCM Ventures; Davic Weissman; Earth Venture Capital; Gaingles; Happiness Capital; IndieBio; Karan Goel; Meliorare Partners; MiH Ventures; Nucleus Adventure Capital; Portfolia; Raphael Carteni; SOSV; Van Ngo </v>
      </c>
      <c r="N233" s="16" cm="1">
        <f t="array" ref="N233">IF(M233="",0,COUNTA(_xlfn._xlws.FILTER(_xlfn.TEXTSPLIT(M233,";"), _xlfn.TEXTSPLIT(M233,";")&lt;&gt;"")))</f>
        <v>22</v>
      </c>
      <c r="O233" s="16" t="str">
        <f t="shared" si="9"/>
        <v>Y</v>
      </c>
      <c r="P233" s="19">
        <f>IFERROR(_xlfn.XLOOKUP($B233,Raw_Data!$A$3:$A$273,Raw_Data!$V$3:$V$273),"")</f>
        <v>9.0909090909090912E-2</v>
      </c>
      <c r="Q233" s="16" t="str">
        <f t="shared" si="10"/>
        <v>Y</v>
      </c>
      <c r="R233" s="32">
        <f>IFERROR(_xlfn.XLOOKUP($B233,Raw_Data!$A$3:$A$273,Raw_Data!$Y$3:$Y$273),"")</f>
        <v>0.90909090909090906</v>
      </c>
      <c r="S233" s="4" t="str" cm="1">
        <f t="array" ref="S233">_xlfn.LET(_xlpm.s, Raw_Data!W233,_xlpm.strat, _xlfn._xlws.FILTER(REF_Setup!$B$3:$B$40, REF_Setup!$B$3:$B$40&lt;&gt;""),IF(OR(_xlpm.s="",_xlpm.s=0),"Unclassified",IF(SUM(--ISNUMBER(SEARCH(_xlpm.strat, _xlpm.s)))&gt;0, "Y", "N"))
)</f>
        <v>N</v>
      </c>
      <c r="T233" s="4" t="str" cm="1">
        <f t="array" ref="T233">_xlfn.LET(_xlpm.s,M233,_xlpm.phil, _xlfn._xlws.FILTER(REF_Setup!$D$3:$D$5, REF_Setup!$D$3:$D$5&lt;&gt;""),IF(OR(_xlpm.s="", _xlpm.s=0),"Unclassified",IF(SUM(--ISNUMBER(SEARCH(_xlpm.phil, _xlpm.s)))&gt;0, "Y", "N")))</f>
        <v>N</v>
      </c>
      <c r="U233" s="4" t="str" cm="1">
        <f t="array" ref="U233">IF(M233="", "Unclassified", IF(AND(SUMPRODUCT(--ISNUMBER(SEARCH(REF_Setup!$B$3:$B$40,M233)))&gt;0,SUMPRODUCT(--ISNUMBER(SEARCH(REF_Setup!$F$3:$F$15,M233)))&gt;0),"Mixed",IF(SUMPRODUCT(--ISNUMBER(SEARCH(REF_Setup!$B$3:$B$40,M233)))&gt;0,"Strategic Only",IF(SUMPRODUCT(--ISNUMBER(SEARCH(REF_Setup!$F$3:$F$15,M233)))&gt;0,"VC Only","Unclassified"))))</f>
        <v>VC Only</v>
      </c>
    </row>
    <row r="234" spans="2:21" x14ac:dyDescent="0.35">
      <c r="B234" s="4">
        <f t="shared" si="11"/>
        <v>232</v>
      </c>
      <c r="C234" s="4" t="str">
        <f>IFERROR(_xlfn.XLOOKUP($B234,Raw_Data!$A$3:$A$273,Raw_Data!$B$3:$B$273),"")</f>
        <v>TrueAIgae</v>
      </c>
      <c r="D234" s="4" t="str">
        <f>IFERROR(_xlfn.XLOOKUP($B234,Raw_Data!$A$3:$A$273,Raw_Data!$C$3:$C$273),"")</f>
        <v>Chantilly, VA</v>
      </c>
      <c r="E234" s="4">
        <f>IFERROR(_xlfn.XLOOKUP($B234,Raw_Data!$A$3:$A$273,Raw_Data!$D$3:$D$273),"")</f>
        <v>2017</v>
      </c>
      <c r="F234" s="4" t="str">
        <f>IFERROR(_xlfn.XLOOKUP($B234,Raw_Data!$A$3:$A$273,Raw_Data!$F$3:$F$273),"")</f>
        <v>Food &amp; Ag</v>
      </c>
      <c r="G234" s="35">
        <f>IFERROR(_xlfn.XLOOKUP($B234,Raw_Data!$A$3:$A$273,Raw_Data!$J$3:$J$273),"")</f>
        <v>44813</v>
      </c>
      <c r="H234" s="16" t="s">
        <v>1466</v>
      </c>
      <c r="I234" s="36">
        <f>IFERROR(_xlfn.XLOOKUP($B234,Raw_Data!$A$3:$A$273,Raw_Data!$I$3:$I$273),"")</f>
        <v>6.27</v>
      </c>
      <c r="J234" s="36">
        <f>IFERROR(_xlfn.XLOOKUP($B234,Raw_Data!$A$3:$A$273,Raw_Data!$L$3:$L$273),"")</f>
        <v>4.67</v>
      </c>
      <c r="K234" s="36">
        <f>IFERROR(_xlfn.XLOOKUP($B234,Raw_Data!$A$3:$A$273,Raw_Data!$M$3:$M$273),"")</f>
        <v>28.67</v>
      </c>
      <c r="L234" s="15">
        <f>IFERROR(_xlfn.XLOOKUP($B234,Raw_Data!$A$3:$A$273,Raw_Data!$Q$3:$Q$273),"")</f>
        <v>0</v>
      </c>
      <c r="M234" s="34" t="str">
        <f>IFERROR(_xlfn.XLOOKUP($B234,Raw_Data!$A$3:$A$273,Raw_Data!$R$3:$R$273),"")</f>
        <v>Plug and Play Tech Center</v>
      </c>
      <c r="N234" s="16" cm="1">
        <f t="array" ref="N234">IF(M234="",0,COUNTA(_xlfn._xlws.FILTER(_xlfn.TEXTSPLIT(M234,";"), _xlfn.TEXTSPLIT(M234,";")&lt;&gt;"")))</f>
        <v>1</v>
      </c>
      <c r="O234" s="16" t="str">
        <f t="shared" si="9"/>
        <v>N</v>
      </c>
      <c r="P234" s="19">
        <f>IFERROR(_xlfn.XLOOKUP($B234,Raw_Data!$A$3:$A$273,Raw_Data!$V$3:$V$273),"")</f>
        <v>0</v>
      </c>
      <c r="Q234" s="16" t="str">
        <f t="shared" si="10"/>
        <v>Y</v>
      </c>
      <c r="R234" s="32">
        <f>IFERROR(_xlfn.XLOOKUP($B234,Raw_Data!$A$3:$A$273,Raw_Data!$Y$3:$Y$273),"")</f>
        <v>1</v>
      </c>
      <c r="S234" s="4" t="str" cm="1">
        <f t="array" ref="S234">_xlfn.LET(_xlpm.s, Raw_Data!W234,_xlpm.strat, _xlfn._xlws.FILTER(REF_Setup!$B$3:$B$40, REF_Setup!$B$3:$B$40&lt;&gt;""),IF(OR(_xlpm.s="",_xlpm.s=0),"Unclassified",IF(SUM(--ISNUMBER(SEARCH(_xlpm.strat, _xlpm.s)))&gt;0, "Y", "N"))
)</f>
        <v>N</v>
      </c>
      <c r="T234" s="4" t="str" cm="1">
        <f t="array" ref="T234">_xlfn.LET(_xlpm.s,M234,_xlpm.phil, _xlfn._xlws.FILTER(REF_Setup!$D$3:$D$5, REF_Setup!$D$3:$D$5&lt;&gt;""),IF(OR(_xlpm.s="", _xlpm.s=0),"Unclassified",IF(SUM(--ISNUMBER(SEARCH(_xlpm.phil, _xlpm.s)))&gt;0, "Y", "N")))</f>
        <v>N</v>
      </c>
      <c r="U234" s="4" t="str" cm="1">
        <f t="array" ref="U234">IF(M234="", "Unclassified", IF(AND(SUMPRODUCT(--ISNUMBER(SEARCH(REF_Setup!$B$3:$B$40,M234)))&gt;0,SUMPRODUCT(--ISNUMBER(SEARCH(REF_Setup!$F$3:$F$15,M234)))&gt;0),"Mixed",IF(SUMPRODUCT(--ISNUMBER(SEARCH(REF_Setup!$B$3:$B$40,M234)))&gt;0,"Strategic Only",IF(SUMPRODUCT(--ISNUMBER(SEARCH(REF_Setup!$F$3:$F$15,M234)))&gt;0,"VC Only","Unclassified"))))</f>
        <v>Unclassified</v>
      </c>
    </row>
    <row r="235" spans="2:21" x14ac:dyDescent="0.35">
      <c r="B235" s="4">
        <f t="shared" si="11"/>
        <v>233</v>
      </c>
      <c r="C235" s="4" t="str">
        <f>IFERROR(_xlfn.XLOOKUP($B235,Raw_Data!$A$3:$A$273,Raw_Data!$B$3:$B$273),"")</f>
        <v>TS-Nano</v>
      </c>
      <c r="D235" s="4" t="str">
        <f>IFERROR(_xlfn.XLOOKUP($B235,Raw_Data!$A$3:$A$273,Raw_Data!$C$3:$C$273),"")</f>
        <v>Albuquerque, NM</v>
      </c>
      <c r="E235" s="4">
        <f>IFERROR(_xlfn.XLOOKUP($B235,Raw_Data!$A$3:$A$273,Raw_Data!$D$3:$D$273),"")</f>
        <v>2020</v>
      </c>
      <c r="F235" s="4" t="str">
        <f>IFERROR(_xlfn.XLOOKUP($B235,Raw_Data!$A$3:$A$273,Raw_Data!$F$3:$F$273),"")</f>
        <v>Industrial Decarbonization</v>
      </c>
      <c r="G235" s="35">
        <f>IFERROR(_xlfn.XLOOKUP($B235,Raw_Data!$A$3:$A$273,Raw_Data!$J$3:$J$273),"")</f>
        <v>45240</v>
      </c>
      <c r="H235" s="16" t="s">
        <v>1465</v>
      </c>
      <c r="I235" s="36">
        <f>IFERROR(_xlfn.XLOOKUP($B235,Raw_Data!$A$3:$A$273,Raw_Data!$I$3:$I$273),"")</f>
        <v>0.86</v>
      </c>
      <c r="J235" s="36">
        <f>IFERROR(_xlfn.XLOOKUP($B235,Raw_Data!$A$3:$A$273,Raw_Data!$L$3:$L$273),"")</f>
        <v>0.61</v>
      </c>
      <c r="K235" s="36">
        <f>IFERROR(_xlfn.XLOOKUP($B235,Raw_Data!$A$3:$A$273,Raw_Data!$M$3:$M$273),"")</f>
        <v>10.5</v>
      </c>
      <c r="L235" s="15">
        <f>IFERROR(_xlfn.XLOOKUP($B235,Raw_Data!$A$3:$A$273,Raw_Data!$Q$3:$Q$273),"")</f>
        <v>0</v>
      </c>
      <c r="M235" s="34"/>
      <c r="N235" s="16" cm="1">
        <f t="array" ref="N235">IF(M235="",0,COUNTA(_xlfn._xlws.FILTER(_xlfn.TEXTSPLIT(M235,";"), _xlfn.TEXTSPLIT(M235,";")&lt;&gt;"")))</f>
        <v>0</v>
      </c>
      <c r="O235" s="16" t="str">
        <f t="shared" si="9"/>
        <v>Y</v>
      </c>
      <c r="P235" s="19" t="str">
        <f>IFERROR(_xlfn.XLOOKUP($B235,Raw_Data!$A$3:$A$273,Raw_Data!$V$3:$V$273),"")</f>
        <v>N/A</v>
      </c>
      <c r="Q235" s="16" t="str">
        <f t="shared" si="10"/>
        <v>Y</v>
      </c>
      <c r="R235" s="32" t="str">
        <f>IFERROR(_xlfn.XLOOKUP($B235,Raw_Data!$A$3:$A$273,Raw_Data!$Y$3:$Y$273),"")</f>
        <v>N/A</v>
      </c>
      <c r="S235" s="4" t="str" cm="1">
        <f t="array" ref="S235">_xlfn.LET(_xlpm.s, Raw_Data!W235,_xlpm.strat, _xlfn._xlws.FILTER(REF_Setup!$B$3:$B$40, REF_Setup!$B$3:$B$40&lt;&gt;""),IF(OR(_xlpm.s="",_xlpm.s=0),"Unclassified",IF(SUM(--ISNUMBER(SEARCH(_xlpm.strat, _xlpm.s)))&gt;0, "Y", "N"))
)</f>
        <v>Unclassified</v>
      </c>
      <c r="T235" s="4" t="str" cm="1">
        <f t="array" ref="T235">_xlfn.LET(_xlpm.s,M235,_xlpm.phil, _xlfn._xlws.FILTER(REF_Setup!$D$3:$D$5, REF_Setup!$D$3:$D$5&lt;&gt;""),IF(OR(_xlpm.s="", _xlpm.s=0),"Unclassified",IF(SUM(--ISNUMBER(SEARCH(_xlpm.phil, _xlpm.s)))&gt;0, "Y", "N")))</f>
        <v>Unclassified</v>
      </c>
      <c r="U235" s="4" t="str" cm="1">
        <f t="array" ref="U235">IF(M235="", "Unclassified", IF(AND(SUMPRODUCT(--ISNUMBER(SEARCH(REF_Setup!$B$3:$B$40,M235)))&gt;0,SUMPRODUCT(--ISNUMBER(SEARCH(REF_Setup!$F$3:$F$15,M235)))&gt;0),"Mixed",IF(SUMPRODUCT(--ISNUMBER(SEARCH(REF_Setup!$B$3:$B$40,M235)))&gt;0,"Strategic Only",IF(SUMPRODUCT(--ISNUMBER(SEARCH(REF_Setup!$F$3:$F$15,M235)))&gt;0,"VC Only","Unclassified"))))</f>
        <v>Unclassified</v>
      </c>
    </row>
    <row r="236" spans="2:21" ht="72.5" x14ac:dyDescent="0.35">
      <c r="B236" s="4">
        <f t="shared" si="11"/>
        <v>234</v>
      </c>
      <c r="C236" s="4" t="str">
        <f>IFERROR(_xlfn.XLOOKUP($B236,Raw_Data!$A$3:$A$273,Raw_Data!$B$3:$B$273),"")</f>
        <v>Twelve</v>
      </c>
      <c r="D236" s="4" t="str">
        <f>IFERROR(_xlfn.XLOOKUP($B236,Raw_Data!$A$3:$A$273,Raw_Data!$C$3:$C$273),"")</f>
        <v>Berkeley, CA</v>
      </c>
      <c r="E236" s="4">
        <f>IFERROR(_xlfn.XLOOKUP($B236,Raw_Data!$A$3:$A$273,Raw_Data!$D$3:$D$273),"")</f>
        <v>2015</v>
      </c>
      <c r="F236" s="4" t="str">
        <f>IFERROR(_xlfn.XLOOKUP($B236,Raw_Data!$A$3:$A$273,Raw_Data!$F$3:$F$273),"")</f>
        <v>Industrial Decarbonization</v>
      </c>
      <c r="G236" s="35">
        <f>IFERROR(_xlfn.XLOOKUP($B236,Raw_Data!$A$3:$A$273,Raw_Data!$J$3:$J$273),"")</f>
        <v>44385</v>
      </c>
      <c r="H236" s="16" t="s">
        <v>1465</v>
      </c>
      <c r="I236" s="36">
        <f>IFERROR(_xlfn.XLOOKUP($B236,Raw_Data!$A$3:$A$273,Raw_Data!$I$3:$I$273),"")</f>
        <v>75.37</v>
      </c>
      <c r="J236" s="36">
        <f>IFERROR(_xlfn.XLOOKUP($B236,Raw_Data!$A$3:$A$273,Raw_Data!$L$3:$L$273),"")</f>
        <v>29</v>
      </c>
      <c r="K236" s="36">
        <f>IFERROR(_xlfn.XLOOKUP($B236,Raw_Data!$A$3:$A$273,Raw_Data!$M$3:$M$273),"")</f>
        <v>155</v>
      </c>
      <c r="L236" s="15">
        <f>IFERROR(_xlfn.XLOOKUP($B236,Raw_Data!$A$3:$A$273,Raw_Data!$Q$3:$Q$273),"")</f>
        <v>0</v>
      </c>
      <c r="M236" s="34" t="str">
        <f>IFERROR(_xlfn.XLOOKUP($B236,Raw_Data!$A$3:$A$273,Raw_Data!$R$3:$R$273),"")</f>
        <v>Aera VC; Alpha Bridge Ventures; Breakout Ventures; Capricorn Investment Group; Carbon Direct Capital Management; City Hill Ventures; Climate Capital; DCVC; Evok Innovations; Future Tech Labs; GC Venture Fellows; Lowercarbon Capital; Microsoft Climate Fund; Munich Re Ventures; Rising Tide Fund; Starlight Ventures; Twynam Funds Management; Xplorer Capital</v>
      </c>
      <c r="N236" s="16" cm="1">
        <f t="array" ref="N236">IF(M236="",0,COUNTA(_xlfn._xlws.FILTER(_xlfn.TEXTSPLIT(M236,";"), _xlfn.TEXTSPLIT(M236,";")&lt;&gt;"")))</f>
        <v>18</v>
      </c>
      <c r="O236" s="16" t="str">
        <f t="shared" si="9"/>
        <v>Y</v>
      </c>
      <c r="P236" s="19">
        <f>IFERROR(_xlfn.XLOOKUP($B236,Raw_Data!$A$3:$A$273,Raw_Data!$V$3:$V$273),"")</f>
        <v>0.33333333333333331</v>
      </c>
      <c r="Q236" s="16" t="str">
        <f t="shared" si="10"/>
        <v>Y</v>
      </c>
      <c r="R236" s="32">
        <f>IFERROR(_xlfn.XLOOKUP($B236,Raw_Data!$A$3:$A$273,Raw_Data!$Y$3:$Y$273),"")</f>
        <v>0.66666666666666663</v>
      </c>
      <c r="S236" s="4" t="str" cm="1">
        <f t="array" ref="S236">_xlfn.LET(_xlpm.s, Raw_Data!W236,_xlpm.strat, _xlfn._xlws.FILTER(REF_Setup!$B$3:$B$40, REF_Setup!$B$3:$B$40&lt;&gt;""),IF(OR(_xlpm.s="",_xlpm.s=0),"Unclassified",IF(SUM(--ISNUMBER(SEARCH(_xlpm.strat, _xlpm.s)))&gt;0, "Y", "N"))
)</f>
        <v>Y</v>
      </c>
      <c r="T236" s="4" t="str" cm="1">
        <f t="array" ref="T236">_xlfn.LET(_xlpm.s,M236,_xlpm.phil, _xlfn._xlws.FILTER(REF_Setup!$D$3:$D$5, REF_Setup!$D$3:$D$5&lt;&gt;""),IF(OR(_xlpm.s="", _xlpm.s=0),"Unclassified",IF(SUM(--ISNUMBER(SEARCH(_xlpm.phil, _xlpm.s)))&gt;0, "Y", "N")))</f>
        <v>N</v>
      </c>
      <c r="U236" s="4" t="str" cm="1">
        <f t="array" ref="U236">IF(M236="", "Unclassified", IF(AND(SUMPRODUCT(--ISNUMBER(SEARCH(REF_Setup!$B$3:$B$40,M236)))&gt;0,SUMPRODUCT(--ISNUMBER(SEARCH(REF_Setup!$F$3:$F$15,M236)))&gt;0),"Mixed",IF(SUMPRODUCT(--ISNUMBER(SEARCH(REF_Setup!$B$3:$B$40,M236)))&gt;0,"Strategic Only",IF(SUMPRODUCT(--ISNUMBER(SEARCH(REF_Setup!$F$3:$F$15,M236)))&gt;0,"VC Only","Unclassified"))))</f>
        <v>Mixed</v>
      </c>
    </row>
    <row r="237" spans="2:21" ht="29" x14ac:dyDescent="0.35">
      <c r="B237" s="4">
        <f t="shared" si="11"/>
        <v>235</v>
      </c>
      <c r="C237" s="4" t="str">
        <f>IFERROR(_xlfn.XLOOKUP($B237,Raw_Data!$A$3:$A$273,Raw_Data!$B$3:$B$273),"")</f>
        <v>Tyfast</v>
      </c>
      <c r="D237" s="4" t="str">
        <f>IFERROR(_xlfn.XLOOKUP($B237,Raw_Data!$A$3:$A$273,Raw_Data!$C$3:$C$273),"")</f>
        <v>San Diego, CA</v>
      </c>
      <c r="E237" s="4">
        <f>IFERROR(_xlfn.XLOOKUP($B237,Raw_Data!$A$3:$A$273,Raw_Data!$D$3:$D$273),"")</f>
        <v>0</v>
      </c>
      <c r="F237" s="4" t="str">
        <f>IFERROR(_xlfn.XLOOKUP($B237,Raw_Data!$A$3:$A$273,Raw_Data!$F$3:$F$273),"")</f>
        <v>Mobility</v>
      </c>
      <c r="G237" s="35">
        <f>IFERROR(_xlfn.XLOOKUP($B237,Raw_Data!$A$3:$A$273,Raw_Data!$J$3:$J$273),"")</f>
        <v>44874</v>
      </c>
      <c r="H237" s="16" t="s">
        <v>1466</v>
      </c>
      <c r="I237" s="36">
        <f>IFERROR(_xlfn.XLOOKUP($B237,Raw_Data!$A$3:$A$273,Raw_Data!$I$3:$I$273),"")</f>
        <v>1.1599999999999999</v>
      </c>
      <c r="J237" s="36">
        <f>IFERROR(_xlfn.XLOOKUP($B237,Raw_Data!$A$3:$A$273,Raw_Data!$L$3:$L$273),"")</f>
        <v>0</v>
      </c>
      <c r="K237" s="36">
        <f>IFERROR(_xlfn.XLOOKUP($B237,Raw_Data!$A$3:$A$273,Raw_Data!$M$3:$M$273),"")</f>
        <v>0</v>
      </c>
      <c r="L237" s="15" t="str">
        <f>IFERROR(_xlfn.XLOOKUP($B237,Raw_Data!$A$3:$A$273,Raw_Data!$Q$3:$Q$273),"")</f>
        <v>N/A</v>
      </c>
      <c r="M237" s="34" t="str">
        <f>IFERROR(_xlfn.XLOOKUP($B237,Raw_Data!$A$3:$A$273,Raw_Data!$R$3:$R$273),"")</f>
        <v>Atlas Capital; Berg Energy Ventures; Collaborative Fund; CorDx; Gigascale Capital; Impact Science Ventures; Ryan Orr; The Atlas Capital</v>
      </c>
      <c r="N237" s="16" cm="1">
        <f t="array" ref="N237">IF(M237="",0,COUNTA(_xlfn._xlws.FILTER(_xlfn.TEXTSPLIT(M237,";"), _xlfn.TEXTSPLIT(M237,";")&lt;&gt;"")))</f>
        <v>8</v>
      </c>
      <c r="O237" s="16" t="str">
        <f t="shared" si="9"/>
        <v>N</v>
      </c>
      <c r="P237" s="19">
        <f>IFERROR(_xlfn.XLOOKUP($B237,Raw_Data!$A$3:$A$273,Raw_Data!$V$3:$V$273),"")</f>
        <v>0</v>
      </c>
      <c r="Q237" s="16" t="str">
        <f t="shared" si="10"/>
        <v>Y</v>
      </c>
      <c r="R237" s="32">
        <f>IFERROR(_xlfn.XLOOKUP($B237,Raw_Data!$A$3:$A$273,Raw_Data!$Y$3:$Y$273),"")</f>
        <v>1</v>
      </c>
      <c r="S237" s="4" t="str" cm="1">
        <f t="array" ref="S237">_xlfn.LET(_xlpm.s, Raw_Data!W237,_xlpm.strat, _xlfn._xlws.FILTER(REF_Setup!$B$3:$B$40, REF_Setup!$B$3:$B$40&lt;&gt;""),IF(OR(_xlpm.s="",_xlpm.s=0),"Unclassified",IF(SUM(--ISNUMBER(SEARCH(_xlpm.strat, _xlpm.s)))&gt;0, "Y", "N"))
)</f>
        <v>N</v>
      </c>
      <c r="T237" s="4" t="str" cm="1">
        <f t="array" ref="T237">_xlfn.LET(_xlpm.s,M237,_xlpm.phil, _xlfn._xlws.FILTER(REF_Setup!$D$3:$D$5, REF_Setup!$D$3:$D$5&lt;&gt;""),IF(OR(_xlpm.s="", _xlpm.s=0),"Unclassified",IF(SUM(--ISNUMBER(SEARCH(_xlpm.phil, _xlpm.s)))&gt;0, "Y", "N")))</f>
        <v>N</v>
      </c>
      <c r="U237" s="4" t="str" cm="1">
        <f t="array" ref="U237">IF(M237="", "Unclassified", IF(AND(SUMPRODUCT(--ISNUMBER(SEARCH(REF_Setup!$B$3:$B$40,M237)))&gt;0,SUMPRODUCT(--ISNUMBER(SEARCH(REF_Setup!$F$3:$F$15,M237)))&gt;0),"Mixed",IF(SUMPRODUCT(--ISNUMBER(SEARCH(REF_Setup!$B$3:$B$40,M237)))&gt;0,"Strategic Only",IF(SUMPRODUCT(--ISNUMBER(SEARCH(REF_Setup!$F$3:$F$15,M237)))&gt;0,"VC Only","Unclassified"))))</f>
        <v>VC Only</v>
      </c>
    </row>
    <row r="238" spans="2:21" x14ac:dyDescent="0.35">
      <c r="B238" s="4">
        <f t="shared" si="11"/>
        <v>236</v>
      </c>
      <c r="C238" s="4" t="str">
        <f>IFERROR(_xlfn.XLOOKUP($B238,Raw_Data!$A$3:$A$273,Raw_Data!$B$3:$B$273),"")</f>
        <v>Ubiquitous Energy</v>
      </c>
      <c r="D238" s="4" t="str">
        <f>IFERROR(_xlfn.XLOOKUP($B238,Raw_Data!$A$3:$A$273,Raw_Data!$C$3:$C$273),"")</f>
        <v>Redwood City, CA</v>
      </c>
      <c r="E238" s="4">
        <f>IFERROR(_xlfn.XLOOKUP($B238,Raw_Data!$A$3:$A$273,Raw_Data!$D$3:$D$273),"")</f>
        <v>2011</v>
      </c>
      <c r="F238" s="4" t="str">
        <f>IFERROR(_xlfn.XLOOKUP($B238,Raw_Data!$A$3:$A$273,Raw_Data!$F$3:$F$273),"")</f>
        <v>Buildings</v>
      </c>
      <c r="G238" s="35">
        <f>IFERROR(_xlfn.XLOOKUP($B238,Raw_Data!$A$3:$A$273,Raw_Data!$J$3:$J$273),"")</f>
        <v>42941</v>
      </c>
      <c r="H238" s="16" t="s">
        <v>1465</v>
      </c>
      <c r="I238" s="36">
        <f>IFERROR(_xlfn.XLOOKUP($B238,Raw_Data!$A$3:$A$273,Raw_Data!$I$3:$I$273),"")</f>
        <v>23.06</v>
      </c>
      <c r="J238" s="36">
        <f>IFERROR(_xlfn.XLOOKUP($B238,Raw_Data!$A$3:$A$273,Raw_Data!$L$3:$L$273),"")</f>
        <v>15</v>
      </c>
      <c r="K238" s="36">
        <f>IFERROR(_xlfn.XLOOKUP($B238,Raw_Data!$A$3:$A$273,Raw_Data!$M$3:$M$273),"")</f>
        <v>30</v>
      </c>
      <c r="L238" s="15">
        <f>IFERROR(_xlfn.XLOOKUP($B238,Raw_Data!$A$3:$A$273,Raw_Data!$Q$3:$Q$273),"")</f>
        <v>0</v>
      </c>
      <c r="M238" s="34"/>
      <c r="N238" s="16" cm="1">
        <f t="array" ref="N238">IF(M238="",0,COUNTA(_xlfn._xlws.FILTER(_xlfn.TEXTSPLIT(M238,";"), _xlfn.TEXTSPLIT(M238,";")&lt;&gt;"")))</f>
        <v>0</v>
      </c>
      <c r="O238" s="16" t="str">
        <f t="shared" si="9"/>
        <v>Y</v>
      </c>
      <c r="P238" s="19" t="str">
        <f>IFERROR(_xlfn.XLOOKUP($B238,Raw_Data!$A$3:$A$273,Raw_Data!$V$3:$V$273),"")</f>
        <v>N/A</v>
      </c>
      <c r="Q238" s="16" t="str">
        <f t="shared" si="10"/>
        <v>Y</v>
      </c>
      <c r="R238" s="32" t="str">
        <f>IFERROR(_xlfn.XLOOKUP($B238,Raw_Data!$A$3:$A$273,Raw_Data!$Y$3:$Y$273),"")</f>
        <v>N/A</v>
      </c>
      <c r="S238" s="4" t="str" cm="1">
        <f t="array" ref="S238">_xlfn.LET(_xlpm.s, Raw_Data!W238,_xlpm.strat, _xlfn._xlws.FILTER(REF_Setup!$B$3:$B$40, REF_Setup!$B$3:$B$40&lt;&gt;""),IF(OR(_xlpm.s="",_xlpm.s=0),"Unclassified",IF(SUM(--ISNUMBER(SEARCH(_xlpm.strat, _xlpm.s)))&gt;0, "Y", "N"))
)</f>
        <v>Unclassified</v>
      </c>
      <c r="T238" s="4" t="str" cm="1">
        <f t="array" ref="T238">_xlfn.LET(_xlpm.s,M238,_xlpm.phil, _xlfn._xlws.FILTER(REF_Setup!$D$3:$D$5, REF_Setup!$D$3:$D$5&lt;&gt;""),IF(OR(_xlpm.s="", _xlpm.s=0),"Unclassified",IF(SUM(--ISNUMBER(SEARCH(_xlpm.phil, _xlpm.s)))&gt;0, "Y", "N")))</f>
        <v>Unclassified</v>
      </c>
      <c r="U238" s="4" t="str" cm="1">
        <f t="array" ref="U238">IF(M238="", "Unclassified", IF(AND(SUMPRODUCT(--ISNUMBER(SEARCH(REF_Setup!$B$3:$B$40,M238)))&gt;0,SUMPRODUCT(--ISNUMBER(SEARCH(REF_Setup!$F$3:$F$15,M238)))&gt;0),"Mixed",IF(SUMPRODUCT(--ISNUMBER(SEARCH(REF_Setup!$B$3:$B$40,M238)))&gt;0,"Strategic Only",IF(SUMPRODUCT(--ISNUMBER(SEARCH(REF_Setup!$F$3:$F$15,M238)))&gt;0,"VC Only","Unclassified"))))</f>
        <v>Unclassified</v>
      </c>
    </row>
    <row r="239" spans="2:21" ht="29" x14ac:dyDescent="0.35">
      <c r="B239" s="4">
        <f t="shared" si="11"/>
        <v>237</v>
      </c>
      <c r="C239" s="4" t="str">
        <f>IFERROR(_xlfn.XLOOKUP($B239,Raw_Data!$A$3:$A$273,Raw_Data!$B$3:$B$273),"")</f>
        <v>Ubiquitous Energy</v>
      </c>
      <c r="D239" s="4" t="str">
        <f>IFERROR(_xlfn.XLOOKUP($B239,Raw_Data!$A$3:$A$273,Raw_Data!$C$3:$C$273),"")</f>
        <v>Redwood City, CA</v>
      </c>
      <c r="E239" s="4">
        <f>IFERROR(_xlfn.XLOOKUP($B239,Raw_Data!$A$3:$A$273,Raw_Data!$D$3:$D$273),"")</f>
        <v>2011</v>
      </c>
      <c r="F239" s="4" t="str">
        <f>IFERROR(_xlfn.XLOOKUP($B239,Raw_Data!$A$3:$A$273,Raw_Data!$F$3:$F$273),"")</f>
        <v>Buildings</v>
      </c>
      <c r="G239" s="35">
        <f>IFERROR(_xlfn.XLOOKUP($B239,Raw_Data!$A$3:$A$273,Raw_Data!$J$3:$J$273),"")</f>
        <v>44273</v>
      </c>
      <c r="H239" s="16" t="s">
        <v>1465</v>
      </c>
      <c r="I239" s="36">
        <f>IFERROR(_xlfn.XLOOKUP($B239,Raw_Data!$A$3:$A$273,Raw_Data!$I$3:$I$273),"")</f>
        <v>31.06</v>
      </c>
      <c r="J239" s="36">
        <f>IFERROR(_xlfn.XLOOKUP($B239,Raw_Data!$A$3:$A$273,Raw_Data!$L$3:$L$273),"")</f>
        <v>8</v>
      </c>
      <c r="K239" s="36">
        <f>IFERROR(_xlfn.XLOOKUP($B239,Raw_Data!$A$3:$A$273,Raw_Data!$M$3:$M$273),"")</f>
        <v>88</v>
      </c>
      <c r="L239" s="15">
        <f>IFERROR(_xlfn.XLOOKUP($B239,Raw_Data!$A$3:$A$273,Raw_Data!$Q$3:$Q$273),"")</f>
        <v>0</v>
      </c>
      <c r="M239" s="34" t="str">
        <f>IFERROR(_xlfn.XLOOKUP($B239,Raw_Data!$A$3:$A$273,Raw_Data!$R$3:$R$273),"")</f>
        <v xml:space="preserve">Arunas Chesonis; Eneos Innovation Partners; Keith Wilson; Safar Partners; Keith Wilson; </v>
      </c>
      <c r="N239" s="16" cm="1">
        <f t="array" ref="N239">IF(M239="",0,COUNTA(_xlfn._xlws.FILTER(_xlfn.TEXTSPLIT(M239,";"), _xlfn.TEXTSPLIT(M239,";")&lt;&gt;"")))</f>
        <v>6</v>
      </c>
      <c r="O239" s="16" t="str">
        <f t="shared" si="9"/>
        <v>N</v>
      </c>
      <c r="P239" s="19">
        <f>IFERROR(_xlfn.XLOOKUP($B239,Raw_Data!$A$3:$A$273,Raw_Data!$V$3:$V$273),"")</f>
        <v>0</v>
      </c>
      <c r="Q239" s="16" t="str">
        <f t="shared" si="10"/>
        <v>Y</v>
      </c>
      <c r="R239" s="32">
        <f>IFERROR(_xlfn.XLOOKUP($B239,Raw_Data!$A$3:$A$273,Raw_Data!$Y$3:$Y$273),"")</f>
        <v>1</v>
      </c>
      <c r="S239" s="4" t="str" cm="1">
        <f t="array" ref="S239">_xlfn.LET(_xlpm.s, Raw_Data!W239,_xlpm.strat, _xlfn._xlws.FILTER(REF_Setup!$B$3:$B$40, REF_Setup!$B$3:$B$40&lt;&gt;""),IF(OR(_xlpm.s="",_xlpm.s=0),"Unclassified",IF(SUM(--ISNUMBER(SEARCH(_xlpm.strat, _xlpm.s)))&gt;0, "Y", "N"))
)</f>
        <v>Y</v>
      </c>
      <c r="T239" s="4" t="str" cm="1">
        <f t="array" ref="T239">_xlfn.LET(_xlpm.s,M239,_xlpm.phil, _xlfn._xlws.FILTER(REF_Setup!$D$3:$D$5, REF_Setup!$D$3:$D$5&lt;&gt;""),IF(OR(_xlpm.s="", _xlpm.s=0),"Unclassified",IF(SUM(--ISNUMBER(SEARCH(_xlpm.phil, _xlpm.s)))&gt;0, "Y", "N")))</f>
        <v>N</v>
      </c>
      <c r="U239" s="4" t="str" cm="1">
        <f t="array" ref="U239">IF(M239="", "Unclassified", IF(AND(SUMPRODUCT(--ISNUMBER(SEARCH(REF_Setup!$B$3:$B$40,M239)))&gt;0,SUMPRODUCT(--ISNUMBER(SEARCH(REF_Setup!$F$3:$F$15,M239)))&gt;0),"Mixed",IF(SUMPRODUCT(--ISNUMBER(SEARCH(REF_Setup!$B$3:$B$40,M239)))&gt;0,"Strategic Only",IF(SUMPRODUCT(--ISNUMBER(SEARCH(REF_Setup!$F$3:$F$15,M239)))&gt;0,"VC Only","Unclassified"))))</f>
        <v>Mixed</v>
      </c>
    </row>
    <row r="240" spans="2:21" x14ac:dyDescent="0.35">
      <c r="B240" s="4">
        <f t="shared" si="11"/>
        <v>238</v>
      </c>
      <c r="C240" s="4" t="str">
        <f>IFERROR(_xlfn.XLOOKUP($B240,Raw_Data!$A$3:$A$273,Raw_Data!$B$3:$B$273),"")</f>
        <v>UCAP Power</v>
      </c>
      <c r="D240" s="4" t="str">
        <f>IFERROR(_xlfn.XLOOKUP($B240,Raw_Data!$A$3:$A$273,Raw_Data!$C$3:$C$273),"")</f>
        <v>San Diego, CA</v>
      </c>
      <c r="E240" s="4">
        <f>IFERROR(_xlfn.XLOOKUP($B240,Raw_Data!$A$3:$A$273,Raw_Data!$D$3:$D$273),"")</f>
        <v>2019</v>
      </c>
      <c r="F240" s="4" t="str">
        <f>IFERROR(_xlfn.XLOOKUP($B240,Raw_Data!$A$3:$A$273,Raw_Data!$F$3:$F$273),"")</f>
        <v>LDES</v>
      </c>
      <c r="G240" s="35">
        <f>IFERROR(_xlfn.XLOOKUP($B240,Raw_Data!$A$3:$A$273,Raw_Data!$J$3:$J$273),"")</f>
        <v>45135</v>
      </c>
      <c r="H240" s="4" t="s">
        <v>75</v>
      </c>
      <c r="I240" s="36">
        <f>IFERROR(_xlfn.XLOOKUP($B240,Raw_Data!$A$3:$A$273,Raw_Data!$I$3:$I$273),"")</f>
        <v>55</v>
      </c>
      <c r="J240" s="36">
        <f>IFERROR(_xlfn.XLOOKUP($B240,Raw_Data!$A$3:$A$273,Raw_Data!$L$3:$L$273),"")</f>
        <v>15</v>
      </c>
      <c r="K240" s="36">
        <f>IFERROR(_xlfn.XLOOKUP($B240,Raw_Data!$A$3:$A$273,Raw_Data!$M$3:$M$273),"")</f>
        <v>145</v>
      </c>
      <c r="L240" s="15">
        <f>IFERROR(_xlfn.XLOOKUP($B240,Raw_Data!$A$3:$A$273,Raw_Data!$Q$3:$Q$273),"")</f>
        <v>0</v>
      </c>
      <c r="M240" s="34" t="str">
        <f>IFERROR(_xlfn.XLOOKUP($B240,Raw_Data!$A$3:$A$273,Raw_Data!$R$3:$R$273),"")</f>
        <v xml:space="preserve">Marathon Capital Management </v>
      </c>
      <c r="N240" s="16" cm="1">
        <f t="array" ref="N240">IF(M240="",0,COUNTA(_xlfn._xlws.FILTER(_xlfn.TEXTSPLIT(M240,";"), _xlfn.TEXTSPLIT(M240,";")&lt;&gt;"")))</f>
        <v>1</v>
      </c>
      <c r="O240" s="16" t="str">
        <f t="shared" si="9"/>
        <v>N</v>
      </c>
      <c r="P240" s="19">
        <f>IFERROR(_xlfn.XLOOKUP($B240,Raw_Data!$A$3:$A$273,Raw_Data!$V$3:$V$273),"")</f>
        <v>0</v>
      </c>
      <c r="Q240" s="16" t="str">
        <f t="shared" si="10"/>
        <v>Y</v>
      </c>
      <c r="R240" s="32">
        <f>IFERROR(_xlfn.XLOOKUP($B240,Raw_Data!$A$3:$A$273,Raw_Data!$Y$3:$Y$273),"")</f>
        <v>1</v>
      </c>
      <c r="S240" s="4" t="str" cm="1">
        <f t="array" ref="S240">_xlfn.LET(_xlpm.s, Raw_Data!W240,_xlpm.strat, _xlfn._xlws.FILTER(REF_Setup!$B$3:$B$40, REF_Setup!$B$3:$B$40&lt;&gt;""),IF(OR(_xlpm.s="",_xlpm.s=0),"Unclassified",IF(SUM(--ISNUMBER(SEARCH(_xlpm.strat, _xlpm.s)))&gt;0, "Y", "N"))
)</f>
        <v>N</v>
      </c>
      <c r="T240" s="4" t="str" cm="1">
        <f t="array" ref="T240">_xlfn.LET(_xlpm.s,M240,_xlpm.phil, _xlfn._xlws.FILTER(REF_Setup!$D$3:$D$5, REF_Setup!$D$3:$D$5&lt;&gt;""),IF(OR(_xlpm.s="", _xlpm.s=0),"Unclassified",IF(SUM(--ISNUMBER(SEARCH(_xlpm.phil, _xlpm.s)))&gt;0, "Y", "N")))</f>
        <v>N</v>
      </c>
      <c r="U240" s="4" t="str" cm="1">
        <f t="array" ref="U240">IF(M240="", "Unclassified", IF(AND(SUMPRODUCT(--ISNUMBER(SEARCH(REF_Setup!$B$3:$B$40,M240)))&gt;0,SUMPRODUCT(--ISNUMBER(SEARCH(REF_Setup!$F$3:$F$15,M240)))&gt;0),"Mixed",IF(SUMPRODUCT(--ISNUMBER(SEARCH(REF_Setup!$B$3:$B$40,M240)))&gt;0,"Strategic Only",IF(SUMPRODUCT(--ISNUMBER(SEARCH(REF_Setup!$F$3:$F$15,M240)))&gt;0,"VC Only","Unclassified"))))</f>
        <v>VC Only</v>
      </c>
    </row>
    <row r="241" spans="2:21" x14ac:dyDescent="0.35">
      <c r="B241" s="4">
        <f t="shared" si="11"/>
        <v>239</v>
      </c>
      <c r="C241" s="4" t="str">
        <f>IFERROR(_xlfn.XLOOKUP($B241,Raw_Data!$A$3:$A$273,Raw_Data!$B$3:$B$273),"")</f>
        <v>UCAP Power</v>
      </c>
      <c r="D241" s="4" t="str">
        <f>IFERROR(_xlfn.XLOOKUP($B241,Raw_Data!$A$3:$A$273,Raw_Data!$C$3:$C$273),"")</f>
        <v>San Diego, CA</v>
      </c>
      <c r="E241" s="4">
        <f>IFERROR(_xlfn.XLOOKUP($B241,Raw_Data!$A$3:$A$273,Raw_Data!$D$3:$D$273),"")</f>
        <v>2019</v>
      </c>
      <c r="F241" s="4" t="str">
        <f>IFERROR(_xlfn.XLOOKUP($B241,Raw_Data!$A$3:$A$273,Raw_Data!$F$3:$F$273),"")</f>
        <v>LDES</v>
      </c>
      <c r="G241" s="35">
        <f>IFERROR(_xlfn.XLOOKUP($B241,Raw_Data!$A$3:$A$273,Raw_Data!$J$3:$J$273),"")</f>
        <v>45748</v>
      </c>
      <c r="H241" s="4" t="s">
        <v>75</v>
      </c>
      <c r="I241" s="36">
        <f>IFERROR(_xlfn.XLOOKUP($B241,Raw_Data!$A$3:$A$273,Raw_Data!$I$3:$I$273),"")</f>
        <v>59.8</v>
      </c>
      <c r="J241" s="36">
        <f>IFERROR(_xlfn.XLOOKUP($B241,Raw_Data!$A$3:$A$273,Raw_Data!$L$3:$L$273),"")</f>
        <v>0</v>
      </c>
      <c r="K241" s="36">
        <f>IFERROR(_xlfn.XLOOKUP($B241,Raw_Data!$A$3:$A$273,Raw_Data!$M$3:$M$273),"")</f>
        <v>0</v>
      </c>
      <c r="L241" s="15" t="str">
        <f>IFERROR(_xlfn.XLOOKUP($B241,Raw_Data!$A$3:$A$273,Raw_Data!$Q$3:$Q$273),"")</f>
        <v>N/A</v>
      </c>
      <c r="M241" s="34" t="str">
        <f>IFERROR(_xlfn.XLOOKUP($B241,Raw_Data!$A$3:$A$273,Raw_Data!$R$3:$R$273),"")</f>
        <v xml:space="preserve">Grantchester Group </v>
      </c>
      <c r="N241" s="16" cm="1">
        <f t="array" ref="N241">IF(M241="",0,COUNTA(_xlfn._xlws.FILTER(_xlfn.TEXTSPLIT(M241,";"), _xlfn.TEXTSPLIT(M241,";")&lt;&gt;"")))</f>
        <v>1</v>
      </c>
      <c r="O241" s="16" t="str">
        <f t="shared" si="9"/>
        <v>Y</v>
      </c>
      <c r="P241" s="19">
        <f>IFERROR(_xlfn.XLOOKUP($B241,Raw_Data!$A$3:$A$273,Raw_Data!$V$3:$V$273),"")</f>
        <v>1</v>
      </c>
      <c r="Q241" s="16" t="str">
        <f t="shared" si="10"/>
        <v>Y</v>
      </c>
      <c r="R241" s="32" t="str">
        <f>IFERROR(_xlfn.XLOOKUP($B241,Raw_Data!$A$3:$A$273,Raw_Data!$Y$3:$Y$273),"")</f>
        <v>N/A</v>
      </c>
      <c r="S241" s="4" t="str" cm="1">
        <f t="array" ref="S241">_xlfn.LET(_xlpm.s, Raw_Data!W241,_xlpm.strat, _xlfn._xlws.FILTER(REF_Setup!$B$3:$B$40, REF_Setup!$B$3:$B$40&lt;&gt;""),IF(OR(_xlpm.s="",_xlpm.s=0),"Unclassified",IF(SUM(--ISNUMBER(SEARCH(_xlpm.strat, _xlpm.s)))&gt;0, "Y", "N"))
)</f>
        <v>Unclassified</v>
      </c>
      <c r="T241" s="4" t="str" cm="1">
        <f t="array" ref="T241">_xlfn.LET(_xlpm.s,M241,_xlpm.phil, _xlfn._xlws.FILTER(REF_Setup!$D$3:$D$5, REF_Setup!$D$3:$D$5&lt;&gt;""),IF(OR(_xlpm.s="", _xlpm.s=0),"Unclassified",IF(SUM(--ISNUMBER(SEARCH(_xlpm.phil, _xlpm.s)))&gt;0, "Y", "N")))</f>
        <v>N</v>
      </c>
      <c r="U241" s="4" t="str" cm="1">
        <f t="array" ref="U241">IF(M241="", "Unclassified", IF(AND(SUMPRODUCT(--ISNUMBER(SEARCH(REF_Setup!$B$3:$B$40,M241)))&gt;0,SUMPRODUCT(--ISNUMBER(SEARCH(REF_Setup!$F$3:$F$15,M241)))&gt;0),"Mixed",IF(SUMPRODUCT(--ISNUMBER(SEARCH(REF_Setup!$B$3:$B$40,M241)))&gt;0,"Strategic Only",IF(SUMPRODUCT(--ISNUMBER(SEARCH(REF_Setup!$F$3:$F$15,M241)))&gt;0,"VC Only","Unclassified"))))</f>
        <v>VC Only</v>
      </c>
    </row>
    <row r="242" spans="2:21" x14ac:dyDescent="0.35">
      <c r="B242" s="4">
        <f t="shared" si="11"/>
        <v>240</v>
      </c>
      <c r="C242" s="4" t="str">
        <f>IFERROR(_xlfn.XLOOKUP($B242,Raw_Data!$A$3:$A$273,Raw_Data!$B$3:$B$273),"")</f>
        <v>Unirac</v>
      </c>
      <c r="D242" s="4" t="str">
        <f>IFERROR(_xlfn.XLOOKUP($B242,Raw_Data!$A$3:$A$273,Raw_Data!$C$3:$C$273),"")</f>
        <v>Albuquerque, NM</v>
      </c>
      <c r="E242" s="4">
        <f>IFERROR(_xlfn.XLOOKUP($B242,Raw_Data!$A$3:$A$273,Raw_Data!$D$3:$D$273),"")</f>
        <v>1998</v>
      </c>
      <c r="F242" s="4" t="str">
        <f>IFERROR(_xlfn.XLOOKUP($B242,Raw_Data!$A$3:$A$273,Raw_Data!$F$3:$F$273),"")</f>
        <v>Renewables</v>
      </c>
      <c r="G242" s="35">
        <f>IFERROR(_xlfn.XLOOKUP($B242,Raw_Data!$A$3:$A$273,Raw_Data!$J$3:$J$273),"")</f>
        <v>44460</v>
      </c>
      <c r="H242" s="4" t="s">
        <v>75</v>
      </c>
      <c r="I242" s="36">
        <f>IFERROR(_xlfn.XLOOKUP($B242,Raw_Data!$A$3:$A$273,Raw_Data!$I$3:$I$273),"")</f>
        <v>0</v>
      </c>
      <c r="J242" s="36">
        <f>IFERROR(_xlfn.XLOOKUP($B242,Raw_Data!$A$3:$A$273,Raw_Data!$L$3:$L$273),"")</f>
        <v>0</v>
      </c>
      <c r="K242" s="36">
        <f>IFERROR(_xlfn.XLOOKUP($B242,Raw_Data!$A$3:$A$273,Raw_Data!$M$3:$M$273),"")</f>
        <v>0</v>
      </c>
      <c r="L242" s="15" t="str">
        <f>IFERROR(_xlfn.XLOOKUP($B242,Raw_Data!$A$3:$A$273,Raw_Data!$Q$3:$Q$273),"")</f>
        <v>N/A</v>
      </c>
      <c r="M242" s="34"/>
      <c r="N242" s="16" cm="1">
        <f t="array" ref="N242">IF(M242="",0,COUNTA(_xlfn._xlws.FILTER(_xlfn.TEXTSPLIT(M242,";"), _xlfn.TEXTSPLIT(M242,";")&lt;&gt;"")))</f>
        <v>0</v>
      </c>
      <c r="O242" s="16" t="str">
        <f t="shared" si="9"/>
        <v>Y</v>
      </c>
      <c r="P242" s="19" t="str">
        <f>IFERROR(_xlfn.XLOOKUP($B242,Raw_Data!$A$3:$A$273,Raw_Data!$V$3:$V$273),"")</f>
        <v>N/A</v>
      </c>
      <c r="Q242" s="16" t="str">
        <f t="shared" si="10"/>
        <v>Y</v>
      </c>
      <c r="R242" s="32" t="str">
        <f>IFERROR(_xlfn.XLOOKUP($B242,Raw_Data!$A$3:$A$273,Raw_Data!$Y$3:$Y$273),"")</f>
        <v>N/A</v>
      </c>
      <c r="S242" s="4" t="str" cm="1">
        <f t="array" ref="S242">_xlfn.LET(_xlpm.s, Raw_Data!W242,_xlpm.strat, _xlfn._xlws.FILTER(REF_Setup!$B$3:$B$40, REF_Setup!$B$3:$B$40&lt;&gt;""),IF(OR(_xlpm.s="",_xlpm.s=0),"Unclassified",IF(SUM(--ISNUMBER(SEARCH(_xlpm.strat, _xlpm.s)))&gt;0, "Y", "N"))
)</f>
        <v>Unclassified</v>
      </c>
      <c r="T242" s="4" t="str" cm="1">
        <f t="array" ref="T242">_xlfn.LET(_xlpm.s,M242,_xlpm.phil, _xlfn._xlws.FILTER(REF_Setup!$D$3:$D$5, REF_Setup!$D$3:$D$5&lt;&gt;""),IF(OR(_xlpm.s="", _xlpm.s=0),"Unclassified",IF(SUM(--ISNUMBER(SEARCH(_xlpm.phil, _xlpm.s)))&gt;0, "Y", "N")))</f>
        <v>Unclassified</v>
      </c>
      <c r="U242" s="4" t="str" cm="1">
        <f t="array" ref="U242">IF(M242="", "Unclassified", IF(AND(SUMPRODUCT(--ISNUMBER(SEARCH(REF_Setup!$B$3:$B$40,M242)))&gt;0,SUMPRODUCT(--ISNUMBER(SEARCH(REF_Setup!$F$3:$F$15,M242)))&gt;0),"Mixed",IF(SUMPRODUCT(--ISNUMBER(SEARCH(REF_Setup!$B$3:$B$40,M242)))&gt;0,"Strategic Only",IF(SUMPRODUCT(--ISNUMBER(SEARCH(REF_Setup!$F$3:$F$15,M242)))&gt;0,"VC Only","Unclassified"))))</f>
        <v>Unclassified</v>
      </c>
    </row>
    <row r="243" spans="2:21" x14ac:dyDescent="0.35">
      <c r="B243" s="4">
        <f t="shared" si="11"/>
        <v>241</v>
      </c>
      <c r="C243" s="4" t="str">
        <f>IFERROR(_xlfn.XLOOKUP($B243,Raw_Data!$A$3:$A$273,Raw_Data!$B$3:$B$273),"")</f>
        <v>UPSIDE Foods</v>
      </c>
      <c r="D243" s="4" t="str">
        <f>IFERROR(_xlfn.XLOOKUP($B243,Raw_Data!$A$3:$A$273,Raw_Data!$C$3:$C$273),"")</f>
        <v>Berkeley, CA</v>
      </c>
      <c r="E243" s="4">
        <f>IFERROR(_xlfn.XLOOKUP($B243,Raw_Data!$A$3:$A$273,Raw_Data!$D$3:$D$273),"")</f>
        <v>2015</v>
      </c>
      <c r="F243" s="4" t="str">
        <f>IFERROR(_xlfn.XLOOKUP($B243,Raw_Data!$A$3:$A$273,Raw_Data!$F$3:$F$273),"")</f>
        <v>Food &amp; Ag</v>
      </c>
      <c r="G243" s="35">
        <f>IFERROR(_xlfn.XLOOKUP($B243,Raw_Data!$A$3:$A$273,Raw_Data!$J$3:$J$273),"")</f>
        <v>42482</v>
      </c>
      <c r="H243" s="16" t="s">
        <v>1465</v>
      </c>
      <c r="I243" s="36">
        <f>IFERROR(_xlfn.XLOOKUP($B243,Raw_Data!$A$3:$A$273,Raw_Data!$I$3:$I$273),"")</f>
        <v>5.17</v>
      </c>
      <c r="J243" s="36">
        <f>IFERROR(_xlfn.XLOOKUP($B243,Raw_Data!$A$3:$A$273,Raw_Data!$L$3:$L$273),"")</f>
        <v>4.92</v>
      </c>
      <c r="K243" s="36">
        <f>IFERROR(_xlfn.XLOOKUP($B243,Raw_Data!$A$3:$A$273,Raw_Data!$M$3:$M$273),"")</f>
        <v>24.92</v>
      </c>
      <c r="L243" s="15">
        <f>IFERROR(_xlfn.XLOOKUP($B243,Raw_Data!$A$3:$A$273,Raw_Data!$Q$3:$Q$273),"")</f>
        <v>0</v>
      </c>
      <c r="M243" s="34" t="str">
        <f>IFERROR(_xlfn.XLOOKUP($B243,Raw_Data!$A$3:$A$273,Raw_Data!$R$3:$R$273),"")</f>
        <v xml:space="preserve">Fifty Years; SOSV; Stray Dog Capital; Unovis Asset Management </v>
      </c>
      <c r="N243" s="16" cm="1">
        <f t="array" ref="N243">IF(M243="",0,COUNTA(_xlfn._xlws.FILTER(_xlfn.TEXTSPLIT(M243,";"), _xlfn.TEXTSPLIT(M243,";")&lt;&gt;"")))</f>
        <v>4</v>
      </c>
      <c r="O243" s="16" t="str">
        <f t="shared" si="9"/>
        <v>Y</v>
      </c>
      <c r="P243" s="19">
        <f>IFERROR(_xlfn.XLOOKUP($B243,Raw_Data!$A$3:$A$273,Raw_Data!$V$3:$V$273),"")</f>
        <v>0.25</v>
      </c>
      <c r="Q243" s="16" t="str">
        <f t="shared" si="10"/>
        <v>Y</v>
      </c>
      <c r="R243" s="32">
        <f>IFERROR(_xlfn.XLOOKUP($B243,Raw_Data!$A$3:$A$273,Raw_Data!$Y$3:$Y$273),"")</f>
        <v>0.75</v>
      </c>
      <c r="S243" s="4" t="str" cm="1">
        <f t="array" ref="S243">_xlfn.LET(_xlpm.s, Raw_Data!W243,_xlpm.strat, _xlfn._xlws.FILTER(REF_Setup!$B$3:$B$40, REF_Setup!$B$3:$B$40&lt;&gt;""),IF(OR(_xlpm.s="",_xlpm.s=0),"Unclassified",IF(SUM(--ISNUMBER(SEARCH(_xlpm.strat, _xlpm.s)))&gt;0, "Y", "N"))
)</f>
        <v>N</v>
      </c>
      <c r="T243" s="4" t="str" cm="1">
        <f t="array" ref="T243">_xlfn.LET(_xlpm.s,M243,_xlpm.phil, _xlfn._xlws.FILTER(REF_Setup!$D$3:$D$5, REF_Setup!$D$3:$D$5&lt;&gt;""),IF(OR(_xlpm.s="", _xlpm.s=0),"Unclassified",IF(SUM(--ISNUMBER(SEARCH(_xlpm.phil, _xlpm.s)))&gt;0, "Y", "N")))</f>
        <v>N</v>
      </c>
      <c r="U243" s="4" t="str" cm="1">
        <f t="array" ref="U243">IF(M243="", "Unclassified", IF(AND(SUMPRODUCT(--ISNUMBER(SEARCH(REF_Setup!$B$3:$B$40,M243)))&gt;0,SUMPRODUCT(--ISNUMBER(SEARCH(REF_Setup!$F$3:$F$15,M243)))&gt;0),"Mixed",IF(SUMPRODUCT(--ISNUMBER(SEARCH(REF_Setup!$B$3:$B$40,M243)))&gt;0,"Strategic Only",IF(SUMPRODUCT(--ISNUMBER(SEARCH(REF_Setup!$F$3:$F$15,M243)))&gt;0,"VC Only","Unclassified"))))</f>
        <v>VC Only</v>
      </c>
    </row>
    <row r="244" spans="2:21" ht="43.5" x14ac:dyDescent="0.35">
      <c r="B244" s="4">
        <f t="shared" si="11"/>
        <v>242</v>
      </c>
      <c r="C244" s="4" t="str">
        <f>IFERROR(_xlfn.XLOOKUP($B244,Raw_Data!$A$3:$A$273,Raw_Data!$B$3:$B$273),"")</f>
        <v>UPSIDE Foods</v>
      </c>
      <c r="D244" s="4" t="str">
        <f>IFERROR(_xlfn.XLOOKUP($B244,Raw_Data!$A$3:$A$273,Raw_Data!$C$3:$C$273),"")</f>
        <v>Berkeley, CA</v>
      </c>
      <c r="E244" s="4">
        <f>IFERROR(_xlfn.XLOOKUP($B244,Raw_Data!$A$3:$A$273,Raw_Data!$D$3:$D$273),"")</f>
        <v>2015</v>
      </c>
      <c r="F244" s="4" t="str">
        <f>IFERROR(_xlfn.XLOOKUP($B244,Raw_Data!$A$3:$A$273,Raw_Data!$F$3:$F$273),"")</f>
        <v>Food &amp; Ag</v>
      </c>
      <c r="G244" s="35">
        <f>IFERROR(_xlfn.XLOOKUP($B244,Raw_Data!$A$3:$A$273,Raw_Data!$J$3:$J$273),"")</f>
        <v>42970</v>
      </c>
      <c r="H244" s="16" t="s">
        <v>1465</v>
      </c>
      <c r="I244" s="36">
        <f>IFERROR(_xlfn.XLOOKUP($B244,Raw_Data!$A$3:$A$273,Raw_Data!$I$3:$I$273),"")</f>
        <v>22.17</v>
      </c>
      <c r="J244" s="36">
        <f>IFERROR(_xlfn.XLOOKUP($B244,Raw_Data!$A$3:$A$273,Raw_Data!$L$3:$L$273),"")</f>
        <v>17</v>
      </c>
      <c r="K244" s="36">
        <f>IFERROR(_xlfn.XLOOKUP($B244,Raw_Data!$A$3:$A$273,Raw_Data!$M$3:$M$273),"")</f>
        <v>77</v>
      </c>
      <c r="L244" s="15">
        <f>IFERROR(_xlfn.XLOOKUP($B244,Raw_Data!$A$3:$A$273,Raw_Data!$Q$3:$Q$273),"")</f>
        <v>0</v>
      </c>
      <c r="M244" s="34" t="str">
        <f>IFERROR(_xlfn.XLOOKUP($B244,Raw_Data!$A$3:$A$273,Raw_Data!$R$3:$R$273),"")</f>
        <v>Atomico; Avi Brown; Cargill; Fifty Years; Five Seasons Ventures; Gates Ventures; Inevitable Ventures; John Welch; KBW Ventures; Kimbal Musk; Kyle Vogt; Richard Branson; SOSV; Threshold Management; Unovis Asset Management</v>
      </c>
      <c r="N244" s="16" cm="1">
        <f t="array" ref="N244">IF(M244="",0,COUNTA(_xlfn._xlws.FILTER(_xlfn.TEXTSPLIT(M244,";"), _xlfn.TEXTSPLIT(M244,";")&lt;&gt;"")))</f>
        <v>15</v>
      </c>
      <c r="O244" s="16" t="str">
        <f t="shared" si="9"/>
        <v>Y</v>
      </c>
      <c r="P244" s="19">
        <f>IFERROR(_xlfn.XLOOKUP($B244,Raw_Data!$A$3:$A$273,Raw_Data!$V$3:$V$273),"")</f>
        <v>0.2</v>
      </c>
      <c r="Q244" s="16" t="str">
        <f t="shared" si="10"/>
        <v>Y</v>
      </c>
      <c r="R244" s="32">
        <f>IFERROR(_xlfn.XLOOKUP($B244,Raw_Data!$A$3:$A$273,Raw_Data!$Y$3:$Y$273),"")</f>
        <v>0.8</v>
      </c>
      <c r="S244" s="4" t="str" cm="1">
        <f t="array" ref="S244">_xlfn.LET(_xlpm.s, Raw_Data!W244,_xlpm.strat, _xlfn._xlws.FILTER(REF_Setup!$B$3:$B$40, REF_Setup!$B$3:$B$40&lt;&gt;""),IF(OR(_xlpm.s="",_xlpm.s=0),"Unclassified",IF(SUM(--ISNUMBER(SEARCH(_xlpm.strat, _xlpm.s)))&gt;0, "Y", "N"))
)</f>
        <v>N</v>
      </c>
      <c r="T244" s="4" t="str" cm="1">
        <f t="array" ref="T244">_xlfn.LET(_xlpm.s,M244,_xlpm.phil, _xlfn._xlws.FILTER(REF_Setup!$D$3:$D$5, REF_Setup!$D$3:$D$5&lt;&gt;""),IF(OR(_xlpm.s="", _xlpm.s=0),"Unclassified",IF(SUM(--ISNUMBER(SEARCH(_xlpm.phil, _xlpm.s)))&gt;0, "Y", "N")))</f>
        <v>N</v>
      </c>
      <c r="U244" s="4" t="str" cm="1">
        <f t="array" ref="U244">IF(M244="", "Unclassified", IF(AND(SUMPRODUCT(--ISNUMBER(SEARCH(REF_Setup!$B$3:$B$40,M244)))&gt;0,SUMPRODUCT(--ISNUMBER(SEARCH(REF_Setup!$F$3:$F$15,M244)))&gt;0),"Mixed",IF(SUMPRODUCT(--ISNUMBER(SEARCH(REF_Setup!$B$3:$B$40,M244)))&gt;0,"Strategic Only",IF(SUMPRODUCT(--ISNUMBER(SEARCH(REF_Setup!$F$3:$F$15,M244)))&gt;0,"VC Only","Unclassified"))))</f>
        <v>VC Only</v>
      </c>
    </row>
    <row r="245" spans="2:21" ht="101.5" x14ac:dyDescent="0.35">
      <c r="B245" s="4">
        <f t="shared" si="11"/>
        <v>243</v>
      </c>
      <c r="C245" s="4" t="str">
        <f>IFERROR(_xlfn.XLOOKUP($B245,Raw_Data!$A$3:$A$273,Raw_Data!$B$3:$B$273),"")</f>
        <v>UPSIDE Foods</v>
      </c>
      <c r="D245" s="4" t="str">
        <f>IFERROR(_xlfn.XLOOKUP($B245,Raw_Data!$A$3:$A$273,Raw_Data!$C$3:$C$273),"")</f>
        <v>Berkeley, CA</v>
      </c>
      <c r="E245" s="4">
        <f>IFERROR(_xlfn.XLOOKUP($B245,Raw_Data!$A$3:$A$273,Raw_Data!$D$3:$D$273),"")</f>
        <v>2015</v>
      </c>
      <c r="F245" s="4" t="str">
        <f>IFERROR(_xlfn.XLOOKUP($B245,Raw_Data!$A$3:$A$273,Raw_Data!$F$3:$F$273),"")</f>
        <v>Food &amp; Ag</v>
      </c>
      <c r="G245" s="35">
        <f>IFERROR(_xlfn.XLOOKUP($B245,Raw_Data!$A$3:$A$273,Raw_Data!$J$3:$J$273),"")</f>
        <v>43931</v>
      </c>
      <c r="H245" s="16" t="s">
        <v>1467</v>
      </c>
      <c r="I245" s="36">
        <f>IFERROR(_xlfn.XLOOKUP($B245,Raw_Data!$A$3:$A$273,Raw_Data!$I$3:$I$273),"")</f>
        <v>208.42</v>
      </c>
      <c r="J245" s="36">
        <f>IFERROR(_xlfn.XLOOKUP($B245,Raw_Data!$A$3:$A$273,Raw_Data!$L$3:$L$273),"")</f>
        <v>186.25</v>
      </c>
      <c r="K245" s="36">
        <f>IFERROR(_xlfn.XLOOKUP($B245,Raw_Data!$A$3:$A$273,Raw_Data!$M$3:$M$273),"")</f>
        <v>586</v>
      </c>
      <c r="L245" s="15">
        <f>IFERROR(_xlfn.XLOOKUP($B245,Raw_Data!$A$3:$A$273,Raw_Data!$Q$3:$Q$273),"")</f>
        <v>0</v>
      </c>
      <c r="M245" s="34" t="str">
        <f>IFERROR(_xlfn.XLOOKUP($B245,Raw_Data!$A$3:$A$273,Raw_Data!$R$3:$R$273),"")</f>
        <v>SoftBank Investment Advisers; Norwest Venture Partners; Cargill; CPT Capital; Builders VC; Dentsu Ventures; Tyson Ventures; EDBI; Whole Foods Market; Conti Ventures; McWin Partners; Prime Partners; Enfini Ventures; Advisors.Fund; Threshold Ventures; SOSV; BoxGroup; Fifty Years; Future Ventures; Humboldt Fund; Baleine &amp; Bjorn Capital; Finistere Ventures; gener8tor; Christiana Musk; John Mackey; Kimbal Musk; Richard Branson; William Gates; Temasek Holdings; and Westcott</v>
      </c>
      <c r="N245" s="16" cm="1">
        <f t="array" ref="N245">IF(M245="",0,COUNTA(_xlfn._xlws.FILTER(_xlfn.TEXTSPLIT(M245,";"), _xlfn.TEXTSPLIT(M245,";")&lt;&gt;"")))</f>
        <v>30</v>
      </c>
      <c r="O245" s="16" t="str">
        <f t="shared" si="9"/>
        <v>Y</v>
      </c>
      <c r="P245" s="19">
        <f>IFERROR(_xlfn.XLOOKUP($B245,Raw_Data!$A$3:$A$273,Raw_Data!$V$3:$V$273),"")</f>
        <v>0.2</v>
      </c>
      <c r="Q245" s="16" t="str">
        <f t="shared" si="10"/>
        <v>Y</v>
      </c>
      <c r="R245" s="32">
        <f>IFERROR(_xlfn.XLOOKUP($B245,Raw_Data!$A$3:$A$273,Raw_Data!$Y$3:$Y$273),"")</f>
        <v>0.83333333333333337</v>
      </c>
      <c r="S245" s="4" t="str" cm="1">
        <f t="array" ref="S245">_xlfn.LET(_xlpm.s, Raw_Data!W245,_xlpm.strat, _xlfn._xlws.FILTER(REF_Setup!$B$3:$B$40, REF_Setup!$B$3:$B$40&lt;&gt;""),IF(OR(_xlpm.s="",_xlpm.s=0),"Unclassified",IF(SUM(--ISNUMBER(SEARCH(_xlpm.strat, _xlpm.s)))&gt;0, "Y", "N"))
)</f>
        <v>Y</v>
      </c>
      <c r="T245" s="4" t="str" cm="1">
        <f t="array" ref="T245">_xlfn.LET(_xlpm.s,M245,_xlpm.phil, _xlfn._xlws.FILTER(REF_Setup!$D$3:$D$5, REF_Setup!$D$3:$D$5&lt;&gt;""),IF(OR(_xlpm.s="", _xlpm.s=0),"Unclassified",IF(SUM(--ISNUMBER(SEARCH(_xlpm.phil, _xlpm.s)))&gt;0, "Y", "N")))</f>
        <v>N</v>
      </c>
      <c r="U245" s="4" t="str" cm="1">
        <f t="array" ref="U245">IF(M245="", "Unclassified", IF(AND(SUMPRODUCT(--ISNUMBER(SEARCH(REF_Setup!$B$3:$B$40,M245)))&gt;0,SUMPRODUCT(--ISNUMBER(SEARCH(REF_Setup!$F$3:$F$15,M245)))&gt;0),"Mixed",IF(SUMPRODUCT(--ISNUMBER(SEARCH(REF_Setup!$B$3:$B$40,M245)))&gt;0,"Strategic Only",IF(SUMPRODUCT(--ISNUMBER(SEARCH(REF_Setup!$F$3:$F$15,M245)))&gt;0,"VC Only","Unclassified"))))</f>
        <v>Mixed</v>
      </c>
    </row>
    <row r="246" spans="2:21" x14ac:dyDescent="0.35">
      <c r="B246" s="4">
        <f t="shared" si="11"/>
        <v>244</v>
      </c>
      <c r="C246" s="4" t="str">
        <f>IFERROR(_xlfn.XLOOKUP($B246,Raw_Data!$A$3:$A$273,Raw_Data!$B$3:$B$273),"")</f>
        <v>Upstart Power</v>
      </c>
      <c r="D246" s="4" t="str">
        <f>IFERROR(_xlfn.XLOOKUP($B246,Raw_Data!$A$3:$A$273,Raw_Data!$C$3:$C$273),"")</f>
        <v>Southborough, MA</v>
      </c>
      <c r="E246" s="4">
        <f>IFERROR(_xlfn.XLOOKUP($B246,Raw_Data!$A$3:$A$273,Raw_Data!$D$3:$D$273),"")</f>
        <v>2017</v>
      </c>
      <c r="F246" s="4" t="str">
        <f>IFERROR(_xlfn.XLOOKUP($B246,Raw_Data!$A$3:$A$273,Raw_Data!$F$3:$F$273),"")</f>
        <v>Buildings</v>
      </c>
      <c r="G246" s="35">
        <f>IFERROR(_xlfn.XLOOKUP($B246,Raw_Data!$A$3:$A$273,Raw_Data!$J$3:$J$273),"")</f>
        <v>45488</v>
      </c>
      <c r="H246" s="16" t="s">
        <v>1465</v>
      </c>
      <c r="I246" s="36">
        <f>IFERROR(_xlfn.XLOOKUP($B246,Raw_Data!$A$3:$A$273,Raw_Data!$I$3:$I$273),"")</f>
        <v>68.290000000000006</v>
      </c>
      <c r="J246" s="36">
        <f>IFERROR(_xlfn.XLOOKUP($B246,Raw_Data!$A$3:$A$273,Raw_Data!$L$3:$L$273),"")</f>
        <v>22.52</v>
      </c>
      <c r="K246" s="36">
        <f>IFERROR(_xlfn.XLOOKUP($B246,Raw_Data!$A$3:$A$273,Raw_Data!$M$3:$M$273),"")</f>
        <v>46.52</v>
      </c>
      <c r="L246" s="15">
        <f>IFERROR(_xlfn.XLOOKUP($B246,Raw_Data!$A$3:$A$273,Raw_Data!$Q$3:$Q$273),"")</f>
        <v>0</v>
      </c>
      <c r="M246" s="34"/>
      <c r="N246" s="16" cm="1">
        <f t="array" ref="N246">IF(M246="",0,COUNTA(_xlfn._xlws.FILTER(_xlfn.TEXTSPLIT(M246,";"), _xlfn.TEXTSPLIT(M246,";")&lt;&gt;"")))</f>
        <v>0</v>
      </c>
      <c r="O246" s="16" t="str">
        <f t="shared" si="9"/>
        <v>Y</v>
      </c>
      <c r="P246" s="19" t="str">
        <f>IFERROR(_xlfn.XLOOKUP($B246,Raw_Data!$A$3:$A$273,Raw_Data!$V$3:$V$273),"")</f>
        <v>N/A</v>
      </c>
      <c r="Q246" s="16" t="str">
        <f t="shared" si="10"/>
        <v>Y</v>
      </c>
      <c r="R246" s="32" t="str">
        <f>IFERROR(_xlfn.XLOOKUP($B246,Raw_Data!$A$3:$A$273,Raw_Data!$Y$3:$Y$273),"")</f>
        <v>N/A</v>
      </c>
      <c r="S246" s="4" t="str" cm="1">
        <f t="array" ref="S246">_xlfn.LET(_xlpm.s, Raw_Data!W246,_xlpm.strat, _xlfn._xlws.FILTER(REF_Setup!$B$3:$B$40, REF_Setup!$B$3:$B$40&lt;&gt;""),IF(OR(_xlpm.s="",_xlpm.s=0),"Unclassified",IF(SUM(--ISNUMBER(SEARCH(_xlpm.strat, _xlpm.s)))&gt;0, "Y", "N"))
)</f>
        <v>Unclassified</v>
      </c>
      <c r="T246" s="4" t="str" cm="1">
        <f t="array" ref="T246">_xlfn.LET(_xlpm.s,M246,_xlpm.phil, _xlfn._xlws.FILTER(REF_Setup!$D$3:$D$5, REF_Setup!$D$3:$D$5&lt;&gt;""),IF(OR(_xlpm.s="", _xlpm.s=0),"Unclassified",IF(SUM(--ISNUMBER(SEARCH(_xlpm.phil, _xlpm.s)))&gt;0, "Y", "N")))</f>
        <v>Unclassified</v>
      </c>
      <c r="U246" s="4" t="str" cm="1">
        <f t="array" ref="U246">IF(M246="", "Unclassified", IF(AND(SUMPRODUCT(--ISNUMBER(SEARCH(REF_Setup!$B$3:$B$40,M246)))&gt;0,SUMPRODUCT(--ISNUMBER(SEARCH(REF_Setup!$F$3:$F$15,M246)))&gt;0),"Mixed",IF(SUMPRODUCT(--ISNUMBER(SEARCH(REF_Setup!$B$3:$B$40,M246)))&gt;0,"Strategic Only",IF(SUMPRODUCT(--ISNUMBER(SEARCH(REF_Setup!$F$3:$F$15,M246)))&gt;0,"VC Only","Unclassified"))))</f>
        <v>Unclassified</v>
      </c>
    </row>
    <row r="247" spans="2:21" x14ac:dyDescent="0.35">
      <c r="B247" s="4">
        <f t="shared" si="11"/>
        <v>245</v>
      </c>
      <c r="C247" s="4" t="str">
        <f>IFERROR(_xlfn.XLOOKUP($B247,Raw_Data!$A$3:$A$273,Raw_Data!$B$3:$B$273),"")</f>
        <v>Urbix</v>
      </c>
      <c r="D247" s="4" t="str">
        <f>IFERROR(_xlfn.XLOOKUP($B247,Raw_Data!$A$3:$A$273,Raw_Data!$C$3:$C$273),"")</f>
        <v>Mesa, AZ</v>
      </c>
      <c r="E247" s="4">
        <f>IFERROR(_xlfn.XLOOKUP($B247,Raw_Data!$A$3:$A$273,Raw_Data!$D$3:$D$273),"")</f>
        <v>2014</v>
      </c>
      <c r="F247" s="4" t="str">
        <f>IFERROR(_xlfn.XLOOKUP($B247,Raw_Data!$A$3:$A$273,Raw_Data!$F$3:$F$273),"")</f>
        <v>Mobility</v>
      </c>
      <c r="G247" s="35">
        <f>IFERROR(_xlfn.XLOOKUP($B247,Raw_Data!$A$3:$A$273,Raw_Data!$J$3:$J$273),"")</f>
        <v>45229</v>
      </c>
      <c r="H247" s="4" t="s">
        <v>75</v>
      </c>
      <c r="I247" s="36">
        <f>IFERROR(_xlfn.XLOOKUP($B247,Raw_Data!$A$3:$A$273,Raw_Data!$I$3:$I$273),"")</f>
        <v>36</v>
      </c>
      <c r="J247" s="36">
        <f>IFERROR(_xlfn.XLOOKUP($B247,Raw_Data!$A$3:$A$273,Raw_Data!$L$3:$L$273),"")</f>
        <v>32</v>
      </c>
      <c r="K247" s="36">
        <f>IFERROR(_xlfn.XLOOKUP($B247,Raw_Data!$A$3:$A$273,Raw_Data!$M$3:$M$273),"")</f>
        <v>0</v>
      </c>
      <c r="L247" s="15">
        <f>IFERROR(_xlfn.XLOOKUP($B247,Raw_Data!$A$3:$A$273,Raw_Data!$Q$3:$Q$273),"")</f>
        <v>0</v>
      </c>
      <c r="M247" s="34" t="str">
        <f>IFERROR(_xlfn.XLOOKUP($B247,Raw_Data!$A$3:$A$273,Raw_Data!$R$3:$R$273),"")</f>
        <v xml:space="preserve">Appian Capital Advisory </v>
      </c>
      <c r="N247" s="16" cm="1">
        <f t="array" ref="N247">IF(M247="",0,COUNTA(_xlfn._xlws.FILTER(_xlfn.TEXTSPLIT(M247,";"), _xlfn.TEXTSPLIT(M247,";")&lt;&gt;"")))</f>
        <v>1</v>
      </c>
      <c r="O247" s="16" t="str">
        <f t="shared" si="9"/>
        <v>N</v>
      </c>
      <c r="P247" s="19">
        <f>IFERROR(_xlfn.XLOOKUP($B247,Raw_Data!$A$3:$A$273,Raw_Data!$V$3:$V$273),"")</f>
        <v>0</v>
      </c>
      <c r="Q247" s="16" t="str">
        <f t="shared" si="10"/>
        <v>Y</v>
      </c>
      <c r="R247" s="32">
        <f>IFERROR(_xlfn.XLOOKUP($B247,Raw_Data!$A$3:$A$273,Raw_Data!$Y$3:$Y$273),"")</f>
        <v>1</v>
      </c>
      <c r="S247" s="4" t="str" cm="1">
        <f t="array" ref="S247">_xlfn.LET(_xlpm.s, Raw_Data!W247,_xlpm.strat, _xlfn._xlws.FILTER(REF_Setup!$B$3:$B$40, REF_Setup!$B$3:$B$40&lt;&gt;""),IF(OR(_xlpm.s="",_xlpm.s=0),"Unclassified",IF(SUM(--ISNUMBER(SEARCH(_xlpm.strat, _xlpm.s)))&gt;0, "Y", "N"))
)</f>
        <v>N</v>
      </c>
      <c r="T247" s="4" t="str" cm="1">
        <f t="array" ref="T247">_xlfn.LET(_xlpm.s,M247,_xlpm.phil, _xlfn._xlws.FILTER(REF_Setup!$D$3:$D$5, REF_Setup!$D$3:$D$5&lt;&gt;""),IF(OR(_xlpm.s="", _xlpm.s=0),"Unclassified",IF(SUM(--ISNUMBER(SEARCH(_xlpm.phil, _xlpm.s)))&gt;0, "Y", "N")))</f>
        <v>N</v>
      </c>
      <c r="U247" s="4" t="str" cm="1">
        <f t="array" ref="U247">IF(M247="", "Unclassified", IF(AND(SUMPRODUCT(--ISNUMBER(SEARCH(REF_Setup!$B$3:$B$40,M247)))&gt;0,SUMPRODUCT(--ISNUMBER(SEARCH(REF_Setup!$F$3:$F$15,M247)))&gt;0),"Mixed",IF(SUMPRODUCT(--ISNUMBER(SEARCH(REF_Setup!$B$3:$B$40,M247)))&gt;0,"Strategic Only",IF(SUMPRODUCT(--ISNUMBER(SEARCH(REF_Setup!$F$3:$F$15,M247)))&gt;0,"VC Only","Unclassified"))))</f>
        <v>VC Only</v>
      </c>
    </row>
    <row r="248" spans="2:21" x14ac:dyDescent="0.35">
      <c r="B248" s="4">
        <f t="shared" si="11"/>
        <v>246</v>
      </c>
      <c r="C248" s="4" t="str">
        <f>IFERROR(_xlfn.XLOOKUP($B248,Raw_Data!$A$3:$A$273,Raw_Data!$B$3:$B$273),"")</f>
        <v>Vartega</v>
      </c>
      <c r="D248" s="4" t="str">
        <f>IFERROR(_xlfn.XLOOKUP($B248,Raw_Data!$A$3:$A$273,Raw_Data!$C$3:$C$273),"")</f>
        <v>Denver, CO</v>
      </c>
      <c r="E248" s="4">
        <f>IFERROR(_xlfn.XLOOKUP($B248,Raw_Data!$A$3:$A$273,Raw_Data!$D$3:$D$273),"")</f>
        <v>2014</v>
      </c>
      <c r="F248" s="4" t="str">
        <f>IFERROR(_xlfn.XLOOKUP($B248,Raw_Data!$A$3:$A$273,Raw_Data!$F$3:$F$273),"")</f>
        <v>Industrial Decarbonization</v>
      </c>
      <c r="G248" s="35">
        <f>IFERROR(_xlfn.XLOOKUP($B248,Raw_Data!$A$3:$A$273,Raw_Data!$J$3:$J$273),"")</f>
        <v>44044</v>
      </c>
      <c r="H248" s="16" t="s">
        <v>1465</v>
      </c>
      <c r="I248" s="36">
        <f>IFERROR(_xlfn.XLOOKUP($B248,Raw_Data!$A$3:$A$273,Raw_Data!$I$3:$I$273),"")</f>
        <v>9.52</v>
      </c>
      <c r="J248" s="36">
        <f>IFERROR(_xlfn.XLOOKUP($B248,Raw_Data!$A$3:$A$273,Raw_Data!$L$3:$L$273),"")</f>
        <v>6</v>
      </c>
      <c r="K248" s="36">
        <f>IFERROR(_xlfn.XLOOKUP($B248,Raw_Data!$A$3:$A$273,Raw_Data!$M$3:$M$273),"")</f>
        <v>18</v>
      </c>
      <c r="L248" s="15">
        <f>IFERROR(_xlfn.XLOOKUP($B248,Raw_Data!$A$3:$A$273,Raw_Data!$Q$3:$Q$273),"")</f>
        <v>0</v>
      </c>
      <c r="M248" s="34" t="str">
        <f>IFERROR(_xlfn.XLOOKUP($B248,Raw_Data!$A$3:$A$273,Raw_Data!$R$3:$R$273),"")</f>
        <v>BELLE Impact Fund; Mickey Swortzel; Texas Halo Fund</v>
      </c>
      <c r="N248" s="16" cm="1">
        <f t="array" ref="N248">IF(M248="",0,COUNTA(_xlfn._xlws.FILTER(_xlfn.TEXTSPLIT(M248,";"), _xlfn.TEXTSPLIT(M248,";")&lt;&gt;"")))</f>
        <v>3</v>
      </c>
      <c r="O248" s="16" t="str">
        <f t="shared" si="9"/>
        <v>Y</v>
      </c>
      <c r="P248" s="19">
        <f>IFERROR(_xlfn.XLOOKUP($B248,Raw_Data!$A$3:$A$273,Raw_Data!$V$3:$V$273),"")</f>
        <v>0.33333333333333331</v>
      </c>
      <c r="Q248" s="16" t="str">
        <f t="shared" si="10"/>
        <v>Y</v>
      </c>
      <c r="R248" s="32">
        <f>IFERROR(_xlfn.XLOOKUP($B248,Raw_Data!$A$3:$A$273,Raw_Data!$Y$3:$Y$273),"")</f>
        <v>0.66666666666666663</v>
      </c>
      <c r="S248" s="4" t="str" cm="1">
        <f t="array" ref="S248">_xlfn.LET(_xlpm.s, Raw_Data!W248,_xlpm.strat, _xlfn._xlws.FILTER(REF_Setup!$B$3:$B$40, REF_Setup!$B$3:$B$40&lt;&gt;""),IF(OR(_xlpm.s="",_xlpm.s=0),"Unclassified",IF(SUM(--ISNUMBER(SEARCH(_xlpm.strat, _xlpm.s)))&gt;0, "Y", "N"))
)</f>
        <v>N</v>
      </c>
      <c r="T248" s="4" t="str" cm="1">
        <f t="array" ref="T248">_xlfn.LET(_xlpm.s,M248,_xlpm.phil, _xlfn._xlws.FILTER(REF_Setup!$D$3:$D$5, REF_Setup!$D$3:$D$5&lt;&gt;""),IF(OR(_xlpm.s="", _xlpm.s=0),"Unclassified",IF(SUM(--ISNUMBER(SEARCH(_xlpm.phil, _xlpm.s)))&gt;0, "Y", "N")))</f>
        <v>N</v>
      </c>
      <c r="U248" s="4" t="str" cm="1">
        <f t="array" ref="U248">IF(M248="", "Unclassified", IF(AND(SUMPRODUCT(--ISNUMBER(SEARCH(REF_Setup!$B$3:$B$40,M248)))&gt;0,SUMPRODUCT(--ISNUMBER(SEARCH(REF_Setup!$F$3:$F$15,M248)))&gt;0),"Mixed",IF(SUMPRODUCT(--ISNUMBER(SEARCH(REF_Setup!$B$3:$B$40,M248)))&gt;0,"Strategic Only",IF(SUMPRODUCT(--ISNUMBER(SEARCH(REF_Setup!$F$3:$F$15,M248)))&gt;0,"VC Only","Unclassified"))))</f>
        <v>VC Only</v>
      </c>
    </row>
    <row r="249" spans="2:21" ht="43.5" x14ac:dyDescent="0.35">
      <c r="B249" s="4">
        <f t="shared" si="11"/>
        <v>247</v>
      </c>
      <c r="C249" s="4" t="str">
        <f>IFERROR(_xlfn.XLOOKUP($B249,Raw_Data!$A$3:$A$273,Raw_Data!$B$3:$B$273),"")</f>
        <v>Vartega</v>
      </c>
      <c r="D249" s="4" t="str">
        <f>IFERROR(_xlfn.XLOOKUP($B249,Raw_Data!$A$3:$A$273,Raw_Data!$C$3:$C$273),"")</f>
        <v>Denver, CO</v>
      </c>
      <c r="E249" s="4">
        <f>IFERROR(_xlfn.XLOOKUP($B249,Raw_Data!$A$3:$A$273,Raw_Data!$D$3:$D$273),"")</f>
        <v>2014</v>
      </c>
      <c r="F249" s="4" t="str">
        <f>IFERROR(_xlfn.XLOOKUP($B249,Raw_Data!$A$3:$A$273,Raw_Data!$F$3:$F$273),"")</f>
        <v>Industrial Decarbonization</v>
      </c>
      <c r="G249" s="35">
        <f>IFERROR(_xlfn.XLOOKUP($B249,Raw_Data!$A$3:$A$273,Raw_Data!$J$3:$J$273),"")</f>
        <v>44789</v>
      </c>
      <c r="I249" s="36">
        <f>IFERROR(_xlfn.XLOOKUP($B249,Raw_Data!$A$3:$A$273,Raw_Data!$I$3:$I$273),"")</f>
        <v>16.920000000000002</v>
      </c>
      <c r="J249" s="36">
        <f>IFERROR(_xlfn.XLOOKUP($B249,Raw_Data!$A$3:$A$273,Raw_Data!$L$3:$L$273),"")</f>
        <v>5</v>
      </c>
      <c r="K249" s="36">
        <f>IFERROR(_xlfn.XLOOKUP($B249,Raw_Data!$A$3:$A$273,Raw_Data!$M$3:$M$273),"")</f>
        <v>21.5</v>
      </c>
      <c r="L249" s="15">
        <f>IFERROR(_xlfn.XLOOKUP($B249,Raw_Data!$A$3:$A$273,Raw_Data!$Q$3:$Q$273),"")</f>
        <v>0</v>
      </c>
      <c r="M249" s="34" t="str">
        <f>IFERROR(_xlfn.XLOOKUP($B249,Raw_Data!$A$3:$A$273,Raw_Data!$R$3:$R$273),"")</f>
        <v>Autodesk Foundation; BELLE Impact Fund; Denver Ventures; HG Ventures; Keiretsu Forum; Monfort; New Climate Ventures; Seed I Pod; SWAN Impact Network; Texas Halo Fund</v>
      </c>
      <c r="N249" s="16" cm="1">
        <f t="array" ref="N249">IF(M249="",0,COUNTA(_xlfn._xlws.FILTER(_xlfn.TEXTSPLIT(M249,";"), _xlfn.TEXTSPLIT(M249,";")&lt;&gt;"")))</f>
        <v>10</v>
      </c>
      <c r="O249" s="16" t="str">
        <f t="shared" si="9"/>
        <v>Y</v>
      </c>
      <c r="P249" s="19">
        <f>IFERROR(_xlfn.XLOOKUP($B249,Raw_Data!$A$3:$A$273,Raw_Data!$V$3:$V$273),"")</f>
        <v>0.6</v>
      </c>
      <c r="Q249" s="16" t="str">
        <f t="shared" si="10"/>
        <v>Y</v>
      </c>
      <c r="R249" s="32">
        <f>IFERROR(_xlfn.XLOOKUP($B249,Raw_Data!$A$3:$A$273,Raw_Data!$Y$3:$Y$273),"")</f>
        <v>0.4</v>
      </c>
      <c r="S249" s="4" t="str" cm="1">
        <f t="array" ref="S249">_xlfn.LET(_xlpm.s, Raw_Data!W249,_xlpm.strat, _xlfn._xlws.FILTER(REF_Setup!$B$3:$B$40, REF_Setup!$B$3:$B$40&lt;&gt;""),IF(OR(_xlpm.s="",_xlpm.s=0),"Unclassified",IF(SUM(--ISNUMBER(SEARCH(_xlpm.strat, _xlpm.s)))&gt;0, "Y", "N"))
)</f>
        <v>N</v>
      </c>
      <c r="T249" s="4" t="str" cm="1">
        <f t="array" ref="T249">_xlfn.LET(_xlpm.s,M249,_xlpm.phil, _xlfn._xlws.FILTER(REF_Setup!$D$3:$D$5, REF_Setup!$D$3:$D$5&lt;&gt;""),IF(OR(_xlpm.s="", _xlpm.s=0),"Unclassified",IF(SUM(--ISNUMBER(SEARCH(_xlpm.phil, _xlpm.s)))&gt;0, "Y", "N")))</f>
        <v>Y</v>
      </c>
      <c r="U249" s="4" t="str" cm="1">
        <f t="array" ref="U249">IF(M249="", "Unclassified", IF(AND(SUMPRODUCT(--ISNUMBER(SEARCH(REF_Setup!$B$3:$B$40,M249)))&gt;0,SUMPRODUCT(--ISNUMBER(SEARCH(REF_Setup!$F$3:$F$15,M249)))&gt;0),"Mixed",IF(SUMPRODUCT(--ISNUMBER(SEARCH(REF_Setup!$B$3:$B$40,M249)))&gt;0,"Strategic Only",IF(SUMPRODUCT(--ISNUMBER(SEARCH(REF_Setup!$F$3:$F$15,M249)))&gt;0,"VC Only","Unclassified"))))</f>
        <v>VC Only</v>
      </c>
    </row>
    <row r="250" spans="2:21" ht="29" x14ac:dyDescent="0.35">
      <c r="B250" s="4">
        <f t="shared" si="11"/>
        <v>248</v>
      </c>
      <c r="C250" s="4" t="str">
        <f>IFERROR(_xlfn.XLOOKUP($B250,Raw_Data!$A$3:$A$273,Raw_Data!$B$3:$B$273),"")</f>
        <v>VEIR</v>
      </c>
      <c r="D250" s="4" t="str">
        <f>IFERROR(_xlfn.XLOOKUP($B250,Raw_Data!$A$3:$A$273,Raw_Data!$C$3:$C$273),"")</f>
        <v>Woburn, MA</v>
      </c>
      <c r="E250" s="4">
        <f>IFERROR(_xlfn.XLOOKUP($B250,Raw_Data!$A$3:$A$273,Raw_Data!$D$3:$D$273),"")</f>
        <v>2019</v>
      </c>
      <c r="F250" s="4" t="str">
        <f>IFERROR(_xlfn.XLOOKUP($B250,Raw_Data!$A$3:$A$273,Raw_Data!$F$3:$F$273),"")</f>
        <v>Renewables</v>
      </c>
      <c r="G250" s="35">
        <f>IFERROR(_xlfn.XLOOKUP($B250,Raw_Data!$A$3:$A$273,Raw_Data!$J$3:$J$273),"")</f>
        <v>45071</v>
      </c>
      <c r="H250" s="16" t="s">
        <v>1465</v>
      </c>
      <c r="I250" s="36">
        <f>IFERROR(_xlfn.XLOOKUP($B250,Raw_Data!$A$3:$A$273,Raw_Data!$I$3:$I$273),"")</f>
        <v>41.9</v>
      </c>
      <c r="J250" s="36">
        <f>IFERROR(_xlfn.XLOOKUP($B250,Raw_Data!$A$3:$A$273,Raw_Data!$L$3:$L$273),"")</f>
        <v>24.9</v>
      </c>
      <c r="K250" s="36">
        <f>IFERROR(_xlfn.XLOOKUP($B250,Raw_Data!$A$3:$A$273,Raw_Data!$M$3:$M$273),"")</f>
        <v>77.900000000000006</v>
      </c>
      <c r="L250" s="15">
        <f>IFERROR(_xlfn.XLOOKUP($B250,Raw_Data!$A$3:$A$273,Raw_Data!$Q$3:$Q$273),"")</f>
        <v>0</v>
      </c>
      <c r="M250" s="34" t="str">
        <f>IFERROR(_xlfn.XLOOKUP($B250,Raw_Data!$A$3:$A$273,Raw_Data!$R$3:$R$273),"")</f>
        <v>Breakthrough Energy; Congruent Ventures; Engine Ventures; F-Prime Capital; Galvanize Climate Solutions; VXI Capital Management</v>
      </c>
      <c r="N250" s="16" cm="1">
        <f t="array" ref="N250">IF(M250="",0,COUNTA(_xlfn._xlws.FILTER(_xlfn.TEXTSPLIT(M250,";"), _xlfn.TEXTSPLIT(M250,";")&lt;&gt;"")))</f>
        <v>6</v>
      </c>
      <c r="O250" s="16" t="str">
        <f t="shared" si="9"/>
        <v>N</v>
      </c>
      <c r="P250" s="19">
        <f>IFERROR(_xlfn.XLOOKUP($B250,Raw_Data!$A$3:$A$273,Raw_Data!$V$3:$V$273),"")</f>
        <v>0</v>
      </c>
      <c r="Q250" s="16" t="str">
        <f t="shared" si="10"/>
        <v>Y</v>
      </c>
      <c r="R250" s="32">
        <f>IFERROR(_xlfn.XLOOKUP($B250,Raw_Data!$A$3:$A$273,Raw_Data!$Y$3:$Y$273),"")</f>
        <v>1</v>
      </c>
      <c r="S250" s="4" t="str" cm="1">
        <f t="array" ref="S250">_xlfn.LET(_xlpm.s, Raw_Data!W250,_xlpm.strat, _xlfn._xlws.FILTER(REF_Setup!$B$3:$B$40, REF_Setup!$B$3:$B$40&lt;&gt;""),IF(OR(_xlpm.s="",_xlpm.s=0),"Unclassified",IF(SUM(--ISNUMBER(SEARCH(_xlpm.strat, _xlpm.s)))&gt;0, "Y", "N"))
)</f>
        <v>N</v>
      </c>
      <c r="T250" s="4" t="str" cm="1">
        <f t="array" ref="T250">_xlfn.LET(_xlpm.s,M250,_xlpm.phil, _xlfn._xlws.FILTER(REF_Setup!$D$3:$D$5, REF_Setup!$D$3:$D$5&lt;&gt;""),IF(OR(_xlpm.s="", _xlpm.s=0),"Unclassified",IF(SUM(--ISNUMBER(SEARCH(_xlpm.phil, _xlpm.s)))&gt;0, "Y", "N")))</f>
        <v>N</v>
      </c>
      <c r="U250" s="4" t="str" cm="1">
        <f t="array" ref="U250">IF(M250="", "Unclassified", IF(AND(SUMPRODUCT(--ISNUMBER(SEARCH(REF_Setup!$B$3:$B$40,M250)))&gt;0,SUMPRODUCT(--ISNUMBER(SEARCH(REF_Setup!$F$3:$F$15,M250)))&gt;0),"Mixed",IF(SUMPRODUCT(--ISNUMBER(SEARCH(REF_Setup!$B$3:$B$40,M250)))&gt;0,"Strategic Only",IF(SUMPRODUCT(--ISNUMBER(SEARCH(REF_Setup!$F$3:$F$15,M250)))&gt;0,"VC Only","Unclassified"))))</f>
        <v>VC Only</v>
      </c>
    </row>
    <row r="251" spans="2:21" x14ac:dyDescent="0.35">
      <c r="B251" s="4">
        <f t="shared" si="11"/>
        <v>249</v>
      </c>
      <c r="C251" s="4" t="str">
        <f>IFERROR(_xlfn.XLOOKUP($B251,Raw_Data!$A$3:$A$273,Raw_Data!$B$3:$B$273),"")</f>
        <v>Verdafresh</v>
      </c>
      <c r="D251" s="4" t="str">
        <f>IFERROR(_xlfn.XLOOKUP($B251,Raw_Data!$A$3:$A$273,Raw_Data!$C$3:$C$273),"")</f>
        <v>Wayne, PA</v>
      </c>
      <c r="E251" s="4">
        <f>IFERROR(_xlfn.XLOOKUP($B251,Raw_Data!$A$3:$A$273,Raw_Data!$D$3:$D$273),"")</f>
        <v>2004</v>
      </c>
      <c r="F251" s="4" t="str">
        <f>IFERROR(_xlfn.XLOOKUP($B251,Raw_Data!$A$3:$A$273,Raw_Data!$F$3:$F$273),"")</f>
        <v>Food &amp; Ag</v>
      </c>
      <c r="G251" s="35">
        <f>IFERROR(_xlfn.XLOOKUP($B251,Raw_Data!$A$3:$A$273,Raw_Data!$J$3:$J$273),"")</f>
        <v>45098</v>
      </c>
      <c r="H251" s="16" t="s">
        <v>1467</v>
      </c>
      <c r="I251" s="36">
        <f>IFERROR(_xlfn.XLOOKUP($B251,Raw_Data!$A$3:$A$273,Raw_Data!$I$3:$I$273),"")</f>
        <v>7</v>
      </c>
      <c r="J251" s="36">
        <f>IFERROR(_xlfn.XLOOKUP($B251,Raw_Data!$A$3:$A$273,Raw_Data!$L$3:$L$273),"")</f>
        <v>2</v>
      </c>
      <c r="K251" s="36">
        <f>IFERROR(_xlfn.XLOOKUP($B251,Raw_Data!$A$3:$A$273,Raw_Data!$M$3:$M$273),"")</f>
        <v>10.5</v>
      </c>
      <c r="L251" s="15">
        <f>IFERROR(_xlfn.XLOOKUP($B251,Raw_Data!$A$3:$A$273,Raw_Data!$Q$3:$Q$273),"")</f>
        <v>0</v>
      </c>
      <c r="M251" s="34"/>
      <c r="N251" s="16" cm="1">
        <f t="array" ref="N251">IF(M251="",0,COUNTA(_xlfn._xlws.FILTER(_xlfn.TEXTSPLIT(M251,";"), _xlfn.TEXTSPLIT(M251,";")&lt;&gt;"")))</f>
        <v>0</v>
      </c>
      <c r="O251" s="16" t="str">
        <f t="shared" si="9"/>
        <v>Y</v>
      </c>
      <c r="P251" s="19" t="str">
        <f>IFERROR(_xlfn.XLOOKUP($B251,Raw_Data!$A$3:$A$273,Raw_Data!$V$3:$V$273),"")</f>
        <v>N/A</v>
      </c>
      <c r="Q251" s="16" t="str">
        <f t="shared" si="10"/>
        <v>Y</v>
      </c>
      <c r="R251" s="32" t="str">
        <f>IFERROR(_xlfn.XLOOKUP($B251,Raw_Data!$A$3:$A$273,Raw_Data!$Y$3:$Y$273),"")</f>
        <v>N/A</v>
      </c>
      <c r="S251" s="4" t="str" cm="1">
        <f t="array" ref="S251">_xlfn.LET(_xlpm.s, Raw_Data!W251,_xlpm.strat, _xlfn._xlws.FILTER(REF_Setup!$B$3:$B$40, REF_Setup!$B$3:$B$40&lt;&gt;""),IF(OR(_xlpm.s="",_xlpm.s=0),"Unclassified",IF(SUM(--ISNUMBER(SEARCH(_xlpm.strat, _xlpm.s)))&gt;0, "Y", "N"))
)</f>
        <v>Unclassified</v>
      </c>
      <c r="T251" s="4" t="str" cm="1">
        <f t="array" ref="T251">_xlfn.LET(_xlpm.s,M251,_xlpm.phil, _xlfn._xlws.FILTER(REF_Setup!$D$3:$D$5, REF_Setup!$D$3:$D$5&lt;&gt;""),IF(OR(_xlpm.s="", _xlpm.s=0),"Unclassified",IF(SUM(--ISNUMBER(SEARCH(_xlpm.phil, _xlpm.s)))&gt;0, "Y", "N")))</f>
        <v>Unclassified</v>
      </c>
      <c r="U251" s="4" t="str" cm="1">
        <f t="array" ref="U251">IF(M251="", "Unclassified", IF(AND(SUMPRODUCT(--ISNUMBER(SEARCH(REF_Setup!$B$3:$B$40,M251)))&gt;0,SUMPRODUCT(--ISNUMBER(SEARCH(REF_Setup!$F$3:$F$15,M251)))&gt;0),"Mixed",IF(SUMPRODUCT(--ISNUMBER(SEARCH(REF_Setup!$B$3:$B$40,M251)))&gt;0,"Strategic Only",IF(SUMPRODUCT(--ISNUMBER(SEARCH(REF_Setup!$F$3:$F$15,M251)))&gt;0,"VC Only","Unclassified"))))</f>
        <v>Unclassified</v>
      </c>
    </row>
    <row r="252" spans="2:21" x14ac:dyDescent="0.35">
      <c r="B252" s="4">
        <f t="shared" si="11"/>
        <v>250</v>
      </c>
      <c r="C252" s="4" t="str">
        <f>IFERROR(_xlfn.XLOOKUP($B252,Raw_Data!$A$3:$A$273,Raw_Data!$B$3:$B$273),"")</f>
        <v>Verdox</v>
      </c>
      <c r="D252" s="4" t="str">
        <f>IFERROR(_xlfn.XLOOKUP($B252,Raw_Data!$A$3:$A$273,Raw_Data!$C$3:$C$273),"")</f>
        <v>Woburn, MA</v>
      </c>
      <c r="E252" s="4">
        <f>IFERROR(_xlfn.XLOOKUP($B252,Raw_Data!$A$3:$A$273,Raw_Data!$D$3:$D$273),"")</f>
        <v>2019</v>
      </c>
      <c r="F252" s="4" t="str">
        <f>IFERROR(_xlfn.XLOOKUP($B252,Raw_Data!$A$3:$A$273,Raw_Data!$F$3:$F$273),"")</f>
        <v>CDR</v>
      </c>
      <c r="G252" s="35">
        <f>IFERROR(_xlfn.XLOOKUP($B252,Raw_Data!$A$3:$A$273,Raw_Data!$J$3:$J$273),"")</f>
        <v>44546</v>
      </c>
      <c r="H252" s="16" t="s">
        <v>1465</v>
      </c>
      <c r="I252" s="36">
        <f>IFERROR(_xlfn.XLOOKUP($B252,Raw_Data!$A$3:$A$273,Raw_Data!$I$3:$I$273),"")</f>
        <v>70.08</v>
      </c>
      <c r="J252" s="36">
        <f>IFERROR(_xlfn.XLOOKUP($B252,Raw_Data!$A$3:$A$273,Raw_Data!$L$3:$L$273),"")</f>
        <v>48.9</v>
      </c>
      <c r="K252" s="36">
        <f>IFERROR(_xlfn.XLOOKUP($B252,Raw_Data!$A$3:$A$273,Raw_Data!$M$3:$M$273),"")</f>
        <v>198.9</v>
      </c>
      <c r="L252" s="15">
        <f>IFERROR(_xlfn.XLOOKUP($B252,Raw_Data!$A$3:$A$273,Raw_Data!$Q$3:$Q$273),"")</f>
        <v>0</v>
      </c>
      <c r="M252" s="34"/>
      <c r="N252" s="16" cm="1">
        <f t="array" ref="N252">IF(M252="",0,COUNTA(_xlfn._xlws.FILTER(_xlfn.TEXTSPLIT(M252,";"), _xlfn.TEXTSPLIT(M252,";")&lt;&gt;"")))</f>
        <v>0</v>
      </c>
      <c r="O252" s="16" t="str">
        <f t="shared" si="9"/>
        <v>Y</v>
      </c>
      <c r="P252" s="19" t="str">
        <f>IFERROR(_xlfn.XLOOKUP($B252,Raw_Data!$A$3:$A$273,Raw_Data!$V$3:$V$273),"")</f>
        <v>N/A</v>
      </c>
      <c r="Q252" s="16" t="str">
        <f t="shared" si="10"/>
        <v>Y</v>
      </c>
      <c r="R252" s="32" t="str">
        <f>IFERROR(_xlfn.XLOOKUP($B252,Raw_Data!$A$3:$A$273,Raw_Data!$Y$3:$Y$273),"")</f>
        <v>N/A</v>
      </c>
      <c r="S252" s="4" t="str" cm="1">
        <f t="array" ref="S252">_xlfn.LET(_xlpm.s, Raw_Data!W252,_xlpm.strat, _xlfn._xlws.FILTER(REF_Setup!$B$3:$B$40, REF_Setup!$B$3:$B$40&lt;&gt;""),IF(OR(_xlpm.s="",_xlpm.s=0),"Unclassified",IF(SUM(--ISNUMBER(SEARCH(_xlpm.strat, _xlpm.s)))&gt;0, "Y", "N"))
)</f>
        <v>Unclassified</v>
      </c>
      <c r="T252" s="4" t="str" cm="1">
        <f t="array" ref="T252">_xlfn.LET(_xlpm.s,M252,_xlpm.phil, _xlfn._xlws.FILTER(REF_Setup!$D$3:$D$5, REF_Setup!$D$3:$D$5&lt;&gt;""),IF(OR(_xlpm.s="", _xlpm.s=0),"Unclassified",IF(SUM(--ISNUMBER(SEARCH(_xlpm.phil, _xlpm.s)))&gt;0, "Y", "N")))</f>
        <v>Unclassified</v>
      </c>
      <c r="U252" s="4" t="str" cm="1">
        <f t="array" ref="U252">IF(M252="", "Unclassified", IF(AND(SUMPRODUCT(--ISNUMBER(SEARCH(REF_Setup!$B$3:$B$40,M252)))&gt;0,SUMPRODUCT(--ISNUMBER(SEARCH(REF_Setup!$F$3:$F$15,M252)))&gt;0),"Mixed",IF(SUMPRODUCT(--ISNUMBER(SEARCH(REF_Setup!$B$3:$B$40,M252)))&gt;0,"Strategic Only",IF(SUMPRODUCT(--ISNUMBER(SEARCH(REF_Setup!$F$3:$F$15,M252)))&gt;0,"VC Only","Unclassified"))))</f>
        <v>Unclassified</v>
      </c>
    </row>
    <row r="253" spans="2:21" x14ac:dyDescent="0.35">
      <c r="B253" s="4">
        <f t="shared" si="11"/>
        <v>251</v>
      </c>
      <c r="C253" s="4" t="str">
        <f>IFERROR(_xlfn.XLOOKUP($B253,Raw_Data!$A$3:$A$273,Raw_Data!$B$3:$B$273),"")</f>
        <v>Verenovo Energy</v>
      </c>
      <c r="D253" s="4" t="str">
        <f>IFERROR(_xlfn.XLOOKUP($B253,Raw_Data!$A$3:$A$273,Raw_Data!$C$3:$C$273),"")</f>
        <v>North Wilkesboro, NC</v>
      </c>
      <c r="E253" s="4">
        <f>IFERROR(_xlfn.XLOOKUP($B253,Raw_Data!$A$3:$A$273,Raw_Data!$D$3:$D$273),"")</f>
        <v>2022</v>
      </c>
      <c r="F253" s="4" t="str">
        <f>IFERROR(_xlfn.XLOOKUP($B253,Raw_Data!$A$3:$A$273,Raw_Data!$F$3:$F$273),"")</f>
        <v>CDR</v>
      </c>
      <c r="G253" s="35">
        <f>IFERROR(_xlfn.XLOOKUP($B253,Raw_Data!$A$3:$A$273,Raw_Data!$J$3:$J$273),"")</f>
        <v>45425</v>
      </c>
      <c r="H253" s="16" t="s">
        <v>1466</v>
      </c>
      <c r="I253" s="36">
        <f>IFERROR(_xlfn.XLOOKUP($B253,Raw_Data!$A$3:$A$273,Raw_Data!$I$3:$I$273),"")</f>
        <v>0.14000000000000001</v>
      </c>
      <c r="J253" s="36">
        <f>IFERROR(_xlfn.XLOOKUP($B253,Raw_Data!$A$3:$A$273,Raw_Data!$L$3:$L$273),"")</f>
        <v>0.13</v>
      </c>
      <c r="K253" s="36">
        <f>IFERROR(_xlfn.XLOOKUP($B253,Raw_Data!$A$3:$A$273,Raw_Data!$M$3:$M$273),"")</f>
        <v>1.25</v>
      </c>
      <c r="L253" s="15">
        <f>IFERROR(_xlfn.XLOOKUP($B253,Raw_Data!$A$3:$A$273,Raw_Data!$Q$3:$Q$273),"")</f>
        <v>0</v>
      </c>
      <c r="M253" s="34"/>
      <c r="N253" s="16" cm="1">
        <f t="array" ref="N253">IF(M253="",0,COUNTA(_xlfn._xlws.FILTER(_xlfn.TEXTSPLIT(M253,";"), _xlfn.TEXTSPLIT(M253,";")&lt;&gt;"")))</f>
        <v>0</v>
      </c>
      <c r="O253" s="16" t="str">
        <f t="shared" si="9"/>
        <v>Y</v>
      </c>
      <c r="P253" s="19" t="str">
        <f>IFERROR(_xlfn.XLOOKUP($B253,Raw_Data!$A$3:$A$273,Raw_Data!$V$3:$V$273),"")</f>
        <v>N/A</v>
      </c>
      <c r="Q253" s="16" t="str">
        <f t="shared" si="10"/>
        <v>Y</v>
      </c>
      <c r="R253" s="32" t="str">
        <f>IFERROR(_xlfn.XLOOKUP($B253,Raw_Data!$A$3:$A$273,Raw_Data!$Y$3:$Y$273),"")</f>
        <v>N/A</v>
      </c>
      <c r="S253" s="4" t="str" cm="1">
        <f t="array" ref="S253">_xlfn.LET(_xlpm.s, Raw_Data!W253,_xlpm.strat, _xlfn._xlws.FILTER(REF_Setup!$B$3:$B$40, REF_Setup!$B$3:$B$40&lt;&gt;""),IF(OR(_xlpm.s="",_xlpm.s=0),"Unclassified",IF(SUM(--ISNUMBER(SEARCH(_xlpm.strat, _xlpm.s)))&gt;0, "Y", "N"))
)</f>
        <v>Unclassified</v>
      </c>
      <c r="T253" s="4" t="str" cm="1">
        <f t="array" ref="T253">_xlfn.LET(_xlpm.s,M253,_xlpm.phil, _xlfn._xlws.FILTER(REF_Setup!$D$3:$D$5, REF_Setup!$D$3:$D$5&lt;&gt;""),IF(OR(_xlpm.s="", _xlpm.s=0),"Unclassified",IF(SUM(--ISNUMBER(SEARCH(_xlpm.phil, _xlpm.s)))&gt;0, "Y", "N")))</f>
        <v>Unclassified</v>
      </c>
      <c r="U253" s="4" t="str" cm="1">
        <f t="array" ref="U253">IF(M253="", "Unclassified", IF(AND(SUMPRODUCT(--ISNUMBER(SEARCH(REF_Setup!$B$3:$B$40,M253)))&gt;0,SUMPRODUCT(--ISNUMBER(SEARCH(REF_Setup!$F$3:$F$15,M253)))&gt;0),"Mixed",IF(SUMPRODUCT(--ISNUMBER(SEARCH(REF_Setup!$B$3:$B$40,M253)))&gt;0,"Strategic Only",IF(SUMPRODUCT(--ISNUMBER(SEARCH(REF_Setup!$F$3:$F$15,M253)))&gt;0,"VC Only","Unclassified"))))</f>
        <v>Unclassified</v>
      </c>
    </row>
    <row r="254" spans="2:21" ht="29" x14ac:dyDescent="0.35">
      <c r="B254" s="4">
        <f t="shared" si="11"/>
        <v>252</v>
      </c>
      <c r="C254" s="4" t="str">
        <f>IFERROR(_xlfn.XLOOKUP($B254,Raw_Data!$A$3:$A$273,Raw_Data!$B$3:$B$273),"")</f>
        <v>Vestaron</v>
      </c>
      <c r="D254" s="4" t="str">
        <f>IFERROR(_xlfn.XLOOKUP($B254,Raw_Data!$A$3:$A$273,Raw_Data!$C$3:$C$273),"")</f>
        <v>Durham, NC</v>
      </c>
      <c r="E254" s="4">
        <f>IFERROR(_xlfn.XLOOKUP($B254,Raw_Data!$A$3:$A$273,Raw_Data!$D$3:$D$273),"")</f>
        <v>2005</v>
      </c>
      <c r="F254" s="4" t="str">
        <f>IFERROR(_xlfn.XLOOKUP($B254,Raw_Data!$A$3:$A$273,Raw_Data!$F$3:$F$273),"")</f>
        <v>Food &amp; Ag</v>
      </c>
      <c r="G254" s="35">
        <f>IFERROR(_xlfn.XLOOKUP($B254,Raw_Data!$A$3:$A$273,Raw_Data!$J$3:$J$273),"")</f>
        <v>44237</v>
      </c>
      <c r="H254" s="16" t="s">
        <v>1467</v>
      </c>
      <c r="I254" s="36">
        <f>IFERROR(_xlfn.XLOOKUP($B254,Raw_Data!$A$3:$A$273,Raw_Data!$I$3:$I$273),"")</f>
        <v>107.33</v>
      </c>
      <c r="J254" s="36">
        <f>IFERROR(_xlfn.XLOOKUP($B254,Raw_Data!$A$3:$A$273,Raw_Data!$L$3:$L$273),"")</f>
        <v>21</v>
      </c>
      <c r="K254" s="36">
        <f>IFERROR(_xlfn.XLOOKUP($B254,Raw_Data!$A$3:$A$273,Raw_Data!$M$3:$M$273),"")</f>
        <v>111</v>
      </c>
      <c r="L254" s="15">
        <f>IFERROR(_xlfn.XLOOKUP($B254,Raw_Data!$A$3:$A$273,Raw_Data!$Q$3:$Q$273),"")</f>
        <v>0.12619047619047619</v>
      </c>
      <c r="M254" s="34" t="str">
        <f>IFERROR(_xlfn.XLOOKUP($B254,Raw_Data!$A$3:$A$273,Raw_Data!$R$3:$R$273),"")</f>
        <v>Cavallo Ventures; Conti Ventures; Northpond Ventures; Novo Holdings; Syngenta Group Ventures</v>
      </c>
      <c r="N254" s="16" cm="1">
        <f t="array" ref="N254">IF(M254="",0,COUNTA(_xlfn._xlws.FILTER(_xlfn.TEXTSPLIT(M254,";"), _xlfn.TEXTSPLIT(M254,";")&lt;&gt;"")))</f>
        <v>5</v>
      </c>
      <c r="O254" s="16" t="str">
        <f t="shared" si="9"/>
        <v>Y</v>
      </c>
      <c r="P254" s="19">
        <f>IFERROR(_xlfn.XLOOKUP($B254,Raw_Data!$A$3:$A$273,Raw_Data!$V$3:$V$273),"")</f>
        <v>0.2</v>
      </c>
      <c r="Q254" s="16" t="str">
        <f t="shared" si="10"/>
        <v>Y</v>
      </c>
      <c r="R254" s="32">
        <f>IFERROR(_xlfn.XLOOKUP($B254,Raw_Data!$A$3:$A$273,Raw_Data!$Y$3:$Y$273),"")</f>
        <v>0.8</v>
      </c>
      <c r="S254" s="4" t="str" cm="1">
        <f t="array" ref="S254">_xlfn.LET(_xlpm.s, Raw_Data!W254,_xlpm.strat, _xlfn._xlws.FILTER(REF_Setup!$B$3:$B$40, REF_Setup!$B$3:$B$40&lt;&gt;""),IF(OR(_xlpm.s="",_xlpm.s=0),"Unclassified",IF(SUM(--ISNUMBER(SEARCH(_xlpm.strat, _xlpm.s)))&gt;0, "Y", "N"))
)</f>
        <v>N</v>
      </c>
      <c r="T254" s="4" t="str" cm="1">
        <f t="array" ref="T254">_xlfn.LET(_xlpm.s,M254,_xlpm.phil, _xlfn._xlws.FILTER(REF_Setup!$D$3:$D$5, REF_Setup!$D$3:$D$5&lt;&gt;""),IF(OR(_xlpm.s="", _xlpm.s=0),"Unclassified",IF(SUM(--ISNUMBER(SEARCH(_xlpm.phil, _xlpm.s)))&gt;0, "Y", "N")))</f>
        <v>N</v>
      </c>
      <c r="U254" s="4" t="str" cm="1">
        <f t="array" ref="U254">IF(M254="", "Unclassified", IF(AND(SUMPRODUCT(--ISNUMBER(SEARCH(REF_Setup!$B$3:$B$40,M254)))&gt;0,SUMPRODUCT(--ISNUMBER(SEARCH(REF_Setup!$F$3:$F$15,M254)))&gt;0),"Mixed",IF(SUMPRODUCT(--ISNUMBER(SEARCH(REF_Setup!$B$3:$B$40,M254)))&gt;0,"Strategic Only",IF(SUMPRODUCT(--ISNUMBER(SEARCH(REF_Setup!$F$3:$F$15,M254)))&gt;0,"VC Only","Unclassified"))))</f>
        <v>VC Only</v>
      </c>
    </row>
    <row r="255" spans="2:21" x14ac:dyDescent="0.35">
      <c r="B255" s="4">
        <f t="shared" si="11"/>
        <v>253</v>
      </c>
      <c r="C255" s="4" t="str">
        <f>IFERROR(_xlfn.XLOOKUP($B255,Raw_Data!$A$3:$A$273,Raw_Data!$B$3:$B$273),"")</f>
        <v>Vivid EV</v>
      </c>
      <c r="D255" s="4" t="str">
        <f>IFERROR(_xlfn.XLOOKUP($B255,Raw_Data!$A$3:$A$273,Raw_Data!$C$3:$C$273),"")</f>
        <v>Fort Myers, FL</v>
      </c>
      <c r="E255" s="4">
        <f>IFERROR(_xlfn.XLOOKUP($B255,Raw_Data!$A$3:$A$273,Raw_Data!$D$3:$D$273),"")</f>
        <v>0</v>
      </c>
      <c r="F255" s="4" t="str">
        <f>IFERROR(_xlfn.XLOOKUP($B255,Raw_Data!$A$3:$A$273,Raw_Data!$F$3:$F$273),"")</f>
        <v>Mobility</v>
      </c>
      <c r="G255" s="35">
        <f>IFERROR(_xlfn.XLOOKUP($B255,Raw_Data!$A$3:$A$273,Raw_Data!$J$3:$J$273),"")</f>
        <v>44662</v>
      </c>
      <c r="H255" s="4" t="s">
        <v>75</v>
      </c>
      <c r="I255" s="36">
        <f>IFERROR(_xlfn.XLOOKUP($B255,Raw_Data!$A$3:$A$273,Raw_Data!$I$3:$I$273),"")</f>
        <v>0</v>
      </c>
      <c r="J255" s="36">
        <f>IFERROR(_xlfn.XLOOKUP($B255,Raw_Data!$A$3:$A$273,Raw_Data!$L$3:$L$273),"")</f>
        <v>0</v>
      </c>
      <c r="K255" s="36">
        <f>IFERROR(_xlfn.XLOOKUP($B255,Raw_Data!$A$3:$A$273,Raw_Data!$M$3:$M$273),"")</f>
        <v>0</v>
      </c>
      <c r="L255" s="15" t="str">
        <f>IFERROR(_xlfn.XLOOKUP($B255,Raw_Data!$A$3:$A$273,Raw_Data!$Q$3:$Q$273),"")</f>
        <v>N/A</v>
      </c>
      <c r="M255" s="34" t="str">
        <f>IFERROR(_xlfn.XLOOKUP($B255,Raw_Data!$A$3:$A$273,Raw_Data!$R$3:$R$273),"")</f>
        <v xml:space="preserve">Cagan McAfee Capital Partners; Q 3 Financial </v>
      </c>
      <c r="N255" s="16" cm="1">
        <f t="array" ref="N255">IF(M255="",0,COUNTA(_xlfn._xlws.FILTER(_xlfn.TEXTSPLIT(M255,";"), _xlfn.TEXTSPLIT(M255,";")&lt;&gt;"")))</f>
        <v>2</v>
      </c>
      <c r="O255" s="16" t="str">
        <f t="shared" si="9"/>
        <v>N</v>
      </c>
      <c r="P255" s="19">
        <f>IFERROR(_xlfn.XLOOKUP($B255,Raw_Data!$A$3:$A$273,Raw_Data!$V$3:$V$273),"")</f>
        <v>0</v>
      </c>
      <c r="Q255" s="16" t="str">
        <f t="shared" si="10"/>
        <v>Y</v>
      </c>
      <c r="R255" s="32">
        <f>IFERROR(_xlfn.XLOOKUP($B255,Raw_Data!$A$3:$A$273,Raw_Data!$Y$3:$Y$273),"")</f>
        <v>1</v>
      </c>
      <c r="S255" s="4" t="str" cm="1">
        <f t="array" ref="S255">_xlfn.LET(_xlpm.s, Raw_Data!W255,_xlpm.strat, _xlfn._xlws.FILTER(REF_Setup!$B$3:$B$40, REF_Setup!$B$3:$B$40&lt;&gt;""),IF(OR(_xlpm.s="",_xlpm.s=0),"Unclassified",IF(SUM(--ISNUMBER(SEARCH(_xlpm.strat, _xlpm.s)))&gt;0, "Y", "N"))
)</f>
        <v>N</v>
      </c>
      <c r="T255" s="4" t="str" cm="1">
        <f t="array" ref="T255">_xlfn.LET(_xlpm.s,M255,_xlpm.phil, _xlfn._xlws.FILTER(REF_Setup!$D$3:$D$5, REF_Setup!$D$3:$D$5&lt;&gt;""),IF(OR(_xlpm.s="", _xlpm.s=0),"Unclassified",IF(SUM(--ISNUMBER(SEARCH(_xlpm.phil, _xlpm.s)))&gt;0, "Y", "N")))</f>
        <v>N</v>
      </c>
      <c r="U255" s="4" t="str" cm="1">
        <f t="array" ref="U255">IF(M255="", "Unclassified", IF(AND(SUMPRODUCT(--ISNUMBER(SEARCH(REF_Setup!$B$3:$B$40,M255)))&gt;0,SUMPRODUCT(--ISNUMBER(SEARCH(REF_Setup!$F$3:$F$15,M255)))&gt;0),"Mixed",IF(SUMPRODUCT(--ISNUMBER(SEARCH(REF_Setup!$B$3:$B$40,M255)))&gt;0,"Strategic Only",IF(SUMPRODUCT(--ISNUMBER(SEARCH(REF_Setup!$F$3:$F$15,M255)))&gt;0,"VC Only","Unclassified"))))</f>
        <v>VC Only</v>
      </c>
    </row>
    <row r="256" spans="2:21" x14ac:dyDescent="0.35">
      <c r="B256" s="4">
        <f t="shared" si="11"/>
        <v>254</v>
      </c>
      <c r="C256" s="4" t="str">
        <f>IFERROR(_xlfn.XLOOKUP($B256,Raw_Data!$A$3:$A$273,Raw_Data!$B$3:$B$273),"")</f>
        <v>VM Agritech</v>
      </c>
      <c r="D256" s="4" t="str">
        <f>IFERROR(_xlfn.XLOOKUP($B256,Raw_Data!$A$3:$A$273,Raw_Data!$C$3:$C$273),"")</f>
        <v>Geneva, NY</v>
      </c>
      <c r="E256" s="4">
        <f>IFERROR(_xlfn.XLOOKUP($B256,Raw_Data!$A$3:$A$273,Raw_Data!$D$3:$D$273),"")</f>
        <v>2014</v>
      </c>
      <c r="F256" s="4" t="str">
        <f>IFERROR(_xlfn.XLOOKUP($B256,Raw_Data!$A$3:$A$273,Raw_Data!$F$3:$F$273),"")</f>
        <v>Food &amp; Ag</v>
      </c>
      <c r="G256" s="35">
        <f>IFERROR(_xlfn.XLOOKUP($B256,Raw_Data!$A$3:$A$273,Raw_Data!$J$3:$J$273),"")</f>
        <v>45987</v>
      </c>
      <c r="H256" s="16" t="s">
        <v>1465</v>
      </c>
      <c r="I256" s="36">
        <f>IFERROR(_xlfn.XLOOKUP($B256,Raw_Data!$A$3:$A$273,Raw_Data!$I$3:$I$273),"")</f>
        <v>36.14</v>
      </c>
      <c r="J256" s="36">
        <f>IFERROR(_xlfn.XLOOKUP($B256,Raw_Data!$A$3:$A$273,Raw_Data!$L$3:$L$273),"")</f>
        <v>28.59</v>
      </c>
      <c r="K256" s="36">
        <f>IFERROR(_xlfn.XLOOKUP($B256,Raw_Data!$A$3:$A$273,Raw_Data!$M$3:$M$273),"")</f>
        <v>218</v>
      </c>
      <c r="L256" s="15">
        <f>IFERROR(_xlfn.XLOOKUP($B256,Raw_Data!$A$3:$A$273,Raw_Data!$Q$3:$Q$273),"")</f>
        <v>0</v>
      </c>
      <c r="M256" s="34" t="str">
        <f>IFERROR(_xlfn.XLOOKUP($B256,Raw_Data!$A$3:$A$273,Raw_Data!$R$3:$R$273),"")</f>
        <v>DeltaCap</v>
      </c>
      <c r="N256" s="16" cm="1">
        <f t="array" ref="N256">IF(M256="",0,COUNTA(_xlfn._xlws.FILTER(_xlfn.TEXTSPLIT(M256,";"), _xlfn.TEXTSPLIT(M256,";")&lt;&gt;"")))</f>
        <v>1</v>
      </c>
      <c r="O256" s="16" t="str">
        <f t="shared" si="9"/>
        <v>N</v>
      </c>
      <c r="P256" s="19">
        <f>IFERROR(_xlfn.XLOOKUP($B256,Raw_Data!$A$3:$A$273,Raw_Data!$V$3:$V$273),"")</f>
        <v>0</v>
      </c>
      <c r="Q256" s="16" t="str">
        <f t="shared" si="10"/>
        <v>Y</v>
      </c>
      <c r="R256" s="32">
        <f>IFERROR(_xlfn.XLOOKUP($B256,Raw_Data!$A$3:$A$273,Raw_Data!$Y$3:$Y$273),"")</f>
        <v>1</v>
      </c>
      <c r="S256" s="4" t="str" cm="1">
        <f t="array" ref="S256">_xlfn.LET(_xlpm.s, Raw_Data!W256,_xlpm.strat, _xlfn._xlws.FILTER(REF_Setup!$B$3:$B$40, REF_Setup!$B$3:$B$40&lt;&gt;""),IF(OR(_xlpm.s="",_xlpm.s=0),"Unclassified",IF(SUM(--ISNUMBER(SEARCH(_xlpm.strat, _xlpm.s)))&gt;0, "Y", "N"))
)</f>
        <v>N</v>
      </c>
      <c r="T256" s="4" t="str" cm="1">
        <f t="array" ref="T256">_xlfn.LET(_xlpm.s,M256,_xlpm.phil, _xlfn._xlws.FILTER(REF_Setup!$D$3:$D$5, REF_Setup!$D$3:$D$5&lt;&gt;""),IF(OR(_xlpm.s="", _xlpm.s=0),"Unclassified",IF(SUM(--ISNUMBER(SEARCH(_xlpm.phil, _xlpm.s)))&gt;0, "Y", "N")))</f>
        <v>N</v>
      </c>
      <c r="U256" s="4" t="str" cm="1">
        <f t="array" ref="U256">IF(M256="", "Unclassified", IF(AND(SUMPRODUCT(--ISNUMBER(SEARCH(REF_Setup!$B$3:$B$40,M256)))&gt;0,SUMPRODUCT(--ISNUMBER(SEARCH(REF_Setup!$F$3:$F$15,M256)))&gt;0),"Mixed",IF(SUMPRODUCT(--ISNUMBER(SEARCH(REF_Setup!$B$3:$B$40,M256)))&gt;0,"Strategic Only",IF(SUMPRODUCT(--ISNUMBER(SEARCH(REF_Setup!$F$3:$F$15,M256)))&gt;0,"VC Only","Unclassified"))))</f>
        <v>Unclassified</v>
      </c>
    </row>
    <row r="257" spans="2:21" x14ac:dyDescent="0.35">
      <c r="B257" s="4">
        <f t="shared" si="11"/>
        <v>255</v>
      </c>
      <c r="C257" s="4" t="str">
        <f>IFERROR(_xlfn.XLOOKUP($B257,Raw_Data!$A$3:$A$273,Raw_Data!$B$3:$B$273),"")</f>
        <v>Volexion</v>
      </c>
      <c r="D257" s="4" t="str">
        <f>IFERROR(_xlfn.XLOOKUP($B257,Raw_Data!$A$3:$A$273,Raw_Data!$C$3:$C$273),"")</f>
        <v>Evanston, IL</v>
      </c>
      <c r="E257" s="4">
        <f>IFERROR(_xlfn.XLOOKUP($B257,Raw_Data!$A$3:$A$273,Raw_Data!$D$3:$D$273),"")</f>
        <v>0</v>
      </c>
      <c r="F257" s="4" t="str">
        <f>IFERROR(_xlfn.XLOOKUP($B257,Raw_Data!$A$3:$A$273,Raw_Data!$F$3:$F$273),"")</f>
        <v>Mobility</v>
      </c>
      <c r="G257" s="35">
        <f>IFERROR(_xlfn.XLOOKUP($B257,Raw_Data!$A$3:$A$273,Raw_Data!$J$3:$J$273),"")</f>
        <v>44294</v>
      </c>
      <c r="H257" s="16" t="s">
        <v>1466</v>
      </c>
      <c r="I257" s="36">
        <f>IFERROR(_xlfn.XLOOKUP($B257,Raw_Data!$A$3:$A$273,Raw_Data!$I$3:$I$273),"")</f>
        <v>1.75</v>
      </c>
      <c r="J257" s="36">
        <f>IFERROR(_xlfn.XLOOKUP($B257,Raw_Data!$A$3:$A$273,Raw_Data!$L$3:$L$273),"")</f>
        <v>1.3</v>
      </c>
      <c r="K257" s="36">
        <f>IFERROR(_xlfn.XLOOKUP($B257,Raw_Data!$A$3:$A$273,Raw_Data!$M$3:$M$273),"")</f>
        <v>4.3</v>
      </c>
      <c r="L257" s="15">
        <f>IFERROR(_xlfn.XLOOKUP($B257,Raw_Data!$A$3:$A$273,Raw_Data!$Q$3:$Q$273),"")</f>
        <v>0</v>
      </c>
      <c r="M257" s="34" t="str">
        <f>IFERROR(_xlfn.XLOOKUP($B257,Raw_Data!$A$3:$A$273,Raw_Data!$R$3:$R$273),"")</f>
        <v xml:space="preserve">Clean Energy Venture Group; Clean Energy Ventures; Earth Foundry Management </v>
      </c>
      <c r="N257" s="16" cm="1">
        <f t="array" ref="N257">IF(M257="",0,COUNTA(_xlfn._xlws.FILTER(_xlfn.TEXTSPLIT(M257,";"), _xlfn.TEXTSPLIT(M257,";")&lt;&gt;"")))</f>
        <v>3</v>
      </c>
      <c r="O257" s="16" t="str">
        <f t="shared" si="9"/>
        <v>Y</v>
      </c>
      <c r="P257" s="19">
        <f>IFERROR(_xlfn.XLOOKUP($B257,Raw_Data!$A$3:$A$273,Raw_Data!$V$3:$V$273),"")</f>
        <v>0.66666666666666663</v>
      </c>
      <c r="Q257" s="16" t="str">
        <f t="shared" si="10"/>
        <v>Y</v>
      </c>
      <c r="R257" s="32">
        <f>IFERROR(_xlfn.XLOOKUP($B257,Raw_Data!$A$3:$A$273,Raw_Data!$Y$3:$Y$273),"")</f>
        <v>0.33333333333333331</v>
      </c>
      <c r="S257" s="4" t="str" cm="1">
        <f t="array" ref="S257">_xlfn.LET(_xlpm.s, Raw_Data!W257,_xlpm.strat, _xlfn._xlws.FILTER(REF_Setup!$B$3:$B$40, REF_Setup!$B$3:$B$40&lt;&gt;""),IF(OR(_xlpm.s="",_xlpm.s=0),"Unclassified",IF(SUM(--ISNUMBER(SEARCH(_xlpm.strat, _xlpm.s)))&gt;0, "Y", "N"))
)</f>
        <v>N</v>
      </c>
      <c r="T257" s="4" t="str" cm="1">
        <f t="array" ref="T257">_xlfn.LET(_xlpm.s,M257,_xlpm.phil, _xlfn._xlws.FILTER(REF_Setup!$D$3:$D$5, REF_Setup!$D$3:$D$5&lt;&gt;""),IF(OR(_xlpm.s="", _xlpm.s=0),"Unclassified",IF(SUM(--ISNUMBER(SEARCH(_xlpm.phil, _xlpm.s)))&gt;0, "Y", "N")))</f>
        <v>N</v>
      </c>
      <c r="U257" s="4" t="str" cm="1">
        <f t="array" ref="U257">IF(M257="", "Unclassified", IF(AND(SUMPRODUCT(--ISNUMBER(SEARCH(REF_Setup!$B$3:$B$40,M257)))&gt;0,SUMPRODUCT(--ISNUMBER(SEARCH(REF_Setup!$F$3:$F$15,M257)))&gt;0),"Mixed",IF(SUMPRODUCT(--ISNUMBER(SEARCH(REF_Setup!$B$3:$B$40,M257)))&gt;0,"Strategic Only",IF(SUMPRODUCT(--ISNUMBER(SEARCH(REF_Setup!$F$3:$F$15,M257)))&gt;0,"VC Only","Unclassified"))))</f>
        <v>VC Only</v>
      </c>
    </row>
    <row r="258" spans="2:21" x14ac:dyDescent="0.35">
      <c r="B258" s="4">
        <f t="shared" si="11"/>
        <v>256</v>
      </c>
      <c r="C258" s="4" t="str">
        <f>IFERROR(_xlfn.XLOOKUP($B258,Raw_Data!$A$3:$A$273,Raw_Data!$B$3:$B$273),"")</f>
        <v>Volexion</v>
      </c>
      <c r="D258" s="4" t="str">
        <f>IFERROR(_xlfn.XLOOKUP($B258,Raw_Data!$A$3:$A$273,Raw_Data!$C$3:$C$273),"")</f>
        <v>Evanston, IL</v>
      </c>
      <c r="E258" s="4">
        <f>IFERROR(_xlfn.XLOOKUP($B258,Raw_Data!$A$3:$A$273,Raw_Data!$D$3:$D$273),"")</f>
        <v>0</v>
      </c>
      <c r="F258" s="4" t="str">
        <f>IFERROR(_xlfn.XLOOKUP($B258,Raw_Data!$A$3:$A$273,Raw_Data!$F$3:$F$273),"")</f>
        <v>Mobility</v>
      </c>
      <c r="G258" s="35">
        <f>IFERROR(_xlfn.XLOOKUP($B258,Raw_Data!$A$3:$A$273,Raw_Data!$J$3:$J$273),"")</f>
        <v>45291</v>
      </c>
      <c r="H258" s="16" t="s">
        <v>1466</v>
      </c>
      <c r="I258" s="36">
        <f>IFERROR(_xlfn.XLOOKUP($B258,Raw_Data!$A$3:$A$273,Raw_Data!$I$3:$I$273),"")</f>
        <v>3.61</v>
      </c>
      <c r="J258" s="36">
        <f>IFERROR(_xlfn.XLOOKUP($B258,Raw_Data!$A$3:$A$273,Raw_Data!$L$3:$L$273),"")</f>
        <v>1.86</v>
      </c>
      <c r="K258" s="36">
        <f>IFERROR(_xlfn.XLOOKUP($B258,Raw_Data!$A$3:$A$273,Raw_Data!$M$3:$M$273),"")</f>
        <v>6.9</v>
      </c>
      <c r="L258" s="15">
        <f>IFERROR(_xlfn.XLOOKUP($B258,Raw_Data!$A$3:$A$273,Raw_Data!$Q$3:$Q$273),"")</f>
        <v>0</v>
      </c>
      <c r="M258" s="34" t="str">
        <f>IFERROR(_xlfn.XLOOKUP($B258,Raw_Data!$A$3:$A$273,Raw_Data!$R$3:$R$273),"")</f>
        <v>Clean Energy Ventures; E8; Earth Foundry Management</v>
      </c>
      <c r="N258" s="16" cm="1">
        <f t="array" ref="N258">IF(M258="",0,COUNTA(_xlfn._xlws.FILTER(_xlfn.TEXTSPLIT(M258,";"), _xlfn.TEXTSPLIT(M258,";")&lt;&gt;"")))</f>
        <v>3</v>
      </c>
      <c r="O258" s="16" t="str">
        <f t="shared" si="9"/>
        <v>N</v>
      </c>
      <c r="P258" s="19">
        <f>IFERROR(_xlfn.XLOOKUP($B258,Raw_Data!$A$3:$A$273,Raw_Data!$V$3:$V$273),"")</f>
        <v>0</v>
      </c>
      <c r="Q258" s="16" t="str">
        <f t="shared" si="10"/>
        <v>Y</v>
      </c>
      <c r="R258" s="32">
        <f>IFERROR(_xlfn.XLOOKUP($B258,Raw_Data!$A$3:$A$273,Raw_Data!$Y$3:$Y$273),"")</f>
        <v>1</v>
      </c>
      <c r="S258" s="4" t="str" cm="1">
        <f t="array" ref="S258">_xlfn.LET(_xlpm.s, Raw_Data!W258,_xlpm.strat, _xlfn._xlws.FILTER(REF_Setup!$B$3:$B$40, REF_Setup!$B$3:$B$40&lt;&gt;""),IF(OR(_xlpm.s="",_xlpm.s=0),"Unclassified",IF(SUM(--ISNUMBER(SEARCH(_xlpm.strat, _xlpm.s)))&gt;0, "Y", "N"))
)</f>
        <v>N</v>
      </c>
      <c r="T258" s="4" t="str" cm="1">
        <f t="array" ref="T258">_xlfn.LET(_xlpm.s,M258,_xlpm.phil, _xlfn._xlws.FILTER(REF_Setup!$D$3:$D$5, REF_Setup!$D$3:$D$5&lt;&gt;""),IF(OR(_xlpm.s="", _xlpm.s=0),"Unclassified",IF(SUM(--ISNUMBER(SEARCH(_xlpm.phil, _xlpm.s)))&gt;0, "Y", "N")))</f>
        <v>N</v>
      </c>
      <c r="U258" s="4" t="str" cm="1">
        <f t="array" ref="U258">IF(M258="", "Unclassified", IF(AND(SUMPRODUCT(--ISNUMBER(SEARCH(REF_Setup!$B$3:$B$40,M258)))&gt;0,SUMPRODUCT(--ISNUMBER(SEARCH(REF_Setup!$F$3:$F$15,M258)))&gt;0),"Mixed",IF(SUMPRODUCT(--ISNUMBER(SEARCH(REF_Setup!$B$3:$B$40,M258)))&gt;0,"Strategic Only",IF(SUMPRODUCT(--ISNUMBER(SEARCH(REF_Setup!$F$3:$F$15,M258)))&gt;0,"VC Only","Unclassified"))))</f>
        <v>VC Only</v>
      </c>
    </row>
    <row r="259" spans="2:21" ht="29" x14ac:dyDescent="0.35">
      <c r="B259" s="4">
        <f t="shared" si="11"/>
        <v>257</v>
      </c>
      <c r="C259" s="4" t="str">
        <f>IFERROR(_xlfn.XLOOKUP($B259,Raw_Data!$A$3:$A$273,Raw_Data!$B$3:$B$273),"")</f>
        <v>Vulcan Elements</v>
      </c>
      <c r="D259" s="4" t="str">
        <f>IFERROR(_xlfn.XLOOKUP($B259,Raw_Data!$A$3:$A$273,Raw_Data!$C$3:$C$273),"")</f>
        <v>Cambridge, MA</v>
      </c>
      <c r="E259" s="4">
        <f>IFERROR(_xlfn.XLOOKUP($B259,Raw_Data!$A$3:$A$273,Raw_Data!$D$3:$D$273),"")</f>
        <v>2023</v>
      </c>
      <c r="F259" s="4" t="str">
        <f>IFERROR(_xlfn.XLOOKUP($B259,Raw_Data!$A$3:$A$273,Raw_Data!$F$3:$F$273),"")</f>
        <v>Mobility</v>
      </c>
      <c r="G259" s="35">
        <f>IFERROR(_xlfn.XLOOKUP($B259,Raw_Data!$A$3:$A$273,Raw_Data!$J$3:$J$273),"")</f>
        <v>45876</v>
      </c>
      <c r="H259" s="16" t="s">
        <v>1465</v>
      </c>
      <c r="I259" s="36">
        <f>IFERROR(_xlfn.XLOOKUP($B259,Raw_Data!$A$3:$A$273,Raw_Data!$I$3:$I$273),"")</f>
        <v>73.900000000000006</v>
      </c>
      <c r="J259" s="36">
        <f>IFERROR(_xlfn.XLOOKUP($B259,Raw_Data!$A$3:$A$273,Raw_Data!$L$3:$L$273),"")</f>
        <v>65</v>
      </c>
      <c r="K259" s="36">
        <f>IFERROR(_xlfn.XLOOKUP($B259,Raw_Data!$A$3:$A$273,Raw_Data!$M$3:$M$273),"")</f>
        <v>200</v>
      </c>
      <c r="L259" s="15">
        <f>IFERROR(_xlfn.XLOOKUP($B259,Raw_Data!$A$3:$A$273,Raw_Data!$Q$3:$Q$273),"")</f>
        <v>0</v>
      </c>
      <c r="M259" s="34" t="str">
        <f>IFERROR(_xlfn.XLOOKUP($B259,Raw_Data!$A$3:$A$273,Raw_Data!$R$3:$R$273),"")</f>
        <v>1789 Capital; Altimeter Capital Management; One Investment Management; Washington Harbour</v>
      </c>
      <c r="N259" s="16" cm="1">
        <f t="array" ref="N259">IF(M259="",0,COUNTA(_xlfn._xlws.FILTER(_xlfn.TEXTSPLIT(M259,";"), _xlfn.TEXTSPLIT(M259,";")&lt;&gt;"")))</f>
        <v>4</v>
      </c>
      <c r="O259" s="16" t="str">
        <f t="shared" si="9"/>
        <v>N</v>
      </c>
      <c r="P259" s="19">
        <f>IFERROR(_xlfn.XLOOKUP($B259,Raw_Data!$A$3:$A$273,Raw_Data!$V$3:$V$273),"")</f>
        <v>0</v>
      </c>
      <c r="Q259" s="16" t="str">
        <f t="shared" si="10"/>
        <v>Y</v>
      </c>
      <c r="R259" s="32">
        <f>IFERROR(_xlfn.XLOOKUP($B259,Raw_Data!$A$3:$A$273,Raw_Data!$Y$3:$Y$273),"")</f>
        <v>1</v>
      </c>
      <c r="S259" s="4" t="str" cm="1">
        <f t="array" ref="S259">_xlfn.LET(_xlpm.s, Raw_Data!W259,_xlpm.strat, _xlfn._xlws.FILTER(REF_Setup!$B$3:$B$40, REF_Setup!$B$3:$B$40&lt;&gt;""),IF(OR(_xlpm.s="",_xlpm.s=0),"Unclassified",IF(SUM(--ISNUMBER(SEARCH(_xlpm.strat, _xlpm.s)))&gt;0, "Y", "N"))
)</f>
        <v>N</v>
      </c>
      <c r="T259" s="4" t="str" cm="1">
        <f t="array" ref="T259">_xlfn.LET(_xlpm.s,M259,_xlpm.phil, _xlfn._xlws.FILTER(REF_Setup!$D$3:$D$5, REF_Setup!$D$3:$D$5&lt;&gt;""),IF(OR(_xlpm.s="", _xlpm.s=0),"Unclassified",IF(SUM(--ISNUMBER(SEARCH(_xlpm.phil, _xlpm.s)))&gt;0, "Y", "N")))</f>
        <v>N</v>
      </c>
      <c r="U259" s="4" t="str" cm="1">
        <f t="array" ref="U259">IF(M259="", "Unclassified", IF(AND(SUMPRODUCT(--ISNUMBER(SEARCH(REF_Setup!$B$3:$B$40,M259)))&gt;0,SUMPRODUCT(--ISNUMBER(SEARCH(REF_Setup!$F$3:$F$15,M259)))&gt;0),"Mixed",IF(SUMPRODUCT(--ISNUMBER(SEARCH(REF_Setup!$B$3:$B$40,M259)))&gt;0,"Strategic Only",IF(SUMPRODUCT(--ISNUMBER(SEARCH(REF_Setup!$F$3:$F$15,M259)))&gt;0,"VC Only","Unclassified"))))</f>
        <v>VC Only</v>
      </c>
    </row>
    <row r="260" spans="2:21" x14ac:dyDescent="0.35">
      <c r="B260" s="4">
        <f t="shared" si="11"/>
        <v>258</v>
      </c>
      <c r="C260" s="4" t="str">
        <f>IFERROR(_xlfn.XLOOKUP($B260,Raw_Data!$A$3:$A$273,Raw_Data!$B$3:$B$273),"")</f>
        <v>Wabash Valley Resources</v>
      </c>
      <c r="D260" s="4" t="str">
        <f>IFERROR(_xlfn.XLOOKUP($B260,Raw_Data!$A$3:$A$273,Raw_Data!$C$3:$C$273),"")</f>
        <v>West Terre Haute, IN</v>
      </c>
      <c r="E260" s="4">
        <f>IFERROR(_xlfn.XLOOKUP($B260,Raw_Data!$A$3:$A$273,Raw_Data!$D$3:$D$273),"")</f>
        <v>2016</v>
      </c>
      <c r="F260" s="4" t="str">
        <f>IFERROR(_xlfn.XLOOKUP($B260,Raw_Data!$A$3:$A$273,Raw_Data!$F$3:$F$273),"")</f>
        <v>Hydrogen</v>
      </c>
      <c r="G260" s="35">
        <f>IFERROR(_xlfn.XLOOKUP($B260,Raw_Data!$A$3:$A$273,Raw_Data!$J$3:$J$273),"")</f>
        <v>43605</v>
      </c>
      <c r="H260" s="16" t="s">
        <v>75</v>
      </c>
      <c r="I260" s="36">
        <f>IFERROR(_xlfn.XLOOKUP($B260,Raw_Data!$A$3:$A$273,Raw_Data!$I$3:$I$273),"")</f>
        <v>0</v>
      </c>
      <c r="J260" s="36">
        <f>IFERROR(_xlfn.XLOOKUP($B260,Raw_Data!$A$3:$A$273,Raw_Data!$L$3:$L$273),"")</f>
        <v>0</v>
      </c>
      <c r="K260" s="36">
        <f>IFERROR(_xlfn.XLOOKUP($B260,Raw_Data!$A$3:$A$273,Raw_Data!$M$3:$M$273),"")</f>
        <v>0</v>
      </c>
      <c r="L260" s="15" t="str">
        <f>IFERROR(_xlfn.XLOOKUP($B260,Raw_Data!$A$3:$A$273,Raw_Data!$Q$3:$Q$273),"")</f>
        <v>N/A</v>
      </c>
      <c r="M260" s="34" t="str">
        <f>IFERROR(_xlfn.XLOOKUP($B260,Raw_Data!$A$3:$A$273,Raw_Data!$R$3:$R$273),"")</f>
        <v xml:space="preserve">Climate Investment </v>
      </c>
      <c r="N260" s="16" cm="1">
        <f t="array" ref="N260">IF(M260="",0,COUNTA(_xlfn._xlws.FILTER(_xlfn.TEXTSPLIT(M260,";"), _xlfn.TEXTSPLIT(M260,";")&lt;&gt;"")))</f>
        <v>1</v>
      </c>
      <c r="O260" s="16" t="str">
        <f t="shared" ref="O260:O273" si="12">IF(P260&gt;0,"Y","N")</f>
        <v>N</v>
      </c>
      <c r="P260" s="19">
        <f>IFERROR(_xlfn.XLOOKUP($B260,Raw_Data!$A$3:$A$273,Raw_Data!$V$3:$V$273),"")</f>
        <v>0</v>
      </c>
      <c r="Q260" s="16" t="str">
        <f t="shared" ref="Q260:Q273" si="13">IF(R260&gt;0,"Y","N")</f>
        <v>Y</v>
      </c>
      <c r="R260" s="32">
        <f>IFERROR(_xlfn.XLOOKUP($B260,Raw_Data!$A$3:$A$273,Raw_Data!$Y$3:$Y$273),"")</f>
        <v>1</v>
      </c>
      <c r="S260" s="4" t="str" cm="1">
        <f t="array" ref="S260">_xlfn.LET(_xlpm.s, Raw_Data!W260,_xlpm.strat, _xlfn._xlws.FILTER(REF_Setup!$B$3:$B$40, REF_Setup!$B$3:$B$40&lt;&gt;""),IF(OR(_xlpm.s="",_xlpm.s=0),"Unclassified",IF(SUM(--ISNUMBER(SEARCH(_xlpm.strat, _xlpm.s)))&gt;0, "Y", "N"))
)</f>
        <v>N</v>
      </c>
      <c r="T260" s="4" t="str" cm="1">
        <f t="array" ref="T260">_xlfn.LET(_xlpm.s,M260,_xlpm.phil, _xlfn._xlws.FILTER(REF_Setup!$D$3:$D$5, REF_Setup!$D$3:$D$5&lt;&gt;""),IF(OR(_xlpm.s="", _xlpm.s=0),"Unclassified",IF(SUM(--ISNUMBER(SEARCH(_xlpm.phil, _xlpm.s)))&gt;0, "Y", "N")))</f>
        <v>N</v>
      </c>
      <c r="U260" s="4" t="str" cm="1">
        <f t="array" ref="U260">IF(M260="", "Unclassified", IF(AND(SUMPRODUCT(--ISNUMBER(SEARCH(REF_Setup!$B$3:$B$40,M260)))&gt;0,SUMPRODUCT(--ISNUMBER(SEARCH(REF_Setup!$F$3:$F$15,M260)))&gt;0),"Mixed",IF(SUMPRODUCT(--ISNUMBER(SEARCH(REF_Setup!$B$3:$B$40,M260)))&gt;0,"Strategic Only",IF(SUMPRODUCT(--ISNUMBER(SEARCH(REF_Setup!$F$3:$F$15,M260)))&gt;0,"VC Only","Unclassified"))))</f>
        <v>Unclassified</v>
      </c>
    </row>
    <row r="261" spans="2:21" ht="29" x14ac:dyDescent="0.35">
      <c r="B261" s="4">
        <f t="shared" ref="B261:B273" si="14">B260+1</f>
        <v>259</v>
      </c>
      <c r="C261" s="4" t="str">
        <f>IFERROR(_xlfn.XLOOKUP($B261,Raw_Data!$A$3:$A$273,Raw_Data!$B$3:$B$273),"")</f>
        <v>WaHa</v>
      </c>
      <c r="D261" s="4" t="str">
        <f>IFERROR(_xlfn.XLOOKUP($B261,Raw_Data!$A$3:$A$273,Raw_Data!$C$3:$C$273),"")</f>
        <v>Fremont, CA</v>
      </c>
      <c r="E261" s="4">
        <f>IFERROR(_xlfn.XLOOKUP($B261,Raw_Data!$A$3:$A$273,Raw_Data!$D$3:$D$273),"")</f>
        <v>2018</v>
      </c>
      <c r="F261" s="4" t="str">
        <f>IFERROR(_xlfn.XLOOKUP($B261,Raw_Data!$A$3:$A$273,Raw_Data!$F$3:$F$273),"")</f>
        <v>Buildings</v>
      </c>
      <c r="G261" s="35">
        <f>IFERROR(_xlfn.XLOOKUP($B261,Raw_Data!$A$3:$A$273,Raw_Data!$J$3:$J$273),"")</f>
        <v>45763</v>
      </c>
      <c r="H261" s="16" t="s">
        <v>1465</v>
      </c>
      <c r="I261" s="36">
        <f>IFERROR(_xlfn.XLOOKUP($B261,Raw_Data!$A$3:$A$273,Raw_Data!$I$3:$I$273),"")</f>
        <v>14.82</v>
      </c>
      <c r="J261" s="36">
        <f>IFERROR(_xlfn.XLOOKUP($B261,Raw_Data!$A$3:$A$273,Raw_Data!$L$3:$L$273),"")</f>
        <v>8</v>
      </c>
      <c r="K261" s="36">
        <f>IFERROR(_xlfn.XLOOKUP($B261,Raw_Data!$A$3:$A$273,Raw_Data!$M$3:$M$273),"")</f>
        <v>0</v>
      </c>
      <c r="L261" s="15">
        <f>IFERROR(_xlfn.XLOOKUP($B261,Raw_Data!$A$3:$A$273,Raw_Data!$Q$3:$Q$273),"")</f>
        <v>0</v>
      </c>
      <c r="M261" s="34" t="str">
        <f>IFERROR(_xlfn.XLOOKUP($B261,Raw_Data!$A$3:$A$273,Raw_Data!$R$3:$R$273),"")</f>
        <v>Anthropocene Capital Management; Berkeley Catalyst Fund Management; Christian Thirion; Michael Phillips; Mitsui Mining and Smelting</v>
      </c>
      <c r="N261" s="16" cm="1">
        <f t="array" ref="N261">IF(M261="",0,COUNTA(_xlfn._xlws.FILTER(_xlfn.TEXTSPLIT(M261,";"), _xlfn.TEXTSPLIT(M261,";")&lt;&gt;"")))</f>
        <v>5</v>
      </c>
      <c r="O261" s="16" t="str">
        <f t="shared" si="12"/>
        <v>Y</v>
      </c>
      <c r="P261" s="19">
        <f>IFERROR(_xlfn.XLOOKUP($B261,Raw_Data!$A$3:$A$273,Raw_Data!$V$3:$V$273),"")</f>
        <v>0.4</v>
      </c>
      <c r="Q261" s="16" t="str">
        <f t="shared" si="13"/>
        <v>Y</v>
      </c>
      <c r="R261" s="32">
        <f>IFERROR(_xlfn.XLOOKUP($B261,Raw_Data!$A$3:$A$273,Raw_Data!$Y$3:$Y$273),"")</f>
        <v>0.6</v>
      </c>
      <c r="S261" s="4" t="str" cm="1">
        <f t="array" ref="S261">_xlfn.LET(_xlpm.s, Raw_Data!W261,_xlpm.strat, _xlfn._xlws.FILTER(REF_Setup!$B$3:$B$40, REF_Setup!$B$3:$B$40&lt;&gt;""),IF(OR(_xlpm.s="",_xlpm.s=0),"Unclassified",IF(SUM(--ISNUMBER(SEARCH(_xlpm.strat, _xlpm.s)))&gt;0, "Y", "N"))
)</f>
        <v>N</v>
      </c>
      <c r="T261" s="4" t="str" cm="1">
        <f t="array" ref="T261">_xlfn.LET(_xlpm.s,M261,_xlpm.phil, _xlfn._xlws.FILTER(REF_Setup!$D$3:$D$5, REF_Setup!$D$3:$D$5&lt;&gt;""),IF(OR(_xlpm.s="", _xlpm.s=0),"Unclassified",IF(SUM(--ISNUMBER(SEARCH(_xlpm.phil, _xlpm.s)))&gt;0, "Y", "N")))</f>
        <v>N</v>
      </c>
      <c r="U261" s="4" t="str" cm="1">
        <f t="array" ref="U261">IF(M261="", "Unclassified", IF(AND(SUMPRODUCT(--ISNUMBER(SEARCH(REF_Setup!$B$3:$B$40,M261)))&gt;0,SUMPRODUCT(--ISNUMBER(SEARCH(REF_Setup!$F$3:$F$15,M261)))&gt;0),"Mixed",IF(SUMPRODUCT(--ISNUMBER(SEARCH(REF_Setup!$B$3:$B$40,M261)))&gt;0,"Strategic Only",IF(SUMPRODUCT(--ISNUMBER(SEARCH(REF_Setup!$F$3:$F$15,M261)))&gt;0,"VC Only","Unclassified"))))</f>
        <v>VC Only</v>
      </c>
    </row>
    <row r="262" spans="2:21" ht="72.5" x14ac:dyDescent="0.35">
      <c r="B262" s="4">
        <f t="shared" si="14"/>
        <v>260</v>
      </c>
      <c r="C262" s="4" t="str">
        <f>IFERROR(_xlfn.XLOOKUP($B262,Raw_Data!$A$3:$A$273,Raw_Data!$B$3:$B$273),"")</f>
        <v>wasted*</v>
      </c>
      <c r="D262" s="4" t="str">
        <f>IFERROR(_xlfn.XLOOKUP($B262,Raw_Data!$A$3:$A$273,Raw_Data!$C$3:$C$273),"")</f>
        <v>Williston, VT</v>
      </c>
      <c r="E262" s="4">
        <f>IFERROR(_xlfn.XLOOKUP($B262,Raw_Data!$A$3:$A$273,Raw_Data!$D$3:$D$273),"")</f>
        <v>2020</v>
      </c>
      <c r="F262" s="4" t="str">
        <f>IFERROR(_xlfn.XLOOKUP($B262,Raw_Data!$A$3:$A$273,Raw_Data!$F$3:$F$273),"")</f>
        <v>Buildings</v>
      </c>
      <c r="G262" s="35">
        <f>IFERROR(_xlfn.XLOOKUP($B262,Raw_Data!$A$3:$A$273,Raw_Data!$J$3:$J$273),"")</f>
        <v>45076</v>
      </c>
      <c r="H262" s="16" t="s">
        <v>1466</v>
      </c>
      <c r="I262" s="36">
        <f>IFERROR(_xlfn.XLOOKUP($B262,Raw_Data!$A$3:$A$273,Raw_Data!$I$3:$I$273),"")</f>
        <v>9</v>
      </c>
      <c r="J262" s="36">
        <f>IFERROR(_xlfn.XLOOKUP($B262,Raw_Data!$A$3:$A$273,Raw_Data!$L$3:$L$273),"")</f>
        <v>7.5</v>
      </c>
      <c r="K262" s="36">
        <f>IFERROR(_xlfn.XLOOKUP($B262,Raw_Data!$A$3:$A$273,Raw_Data!$M$3:$M$273),"")</f>
        <v>20</v>
      </c>
      <c r="L262" s="15">
        <f>IFERROR(_xlfn.XLOOKUP($B262,Raw_Data!$A$3:$A$273,Raw_Data!$Q$3:$Q$273),"")</f>
        <v>0</v>
      </c>
      <c r="M262" s="34" t="str">
        <f>IFERROR(_xlfn.XLOOKUP($B262,Raw_Data!$A$3:$A$273,Raw_Data!$R$3:$R$273),"")</f>
        <v>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v>
      </c>
      <c r="N262" s="16" cm="1">
        <f t="array" ref="N262">IF(M262="",0,COUNTA(_xlfn._xlws.FILTER(_xlfn.TEXTSPLIT(M262,";"), _xlfn.TEXTSPLIT(M262,";")&lt;&gt;"")))</f>
        <v>15</v>
      </c>
      <c r="O262" s="16" t="str">
        <f t="shared" si="12"/>
        <v>N</v>
      </c>
      <c r="P262" s="19">
        <f>IFERROR(_xlfn.XLOOKUP($B262,Raw_Data!$A$3:$A$273,Raw_Data!$V$3:$V$273),"")</f>
        <v>0</v>
      </c>
      <c r="Q262" s="16" t="str">
        <f t="shared" si="13"/>
        <v>Y</v>
      </c>
      <c r="R262" s="32">
        <f>IFERROR(_xlfn.XLOOKUP($B262,Raw_Data!$A$3:$A$273,Raw_Data!$Y$3:$Y$273),"")</f>
        <v>1</v>
      </c>
      <c r="S262" s="4" t="str" cm="1">
        <f t="array" ref="S262">_xlfn.LET(_xlpm.s, Raw_Data!W262,_xlpm.strat, _xlfn._xlws.FILTER(REF_Setup!$B$3:$B$40, REF_Setup!$B$3:$B$40&lt;&gt;""),IF(OR(_xlpm.s="",_xlpm.s=0),"Unclassified",IF(SUM(--ISNUMBER(SEARCH(_xlpm.strat, _xlpm.s)))&gt;0, "Y", "N"))
)</f>
        <v>N</v>
      </c>
      <c r="T262" s="4" t="str" cm="1">
        <f t="array" ref="T262">_xlfn.LET(_xlpm.s,M262,_xlpm.phil, _xlfn._xlws.FILTER(REF_Setup!$D$3:$D$5, REF_Setup!$D$3:$D$5&lt;&gt;""),IF(OR(_xlpm.s="", _xlpm.s=0),"Unclassified",IF(SUM(--ISNUMBER(SEARCH(_xlpm.phil, _xlpm.s)))&gt;0, "Y", "N")))</f>
        <v>Y</v>
      </c>
      <c r="U262" s="4" t="str" cm="1">
        <f t="array" ref="U262">IF(M262="", "Unclassified", IF(AND(SUMPRODUCT(--ISNUMBER(SEARCH(REF_Setup!$B$3:$B$40,M262)))&gt;0,SUMPRODUCT(--ISNUMBER(SEARCH(REF_Setup!$F$3:$F$15,M262)))&gt;0),"Mixed",IF(SUMPRODUCT(--ISNUMBER(SEARCH(REF_Setup!$B$3:$B$40,M262)))&gt;0,"Strategic Only",IF(SUMPRODUCT(--ISNUMBER(SEARCH(REF_Setup!$F$3:$F$15,M262)))&gt;0,"VC Only","Unclassified"))))</f>
        <v>VC Only</v>
      </c>
    </row>
    <row r="263" spans="2:21" x14ac:dyDescent="0.35">
      <c r="B263" s="4">
        <f t="shared" si="14"/>
        <v>261</v>
      </c>
      <c r="C263" s="4" t="str">
        <f>IFERROR(_xlfn.XLOOKUP($B263,Raw_Data!$A$3:$A$273,Raw_Data!$B$3:$B$273),"")</f>
        <v>Wildcat Discovery Technologies</v>
      </c>
      <c r="D263" s="4" t="str">
        <f>IFERROR(_xlfn.XLOOKUP($B263,Raw_Data!$A$3:$A$273,Raw_Data!$C$3:$C$273),"")</f>
        <v>San Diego, CA</v>
      </c>
      <c r="E263" s="4">
        <f>IFERROR(_xlfn.XLOOKUP($B263,Raw_Data!$A$3:$A$273,Raw_Data!$D$3:$D$273),"")</f>
        <v>2006</v>
      </c>
      <c r="F263" s="4" t="str">
        <f>IFERROR(_xlfn.XLOOKUP($B263,Raw_Data!$A$3:$A$273,Raw_Data!$F$3:$F$273),"")</f>
        <v>Mobility</v>
      </c>
      <c r="G263" s="35">
        <f>IFERROR(_xlfn.XLOOKUP($B263,Raw_Data!$A$3:$A$273,Raw_Data!$J$3:$J$273),"")</f>
        <v>45955</v>
      </c>
      <c r="I263" s="36">
        <f>IFERROR(_xlfn.XLOOKUP($B263,Raw_Data!$A$3:$A$273,Raw_Data!$I$3:$I$273),"")</f>
        <v>155.66</v>
      </c>
      <c r="J263" s="36">
        <f>IFERROR(_xlfn.XLOOKUP($B263,Raw_Data!$A$3:$A$273,Raw_Data!$L$3:$L$273),"")</f>
        <v>4.9000000000000004</v>
      </c>
      <c r="K263" s="36">
        <f>IFERROR(_xlfn.XLOOKUP($B263,Raw_Data!$A$3:$A$273,Raw_Data!$M$3:$M$273),"")</f>
        <v>42</v>
      </c>
      <c r="L263" s="15">
        <f>IFERROR(_xlfn.XLOOKUP($B263,Raw_Data!$A$3:$A$273,Raw_Data!$Q$3:$Q$273),"")</f>
        <v>0</v>
      </c>
      <c r="M263" s="34"/>
      <c r="N263" s="16" cm="1">
        <f t="array" ref="N263">IF(M263="",0,COUNTA(_xlfn._xlws.FILTER(_xlfn.TEXTSPLIT(M263,";"), _xlfn.TEXTSPLIT(M263,";")&lt;&gt;"")))</f>
        <v>0</v>
      </c>
      <c r="O263" s="16" t="str">
        <f t="shared" si="12"/>
        <v>Y</v>
      </c>
      <c r="P263" s="19" t="str">
        <f>IFERROR(_xlfn.XLOOKUP($B263,Raw_Data!$A$3:$A$273,Raw_Data!$V$3:$V$273),"")</f>
        <v>N/A</v>
      </c>
      <c r="Q263" s="16" t="str">
        <f t="shared" si="13"/>
        <v>Y</v>
      </c>
      <c r="R263" s="32" t="str">
        <f>IFERROR(_xlfn.XLOOKUP($B263,Raw_Data!$A$3:$A$273,Raw_Data!$Y$3:$Y$273),"")</f>
        <v>N/A</v>
      </c>
      <c r="S263" s="4" t="str" cm="1">
        <f t="array" ref="S263">_xlfn.LET(_xlpm.s, Raw_Data!W263,_xlpm.strat, _xlfn._xlws.FILTER(REF_Setup!$B$3:$B$40, REF_Setup!$B$3:$B$40&lt;&gt;""),IF(OR(_xlpm.s="",_xlpm.s=0),"Unclassified",IF(SUM(--ISNUMBER(SEARCH(_xlpm.strat, _xlpm.s)))&gt;0, "Y", "N"))
)</f>
        <v>Unclassified</v>
      </c>
      <c r="T263" s="4" t="str" cm="1">
        <f t="array" ref="T263">_xlfn.LET(_xlpm.s,M263,_xlpm.phil, _xlfn._xlws.FILTER(REF_Setup!$D$3:$D$5, REF_Setup!$D$3:$D$5&lt;&gt;""),IF(OR(_xlpm.s="", _xlpm.s=0),"Unclassified",IF(SUM(--ISNUMBER(SEARCH(_xlpm.phil, _xlpm.s)))&gt;0, "Y", "N")))</f>
        <v>Unclassified</v>
      </c>
      <c r="U263" s="4" t="str" cm="1">
        <f t="array" ref="U263">IF(M263="", "Unclassified", IF(AND(SUMPRODUCT(--ISNUMBER(SEARCH(REF_Setup!$B$3:$B$40,M263)))&gt;0,SUMPRODUCT(--ISNUMBER(SEARCH(REF_Setup!$F$3:$F$15,M263)))&gt;0),"Mixed",IF(SUMPRODUCT(--ISNUMBER(SEARCH(REF_Setup!$B$3:$B$40,M263)))&gt;0,"Strategic Only",IF(SUMPRODUCT(--ISNUMBER(SEARCH(REF_Setup!$F$3:$F$15,M263)))&gt;0,"VC Only","Unclassified"))))</f>
        <v>Unclassified</v>
      </c>
    </row>
    <row r="264" spans="2:21" ht="43.5" x14ac:dyDescent="0.35">
      <c r="B264" s="4">
        <f t="shared" si="14"/>
        <v>262</v>
      </c>
      <c r="C264" s="4" t="str">
        <f>IFERROR(_xlfn.XLOOKUP($B264,Raw_Data!$A$3:$A$273,Raw_Data!$B$3:$B$273),"")</f>
        <v>Wildtype</v>
      </c>
      <c r="D264" s="4" t="str">
        <f>IFERROR(_xlfn.XLOOKUP($B264,Raw_Data!$A$3:$A$273,Raw_Data!$C$3:$C$273),"")</f>
        <v>San Francisco, CA</v>
      </c>
      <c r="E264" s="4">
        <f>IFERROR(_xlfn.XLOOKUP($B264,Raw_Data!$A$3:$A$273,Raw_Data!$D$3:$D$273),"")</f>
        <v>2016</v>
      </c>
      <c r="F264" s="4" t="str">
        <f>IFERROR(_xlfn.XLOOKUP($B264,Raw_Data!$A$3:$A$273,Raw_Data!$F$3:$F$273),"")</f>
        <v>Food &amp; Ag</v>
      </c>
      <c r="G264" s="35">
        <f>IFERROR(_xlfn.XLOOKUP($B264,Raw_Data!$A$3:$A$273,Raw_Data!$J$3:$J$273),"")</f>
        <v>44589</v>
      </c>
      <c r="H264" s="16" t="s">
        <v>1467</v>
      </c>
      <c r="I264" s="36">
        <f>IFERROR(_xlfn.XLOOKUP($B264,Raw_Data!$A$3:$A$273,Raw_Data!$I$3:$I$273),"")</f>
        <v>120</v>
      </c>
      <c r="J264" s="36">
        <f>IFERROR(_xlfn.XLOOKUP($B264,Raw_Data!$A$3:$A$273,Raw_Data!$L$3:$L$273),"")</f>
        <v>100</v>
      </c>
      <c r="K264" s="36">
        <f>IFERROR(_xlfn.XLOOKUP($B264,Raw_Data!$A$3:$A$273,Raw_Data!$M$3:$M$273),"")</f>
        <v>449.69</v>
      </c>
      <c r="L264" s="15">
        <f>IFERROR(_xlfn.XLOOKUP($B264,Raw_Data!$A$3:$A$273,Raw_Data!$Q$3:$Q$273),"")</f>
        <v>0</v>
      </c>
      <c r="M264" s="34" t="str">
        <f>IFERROR(_xlfn.XLOOKUP($B264,Raw_Data!$A$3:$A$273,Raw_Data!$R$3:$R$273),"")</f>
        <v>AiiM Partners; Bezos Expeditions; Cargill; CRV; Footprint Coalition; Full Circle Africa; Hestia Venture Partners; L Catterton; Leonardo Di Caprio; Maven Ventures; Root Ventures; S2G Ventures; Spark Capital; Temasek Holdings</v>
      </c>
      <c r="N264" s="16" cm="1">
        <f t="array" ref="N264">IF(M264="",0,COUNTA(_xlfn._xlws.FILTER(_xlfn.TEXTSPLIT(M264,";"), _xlfn.TEXTSPLIT(M264,";")&lt;&gt;"")))</f>
        <v>14</v>
      </c>
      <c r="O264" s="16" t="str">
        <f t="shared" si="12"/>
        <v>Y</v>
      </c>
      <c r="P264" s="19">
        <f>IFERROR(_xlfn.XLOOKUP($B264,Raw_Data!$A$3:$A$273,Raw_Data!$V$3:$V$273),"")</f>
        <v>0.35714285714285715</v>
      </c>
      <c r="Q264" s="16" t="str">
        <f t="shared" si="13"/>
        <v>Y</v>
      </c>
      <c r="R264" s="32">
        <f>IFERROR(_xlfn.XLOOKUP($B264,Raw_Data!$A$3:$A$273,Raw_Data!$Y$3:$Y$273),"")</f>
        <v>0.6428571428571429</v>
      </c>
      <c r="S264" s="4" t="str" cm="1">
        <f t="array" ref="S264">_xlfn.LET(_xlpm.s, Raw_Data!W264,_xlpm.strat, _xlfn._xlws.FILTER(REF_Setup!$B$3:$B$40, REF_Setup!$B$3:$B$40&lt;&gt;""),IF(OR(_xlpm.s="",_xlpm.s=0),"Unclassified",IF(SUM(--ISNUMBER(SEARCH(_xlpm.strat, _xlpm.s)))&gt;0, "Y", "N"))
)</f>
        <v>N</v>
      </c>
      <c r="T264" s="4" t="str" cm="1">
        <f t="array" ref="T264">_xlfn.LET(_xlpm.s,M264,_xlpm.phil, _xlfn._xlws.FILTER(REF_Setup!$D$3:$D$5, REF_Setup!$D$3:$D$5&lt;&gt;""),IF(OR(_xlpm.s="", _xlpm.s=0),"Unclassified",IF(SUM(--ISNUMBER(SEARCH(_xlpm.phil, _xlpm.s)))&gt;0, "Y", "N")))</f>
        <v>N</v>
      </c>
      <c r="U264" s="4" t="str" cm="1">
        <f t="array" ref="U264">IF(M264="", "Unclassified", IF(AND(SUMPRODUCT(--ISNUMBER(SEARCH(REF_Setup!$B$3:$B$40,M264)))&gt;0,SUMPRODUCT(--ISNUMBER(SEARCH(REF_Setup!$F$3:$F$15,M264)))&gt;0),"Mixed",IF(SUMPRODUCT(--ISNUMBER(SEARCH(REF_Setup!$B$3:$B$40,M264)))&gt;0,"Strategic Only",IF(SUMPRODUCT(--ISNUMBER(SEARCH(REF_Setup!$F$3:$F$15,M264)))&gt;0,"VC Only","Unclassified"))))</f>
        <v>VC Only</v>
      </c>
    </row>
    <row r="265" spans="2:21" x14ac:dyDescent="0.35">
      <c r="B265" s="4">
        <f t="shared" si="14"/>
        <v>263</v>
      </c>
      <c r="C265" s="4" t="str">
        <f>IFERROR(_xlfn.XLOOKUP($B265,Raw_Data!$A$3:$A$273,Raw_Data!$B$3:$B$273),"")</f>
        <v>Windlift</v>
      </c>
      <c r="D265" s="4" t="str">
        <f>IFERROR(_xlfn.XLOOKUP($B265,Raw_Data!$A$3:$A$273,Raw_Data!$C$3:$C$273),"")</f>
        <v>Durham, NC</v>
      </c>
      <c r="E265" s="4">
        <f>IFERROR(_xlfn.XLOOKUP($B265,Raw_Data!$A$3:$A$273,Raw_Data!$D$3:$D$273),"")</f>
        <v>2006</v>
      </c>
      <c r="F265" s="4" t="str">
        <f>IFERROR(_xlfn.XLOOKUP($B265,Raw_Data!$A$3:$A$273,Raw_Data!$F$3:$F$273),"")</f>
        <v>Renewables</v>
      </c>
      <c r="G265" s="35">
        <f>IFERROR(_xlfn.XLOOKUP($B265,Raw_Data!$A$3:$A$273,Raw_Data!$J$3:$J$273),"")</f>
        <v>44949</v>
      </c>
      <c r="H265" s="16" t="s">
        <v>1466</v>
      </c>
      <c r="I265" s="36">
        <f>IFERROR(_xlfn.XLOOKUP($B265,Raw_Data!$A$3:$A$273,Raw_Data!$I$3:$I$273),"")</f>
        <v>4.4000000000000004</v>
      </c>
      <c r="J265" s="36">
        <f>IFERROR(_xlfn.XLOOKUP($B265,Raw_Data!$A$3:$A$273,Raw_Data!$L$3:$L$273),"")</f>
        <v>0</v>
      </c>
      <c r="K265" s="36">
        <f>IFERROR(_xlfn.XLOOKUP($B265,Raw_Data!$A$3:$A$273,Raw_Data!$M$3:$M$273),"")</f>
        <v>0</v>
      </c>
      <c r="L265" s="15" t="str">
        <f>IFERROR(_xlfn.XLOOKUP($B265,Raw_Data!$A$3:$A$273,Raw_Data!$Q$3:$Q$273),"")</f>
        <v>N/A</v>
      </c>
      <c r="M265" s="34" t="str">
        <f>IFERROR(_xlfn.XLOOKUP($B265,Raw_Data!$A$3:$A$273,Raw_Data!$R$3:$R$273),"")</f>
        <v>K Street Capital; Triangle Tweener Fund</v>
      </c>
      <c r="N265" s="16" cm="1">
        <f t="array" ref="N265">IF(M265="",0,COUNTA(_xlfn._xlws.FILTER(_xlfn.TEXTSPLIT(M265,";"), _xlfn.TEXTSPLIT(M265,";")&lt;&gt;"")))</f>
        <v>2</v>
      </c>
      <c r="O265" s="16" t="str">
        <f t="shared" si="12"/>
        <v>N</v>
      </c>
      <c r="P265" s="19">
        <f>IFERROR(_xlfn.XLOOKUP($B265,Raw_Data!$A$3:$A$273,Raw_Data!$V$3:$V$273),"")</f>
        <v>0</v>
      </c>
      <c r="Q265" s="16" t="str">
        <f t="shared" si="13"/>
        <v>Y</v>
      </c>
      <c r="R265" s="32">
        <f>IFERROR(_xlfn.XLOOKUP($B265,Raw_Data!$A$3:$A$273,Raw_Data!$Y$3:$Y$273),"")</f>
        <v>1</v>
      </c>
      <c r="S265" s="4" t="str" cm="1">
        <f t="array" ref="S265">_xlfn.LET(_xlpm.s, Raw_Data!W265,_xlpm.strat, _xlfn._xlws.FILTER(REF_Setup!$B$3:$B$40, REF_Setup!$B$3:$B$40&lt;&gt;""),IF(OR(_xlpm.s="",_xlpm.s=0),"Unclassified",IF(SUM(--ISNUMBER(SEARCH(_xlpm.strat, _xlpm.s)))&gt;0, "Y", "N"))
)</f>
        <v>N</v>
      </c>
      <c r="T265" s="4" t="str" cm="1">
        <f t="array" ref="T265">_xlfn.LET(_xlpm.s,M265,_xlpm.phil, _xlfn._xlws.FILTER(REF_Setup!$D$3:$D$5, REF_Setup!$D$3:$D$5&lt;&gt;""),IF(OR(_xlpm.s="", _xlpm.s=0),"Unclassified",IF(SUM(--ISNUMBER(SEARCH(_xlpm.phil, _xlpm.s)))&gt;0, "Y", "N")))</f>
        <v>N</v>
      </c>
      <c r="U265" s="4" t="str" cm="1">
        <f t="array" ref="U265">IF(M265="", "Unclassified", IF(AND(SUMPRODUCT(--ISNUMBER(SEARCH(REF_Setup!$B$3:$B$40,M265)))&gt;0,SUMPRODUCT(--ISNUMBER(SEARCH(REF_Setup!$F$3:$F$15,M265)))&gt;0),"Mixed",IF(SUMPRODUCT(--ISNUMBER(SEARCH(REF_Setup!$B$3:$B$40,M265)))&gt;0,"Strategic Only",IF(SUMPRODUCT(--ISNUMBER(SEARCH(REF_Setup!$F$3:$F$15,M265)))&gt;0,"VC Only","Unclassified"))))</f>
        <v>VC Only</v>
      </c>
    </row>
    <row r="266" spans="2:21" x14ac:dyDescent="0.35">
      <c r="B266" s="4">
        <f t="shared" si="14"/>
        <v>264</v>
      </c>
      <c r="C266" s="4" t="str">
        <f>IFERROR(_xlfn.XLOOKUP($B266,Raw_Data!$A$3:$A$273,Raw_Data!$B$3:$B$273),"")</f>
        <v>Wrightspeed</v>
      </c>
      <c r="D266" s="4" t="str">
        <f>IFERROR(_xlfn.XLOOKUP($B266,Raw_Data!$A$3:$A$273,Raw_Data!$C$3:$C$273),"")</f>
        <v>Alameda, CA</v>
      </c>
      <c r="E266" s="4">
        <f>IFERROR(_xlfn.XLOOKUP($B266,Raw_Data!$A$3:$A$273,Raw_Data!$D$3:$D$273),"")</f>
        <v>2005</v>
      </c>
      <c r="F266" s="4" t="str">
        <f>IFERROR(_xlfn.XLOOKUP($B266,Raw_Data!$A$3:$A$273,Raw_Data!$F$3:$F$273),"")</f>
        <v>Mobility</v>
      </c>
      <c r="G266" s="35">
        <f>IFERROR(_xlfn.XLOOKUP($B266,Raw_Data!$A$3:$A$273,Raw_Data!$J$3:$J$273),"")</f>
        <v>43707</v>
      </c>
      <c r="H266" s="16" t="s">
        <v>1465</v>
      </c>
      <c r="I266" s="36">
        <f>IFERROR(_xlfn.XLOOKUP($B266,Raw_Data!$A$3:$A$273,Raw_Data!$I$3:$I$273),"")</f>
        <v>64.73</v>
      </c>
      <c r="J266" s="36">
        <f>IFERROR(_xlfn.XLOOKUP($B266,Raw_Data!$A$3:$A$273,Raw_Data!$L$3:$L$273),"")</f>
        <v>11.45</v>
      </c>
      <c r="K266" s="36">
        <f>IFERROR(_xlfn.XLOOKUP($B266,Raw_Data!$A$3:$A$273,Raw_Data!$M$3:$M$273),"")</f>
        <v>15.45</v>
      </c>
      <c r="L266" s="15">
        <f>IFERROR(_xlfn.XLOOKUP($B266,Raw_Data!$A$3:$A$273,Raw_Data!$Q$3:$Q$273),"")</f>
        <v>0</v>
      </c>
      <c r="M266" s="34" t="str">
        <f>IFERROR(_xlfn.XLOOKUP($B266,Raw_Data!$A$3:$A$273,Raw_Data!$R$3:$R$273),"")</f>
        <v>Edgewater Captial Group; Firsthand Capital Management</v>
      </c>
      <c r="N266" s="16" cm="1">
        <f t="array" ref="N266">IF(M266="",0,COUNTA(_xlfn._xlws.FILTER(_xlfn.TEXTSPLIT(M266,";"), _xlfn.TEXTSPLIT(M266,";")&lt;&gt;"")))</f>
        <v>2</v>
      </c>
      <c r="O266" s="16" t="str">
        <f t="shared" si="12"/>
        <v>N</v>
      </c>
      <c r="P266" s="19">
        <f>IFERROR(_xlfn.XLOOKUP($B266,Raw_Data!$A$3:$A$273,Raw_Data!$V$3:$V$273),"")</f>
        <v>0</v>
      </c>
      <c r="Q266" s="16" t="str">
        <f t="shared" si="13"/>
        <v>Y</v>
      </c>
      <c r="R266" s="32">
        <f>IFERROR(_xlfn.XLOOKUP($B266,Raw_Data!$A$3:$A$273,Raw_Data!$Y$3:$Y$273),"")</f>
        <v>1</v>
      </c>
      <c r="S266" s="4" t="str" cm="1">
        <f t="array" ref="S266">_xlfn.LET(_xlpm.s, Raw_Data!W266,_xlpm.strat, _xlfn._xlws.FILTER(REF_Setup!$B$3:$B$40, REF_Setup!$B$3:$B$40&lt;&gt;""),IF(OR(_xlpm.s="",_xlpm.s=0),"Unclassified",IF(SUM(--ISNUMBER(SEARCH(_xlpm.strat, _xlpm.s)))&gt;0, "Y", "N"))
)</f>
        <v>N</v>
      </c>
      <c r="T266" s="4" t="str" cm="1">
        <f t="array" ref="T266">_xlfn.LET(_xlpm.s,M266,_xlpm.phil, _xlfn._xlws.FILTER(REF_Setup!$D$3:$D$5, REF_Setup!$D$3:$D$5&lt;&gt;""),IF(OR(_xlpm.s="", _xlpm.s=0),"Unclassified",IF(SUM(--ISNUMBER(SEARCH(_xlpm.phil, _xlpm.s)))&gt;0, "Y", "N")))</f>
        <v>N</v>
      </c>
      <c r="U266" s="4" t="str" cm="1">
        <f t="array" ref="U266">IF(M266="", "Unclassified", IF(AND(SUMPRODUCT(--ISNUMBER(SEARCH(REF_Setup!$B$3:$B$40,M266)))&gt;0,SUMPRODUCT(--ISNUMBER(SEARCH(REF_Setup!$F$3:$F$15,M266)))&gt;0),"Mixed",IF(SUMPRODUCT(--ISNUMBER(SEARCH(REF_Setup!$B$3:$B$40,M266)))&gt;0,"Strategic Only",IF(SUMPRODUCT(--ISNUMBER(SEARCH(REF_Setup!$F$3:$F$15,M266)))&gt;0,"VC Only","Unclassified"))))</f>
        <v>VC Only</v>
      </c>
    </row>
    <row r="267" spans="2:21" ht="29" x14ac:dyDescent="0.35">
      <c r="B267" s="4">
        <f t="shared" si="14"/>
        <v>265</v>
      </c>
      <c r="C267" s="4" t="str">
        <f>IFERROR(_xlfn.XLOOKUP($B267,Raw_Data!$A$3:$A$273,Raw_Data!$B$3:$B$273),"")</f>
        <v>XGS Energy</v>
      </c>
      <c r="D267" s="4" t="str">
        <f>IFERROR(_xlfn.XLOOKUP($B267,Raw_Data!$A$3:$A$273,Raw_Data!$C$3:$C$273),"")</f>
        <v>Palo Alto, CA</v>
      </c>
      <c r="E267" s="4">
        <f>IFERROR(_xlfn.XLOOKUP($B267,Raw_Data!$A$3:$A$273,Raw_Data!$D$3:$D$273),"")</f>
        <v>2008</v>
      </c>
      <c r="F267" s="4" t="str">
        <f>IFERROR(_xlfn.XLOOKUP($B267,Raw_Data!$A$3:$A$273,Raw_Data!$F$3:$F$273),"")</f>
        <v>Renewables</v>
      </c>
      <c r="G267" s="35">
        <f>IFERROR(_xlfn.XLOOKUP($B267,Raw_Data!$A$3:$A$273,Raw_Data!$J$3:$J$273),"")</f>
        <v>45716</v>
      </c>
      <c r="H267" s="16" t="s">
        <v>1465</v>
      </c>
      <c r="I267" s="36">
        <f>IFERROR(_xlfn.XLOOKUP($B267,Raw_Data!$A$3:$A$273,Raw_Data!$I$3:$I$273),"")</f>
        <v>52</v>
      </c>
      <c r="J267" s="36">
        <f>IFERROR(_xlfn.XLOOKUP($B267,Raw_Data!$A$3:$A$273,Raw_Data!$L$3:$L$273),"")</f>
        <v>13</v>
      </c>
      <c r="K267" s="36">
        <f>IFERROR(_xlfn.XLOOKUP($B267,Raw_Data!$A$3:$A$273,Raw_Data!$M$3:$M$273),"")</f>
        <v>0</v>
      </c>
      <c r="L267" s="15">
        <f>IFERROR(_xlfn.XLOOKUP($B267,Raw_Data!$A$3:$A$273,Raw_Data!$Q$3:$Q$273),"")</f>
        <v>0</v>
      </c>
      <c r="M267" s="34" t="str">
        <f>IFERROR(_xlfn.XLOOKUP($B267,Raw_Data!$A$3:$A$273,Raw_Data!$R$3:$R$273),"")</f>
        <v>Aligned Climate Capital; ClearSky; Climate Innovation Capital; WovenEarth Ventures</v>
      </c>
      <c r="N267" s="16" cm="1">
        <f t="array" ref="N267">IF(M267="",0,COUNTA(_xlfn._xlws.FILTER(_xlfn.TEXTSPLIT(M267,";"), _xlfn.TEXTSPLIT(M267,";")&lt;&gt;"")))</f>
        <v>4</v>
      </c>
      <c r="O267" s="16" t="str">
        <f t="shared" si="12"/>
        <v>N</v>
      </c>
      <c r="P267" s="19">
        <f>IFERROR(_xlfn.XLOOKUP($B267,Raw_Data!$A$3:$A$273,Raw_Data!$V$3:$V$273),"")</f>
        <v>0</v>
      </c>
      <c r="Q267" s="16" t="str">
        <f t="shared" si="13"/>
        <v>Y</v>
      </c>
      <c r="R267" s="32">
        <f>IFERROR(_xlfn.XLOOKUP($B267,Raw_Data!$A$3:$A$273,Raw_Data!$Y$3:$Y$273),"")</f>
        <v>1</v>
      </c>
      <c r="S267" s="4" t="str" cm="1">
        <f t="array" ref="S267">_xlfn.LET(_xlpm.s, Raw_Data!W267,_xlpm.strat, _xlfn._xlws.FILTER(REF_Setup!$B$3:$B$40, REF_Setup!$B$3:$B$40&lt;&gt;""),IF(OR(_xlpm.s="",_xlpm.s=0),"Unclassified",IF(SUM(--ISNUMBER(SEARCH(_xlpm.strat, _xlpm.s)))&gt;0, "Y", "N"))
)</f>
        <v>N</v>
      </c>
      <c r="T267" s="4" t="str" cm="1">
        <f t="array" ref="T267">_xlfn.LET(_xlpm.s,M267,_xlpm.phil, _xlfn._xlws.FILTER(REF_Setup!$D$3:$D$5, REF_Setup!$D$3:$D$5&lt;&gt;""),IF(OR(_xlpm.s="", _xlpm.s=0),"Unclassified",IF(SUM(--ISNUMBER(SEARCH(_xlpm.phil, _xlpm.s)))&gt;0, "Y", "N")))</f>
        <v>N</v>
      </c>
      <c r="U267" s="4" t="str" cm="1">
        <f t="array" ref="U267">IF(M267="", "Unclassified", IF(AND(SUMPRODUCT(--ISNUMBER(SEARCH(REF_Setup!$B$3:$B$40,M267)))&gt;0,SUMPRODUCT(--ISNUMBER(SEARCH(REF_Setup!$F$3:$F$15,M267)))&gt;0),"Mixed",IF(SUMPRODUCT(--ISNUMBER(SEARCH(REF_Setup!$B$3:$B$40,M267)))&gt;0,"Strategic Only",IF(SUMPRODUCT(--ISNUMBER(SEARCH(REF_Setup!$F$3:$F$15,M267)))&gt;0,"VC Only","Unclassified"))))</f>
        <v>VC Only</v>
      </c>
    </row>
    <row r="268" spans="2:21" x14ac:dyDescent="0.35">
      <c r="B268" s="4">
        <f t="shared" si="14"/>
        <v>266</v>
      </c>
      <c r="C268" s="4" t="str">
        <f>IFERROR(_xlfn.XLOOKUP($B268,Raw_Data!$A$3:$A$273,Raw_Data!$B$3:$B$273),"")</f>
        <v>Zap Energy</v>
      </c>
      <c r="D268" s="4" t="str">
        <f>IFERROR(_xlfn.XLOOKUP($B268,Raw_Data!$A$3:$A$273,Raw_Data!$C$3:$C$273),"")</f>
        <v>Everett, WA</v>
      </c>
      <c r="E268" s="4">
        <f>IFERROR(_xlfn.XLOOKUP($B268,Raw_Data!$A$3:$A$273,Raw_Data!$D$3:$D$273),"")</f>
        <v>2018</v>
      </c>
      <c r="F268" s="4" t="str">
        <f>IFERROR(_xlfn.XLOOKUP($B268,Raw_Data!$A$3:$A$273,Raw_Data!$F$3:$F$273),"")</f>
        <v>Renewables</v>
      </c>
      <c r="G268" s="35">
        <f>IFERROR(_xlfn.XLOOKUP($B268,Raw_Data!$A$3:$A$273,Raw_Data!$J$3:$J$273),"")</f>
        <v>44055</v>
      </c>
      <c r="H268" s="16" t="s">
        <v>1465</v>
      </c>
      <c r="I268" s="36">
        <f>IFERROR(_xlfn.XLOOKUP($B268,Raw_Data!$A$3:$A$273,Raw_Data!$I$3:$I$273),"")</f>
        <v>6.5</v>
      </c>
      <c r="J268" s="36">
        <f>IFERROR(_xlfn.XLOOKUP($B268,Raw_Data!$A$3:$A$273,Raw_Data!$L$3:$L$273),"")</f>
        <v>6.5</v>
      </c>
      <c r="K268" s="36">
        <f>IFERROR(_xlfn.XLOOKUP($B268,Raw_Data!$A$3:$A$273,Raw_Data!$M$3:$M$273),"")</f>
        <v>25</v>
      </c>
      <c r="L268" s="15">
        <f>IFERROR(_xlfn.XLOOKUP($B268,Raw_Data!$A$3:$A$273,Raw_Data!$Q$3:$Q$273),"")</f>
        <v>0</v>
      </c>
      <c r="M268" s="34" t="str">
        <f>IFERROR(_xlfn.XLOOKUP($B268,Raw_Data!$A$3:$A$273,Raw_Data!$R$3:$R$273),"")</f>
        <v>Chevron Technology Ventures; Lowercarbon Capital</v>
      </c>
      <c r="N268" s="16" cm="1">
        <f t="array" ref="N268">IF(M268="",0,COUNTA(_xlfn._xlws.FILTER(_xlfn.TEXTSPLIT(M268,";"), _xlfn.TEXTSPLIT(M268,";")&lt;&gt;"")))</f>
        <v>2</v>
      </c>
      <c r="O268" s="16" t="str">
        <f t="shared" si="12"/>
        <v>N</v>
      </c>
      <c r="P268" s="19">
        <f>IFERROR(_xlfn.XLOOKUP($B268,Raw_Data!$A$3:$A$273,Raw_Data!$V$3:$V$273),"")</f>
        <v>0</v>
      </c>
      <c r="Q268" s="16" t="str">
        <f t="shared" si="13"/>
        <v>Y</v>
      </c>
      <c r="R268" s="32">
        <f>IFERROR(_xlfn.XLOOKUP($B268,Raw_Data!$A$3:$A$273,Raw_Data!$Y$3:$Y$273),"")</f>
        <v>1</v>
      </c>
      <c r="S268" s="4" t="str" cm="1">
        <f t="array" ref="S268">_xlfn.LET(_xlpm.s, Raw_Data!W268,_xlpm.strat, _xlfn._xlws.FILTER(REF_Setup!$B$3:$B$40, REF_Setup!$B$3:$B$40&lt;&gt;""),IF(OR(_xlpm.s="",_xlpm.s=0),"Unclassified",IF(SUM(--ISNUMBER(SEARCH(_xlpm.strat, _xlpm.s)))&gt;0, "Y", "N"))
)</f>
        <v>Y</v>
      </c>
      <c r="T268" s="4" t="str" cm="1">
        <f t="array" ref="T268">_xlfn.LET(_xlpm.s,M268,_xlpm.phil, _xlfn._xlws.FILTER(REF_Setup!$D$3:$D$5, REF_Setup!$D$3:$D$5&lt;&gt;""),IF(OR(_xlpm.s="", _xlpm.s=0),"Unclassified",IF(SUM(--ISNUMBER(SEARCH(_xlpm.phil, _xlpm.s)))&gt;0, "Y", "N")))</f>
        <v>N</v>
      </c>
      <c r="U268" s="4" t="str" cm="1">
        <f t="array" ref="U268">IF(M268="", "Unclassified", IF(AND(SUMPRODUCT(--ISNUMBER(SEARCH(REF_Setup!$B$3:$B$40,M268)))&gt;0,SUMPRODUCT(--ISNUMBER(SEARCH(REF_Setup!$F$3:$F$15,M268)))&gt;0),"Mixed",IF(SUMPRODUCT(--ISNUMBER(SEARCH(REF_Setup!$B$3:$B$40,M268)))&gt;0,"Strategic Only",IF(SUMPRODUCT(--ISNUMBER(SEARCH(REF_Setup!$F$3:$F$15,M268)))&gt;0,"VC Only","Unclassified"))))</f>
        <v>Mixed</v>
      </c>
    </row>
    <row r="269" spans="2:21" x14ac:dyDescent="0.35">
      <c r="B269" s="4">
        <f t="shared" si="14"/>
        <v>267</v>
      </c>
      <c r="C269" s="4" t="str">
        <f>IFERROR(_xlfn.XLOOKUP($B269,Raw_Data!$A$3:$A$273,Raw_Data!$B$3:$B$273),"")</f>
        <v>Zauben</v>
      </c>
      <c r="D269" s="4" t="str">
        <f>IFERROR(_xlfn.XLOOKUP($B269,Raw_Data!$A$3:$A$273,Raw_Data!$C$3:$C$273),"")</f>
        <v>Chicago, IL</v>
      </c>
      <c r="E269" s="4">
        <f>IFERROR(_xlfn.XLOOKUP($B269,Raw_Data!$A$3:$A$273,Raw_Data!$D$3:$D$273),"")</f>
        <v>2019</v>
      </c>
      <c r="F269" s="4" t="str">
        <f>IFERROR(_xlfn.XLOOKUP($B269,Raw_Data!$A$3:$A$273,Raw_Data!$F$3:$F$273),"")</f>
        <v>Buildings</v>
      </c>
      <c r="G269" s="35">
        <f>IFERROR(_xlfn.XLOOKUP($B269,Raw_Data!$A$3:$A$273,Raw_Data!$J$3:$J$273),"")</f>
        <v>44120</v>
      </c>
      <c r="H269" s="16" t="s">
        <v>1466</v>
      </c>
      <c r="I269" s="36">
        <f>IFERROR(_xlfn.XLOOKUP($B269,Raw_Data!$A$3:$A$273,Raw_Data!$I$3:$I$273),"")</f>
        <v>0.75</v>
      </c>
      <c r="J269" s="36">
        <f>IFERROR(_xlfn.XLOOKUP($B269,Raw_Data!$A$3:$A$273,Raw_Data!$L$3:$L$273),"")</f>
        <v>0.75</v>
      </c>
      <c r="K269" s="36">
        <f>IFERROR(_xlfn.XLOOKUP($B269,Raw_Data!$A$3:$A$273,Raw_Data!$M$3:$M$273),"")</f>
        <v>3.75</v>
      </c>
      <c r="L269" s="15">
        <f>IFERROR(_xlfn.XLOOKUP($B269,Raw_Data!$A$3:$A$273,Raw_Data!$Q$3:$Q$273),"")</f>
        <v>0</v>
      </c>
      <c r="M269" s="34" t="str">
        <f>IFERROR(_xlfn.XLOOKUP($B269,Raw_Data!$A$3:$A$273,Raw_Data!$R$3:$R$273),"")</f>
        <v>Carnite Ventures; Houston Angel Network</v>
      </c>
      <c r="N269" s="16" cm="1">
        <f t="array" ref="N269">IF(M269="",0,COUNTA(_xlfn._xlws.FILTER(_xlfn.TEXTSPLIT(M269,";"), _xlfn.TEXTSPLIT(M269,";")&lt;&gt;"")))</f>
        <v>2</v>
      </c>
      <c r="O269" s="16" t="str">
        <f t="shared" si="12"/>
        <v>N</v>
      </c>
      <c r="P269" s="19">
        <f>IFERROR(_xlfn.XLOOKUP($B269,Raw_Data!$A$3:$A$273,Raw_Data!$V$3:$V$273),"")</f>
        <v>0</v>
      </c>
      <c r="Q269" s="16" t="str">
        <f t="shared" si="13"/>
        <v>Y</v>
      </c>
      <c r="R269" s="32">
        <f>IFERROR(_xlfn.XLOOKUP($B269,Raw_Data!$A$3:$A$273,Raw_Data!$Y$3:$Y$273),"")</f>
        <v>1</v>
      </c>
      <c r="S269" s="4" t="str" cm="1">
        <f t="array" ref="S269">_xlfn.LET(_xlpm.s, Raw_Data!W269,_xlpm.strat, _xlfn._xlws.FILTER(REF_Setup!$B$3:$B$40, REF_Setup!$B$3:$B$40&lt;&gt;""),IF(OR(_xlpm.s="",_xlpm.s=0),"Unclassified",IF(SUM(--ISNUMBER(SEARCH(_xlpm.strat, _xlpm.s)))&gt;0, "Y", "N"))
)</f>
        <v>N</v>
      </c>
      <c r="T269" s="4" t="str" cm="1">
        <f t="array" ref="T269">_xlfn.LET(_xlpm.s,M269,_xlpm.phil, _xlfn._xlws.FILTER(REF_Setup!$D$3:$D$5, REF_Setup!$D$3:$D$5&lt;&gt;""),IF(OR(_xlpm.s="", _xlpm.s=0),"Unclassified",IF(SUM(--ISNUMBER(SEARCH(_xlpm.phil, _xlpm.s)))&gt;0, "Y", "N")))</f>
        <v>N</v>
      </c>
      <c r="U269" s="4" t="str" cm="1">
        <f t="array" ref="U269">IF(M269="", "Unclassified", IF(AND(SUMPRODUCT(--ISNUMBER(SEARCH(REF_Setup!$B$3:$B$40,M269)))&gt;0,SUMPRODUCT(--ISNUMBER(SEARCH(REF_Setup!$F$3:$F$15,M269)))&gt;0),"Mixed",IF(SUMPRODUCT(--ISNUMBER(SEARCH(REF_Setup!$B$3:$B$40,M269)))&gt;0,"Strategic Only",IF(SUMPRODUCT(--ISNUMBER(SEARCH(REF_Setup!$F$3:$F$15,M269)))&gt;0,"VC Only","Unclassified"))))</f>
        <v>VC Only</v>
      </c>
    </row>
    <row r="270" spans="2:21" x14ac:dyDescent="0.35">
      <c r="B270" s="4">
        <f t="shared" si="14"/>
        <v>268</v>
      </c>
      <c r="C270" s="4" t="str">
        <f>IFERROR(_xlfn.XLOOKUP($B270,Raw_Data!$A$3:$A$273,Raw_Data!$B$3:$B$273),"")</f>
        <v>Zero Emission Industries</v>
      </c>
      <c r="D270" s="4" t="str">
        <f>IFERROR(_xlfn.XLOOKUP($B270,Raw_Data!$A$3:$A$273,Raw_Data!$C$3:$C$273),"")</f>
        <v>South San Francisco, CA</v>
      </c>
      <c r="E270" s="4">
        <f>IFERROR(_xlfn.XLOOKUP($B270,Raw_Data!$A$3:$A$273,Raw_Data!$D$3:$D$273),"")</f>
        <v>2018</v>
      </c>
      <c r="F270" s="4" t="str">
        <f>IFERROR(_xlfn.XLOOKUP($B270,Raw_Data!$A$3:$A$273,Raw_Data!$F$3:$F$273),"")</f>
        <v>Hydrogen</v>
      </c>
      <c r="G270" s="35">
        <f>IFERROR(_xlfn.XLOOKUP($B270,Raw_Data!$A$3:$A$273,Raw_Data!$J$3:$J$273),"")</f>
        <v>43404</v>
      </c>
      <c r="H270" s="16" t="s">
        <v>1466</v>
      </c>
      <c r="I270" s="36">
        <f>IFERROR(_xlfn.XLOOKUP($B270,Raw_Data!$A$3:$A$273,Raw_Data!$I$3:$I$273),"")</f>
        <v>0.63</v>
      </c>
      <c r="J270" s="36">
        <f>IFERROR(_xlfn.XLOOKUP($B270,Raw_Data!$A$3:$A$273,Raw_Data!$L$3:$L$273),"")</f>
        <v>0.63</v>
      </c>
      <c r="K270" s="36">
        <f>IFERROR(_xlfn.XLOOKUP($B270,Raw_Data!$A$3:$A$273,Raw_Data!$M$3:$M$273),"")</f>
        <v>0</v>
      </c>
      <c r="L270" s="15">
        <f>IFERROR(_xlfn.XLOOKUP($B270,Raw_Data!$A$3:$A$273,Raw_Data!$Q$3:$Q$273),"")</f>
        <v>0</v>
      </c>
      <c r="M270" s="34"/>
      <c r="N270" s="16" cm="1">
        <f t="array" ref="N270">IF(M270="",0,COUNTA(_xlfn._xlws.FILTER(_xlfn.TEXTSPLIT(M270,";"), _xlfn.TEXTSPLIT(M270,";")&lt;&gt;"")))</f>
        <v>0</v>
      </c>
      <c r="O270" s="16" t="str">
        <f t="shared" si="12"/>
        <v>Y</v>
      </c>
      <c r="P270" s="19" t="str">
        <f>IFERROR(_xlfn.XLOOKUP($B270,Raw_Data!$A$3:$A$273,Raw_Data!$V$3:$V$273),"")</f>
        <v>N/A</v>
      </c>
      <c r="Q270" s="16" t="str">
        <f t="shared" si="13"/>
        <v>Y</v>
      </c>
      <c r="R270" s="32" t="str">
        <f>IFERROR(_xlfn.XLOOKUP($B270,Raw_Data!$A$3:$A$273,Raw_Data!$Y$3:$Y$273),"")</f>
        <v>N/A</v>
      </c>
      <c r="S270" s="4" t="str" cm="1">
        <f t="array" ref="S270">_xlfn.LET(_xlpm.s, Raw_Data!W270,_xlpm.strat, _xlfn._xlws.FILTER(REF_Setup!$B$3:$B$40, REF_Setup!$B$3:$B$40&lt;&gt;""),IF(OR(_xlpm.s="",_xlpm.s=0),"Unclassified",IF(SUM(--ISNUMBER(SEARCH(_xlpm.strat, _xlpm.s)))&gt;0, "Y", "N"))
)</f>
        <v>Unclassified</v>
      </c>
      <c r="T270" s="4" t="str" cm="1">
        <f t="array" ref="T270">_xlfn.LET(_xlpm.s,M270,_xlpm.phil, _xlfn._xlws.FILTER(REF_Setup!$D$3:$D$5, REF_Setup!$D$3:$D$5&lt;&gt;""),IF(OR(_xlpm.s="", _xlpm.s=0),"Unclassified",IF(SUM(--ISNUMBER(SEARCH(_xlpm.phil, _xlpm.s)))&gt;0, "Y", "N")))</f>
        <v>Unclassified</v>
      </c>
      <c r="U270" s="4" t="str" cm="1">
        <f t="array" ref="U270">IF(M270="", "Unclassified", IF(AND(SUMPRODUCT(--ISNUMBER(SEARCH(REF_Setup!$B$3:$B$40,M270)))&gt;0,SUMPRODUCT(--ISNUMBER(SEARCH(REF_Setup!$F$3:$F$15,M270)))&gt;0),"Mixed",IF(SUMPRODUCT(--ISNUMBER(SEARCH(REF_Setup!$B$3:$B$40,M270)))&gt;0,"Strategic Only",IF(SUMPRODUCT(--ISNUMBER(SEARCH(REF_Setup!$F$3:$F$15,M270)))&gt;0,"VC Only","Unclassified"))))</f>
        <v>Unclassified</v>
      </c>
    </row>
    <row r="271" spans="2:21" x14ac:dyDescent="0.35">
      <c r="B271" s="4">
        <f t="shared" si="14"/>
        <v>269</v>
      </c>
      <c r="C271" s="4" t="str">
        <f>IFERROR(_xlfn.XLOOKUP($B271,Raw_Data!$A$3:$A$273,Raw_Data!$B$3:$B$273),"")</f>
        <v>Zero Emission Industries</v>
      </c>
      <c r="D271" s="4" t="str">
        <f>IFERROR(_xlfn.XLOOKUP($B271,Raw_Data!$A$3:$A$273,Raw_Data!$C$3:$C$273),"")</f>
        <v>South San Francisco, CA</v>
      </c>
      <c r="E271" s="4">
        <f>IFERROR(_xlfn.XLOOKUP($B271,Raw_Data!$A$3:$A$273,Raw_Data!$D$3:$D$273),"")</f>
        <v>2018</v>
      </c>
      <c r="F271" s="4" t="str">
        <f>IFERROR(_xlfn.XLOOKUP($B271,Raw_Data!$A$3:$A$273,Raw_Data!$F$3:$F$273),"")</f>
        <v>Hydrogen</v>
      </c>
      <c r="G271" s="35">
        <f>IFERROR(_xlfn.XLOOKUP($B271,Raw_Data!$A$3:$A$273,Raw_Data!$J$3:$J$273),"")</f>
        <v>44562</v>
      </c>
      <c r="H271" s="16" t="s">
        <v>1466</v>
      </c>
      <c r="I271" s="36">
        <f>IFERROR(_xlfn.XLOOKUP($B271,Raw_Data!$A$3:$A$273,Raw_Data!$I$3:$I$273),"")</f>
        <v>0.98</v>
      </c>
      <c r="J271" s="36">
        <f>IFERROR(_xlfn.XLOOKUP($B271,Raw_Data!$A$3:$A$273,Raw_Data!$L$3:$L$273),"")</f>
        <v>0.35</v>
      </c>
      <c r="K271" s="36">
        <f>IFERROR(_xlfn.XLOOKUP($B271,Raw_Data!$A$3:$A$273,Raw_Data!$M$3:$M$273),"")</f>
        <v>0</v>
      </c>
      <c r="L271" s="15">
        <f>IFERROR(_xlfn.XLOOKUP($B271,Raw_Data!$A$3:$A$273,Raw_Data!$Q$3:$Q$273),"")</f>
        <v>0</v>
      </c>
      <c r="M271" s="34"/>
      <c r="N271" s="16" cm="1">
        <f t="array" ref="N271">IF(M271="",0,COUNTA(_xlfn._xlws.FILTER(_xlfn.TEXTSPLIT(M271,";"), _xlfn.TEXTSPLIT(M271,";")&lt;&gt;"")))</f>
        <v>0</v>
      </c>
      <c r="O271" s="16" t="str">
        <f t="shared" si="12"/>
        <v>Y</v>
      </c>
      <c r="P271" s="19" t="str">
        <f>IFERROR(_xlfn.XLOOKUP($B271,Raw_Data!$A$3:$A$273,Raw_Data!$V$3:$V$273),"")</f>
        <v>N/A</v>
      </c>
      <c r="Q271" s="16" t="str">
        <f t="shared" si="13"/>
        <v>Y</v>
      </c>
      <c r="R271" s="32" t="str">
        <f>IFERROR(_xlfn.XLOOKUP($B271,Raw_Data!$A$3:$A$273,Raw_Data!$Y$3:$Y$273),"")</f>
        <v>N/A</v>
      </c>
      <c r="S271" s="4" t="str" cm="1">
        <f t="array" ref="S271">_xlfn.LET(_xlpm.s, Raw_Data!W271,_xlpm.strat, _xlfn._xlws.FILTER(REF_Setup!$B$3:$B$40, REF_Setup!$B$3:$B$40&lt;&gt;""),IF(OR(_xlpm.s="",_xlpm.s=0),"Unclassified",IF(SUM(--ISNUMBER(SEARCH(_xlpm.strat, _xlpm.s)))&gt;0, "Y", "N"))
)</f>
        <v>Unclassified</v>
      </c>
      <c r="T271" s="4" t="str" cm="1">
        <f t="array" ref="T271">_xlfn.LET(_xlpm.s,M271,_xlpm.phil, _xlfn._xlws.FILTER(REF_Setup!$D$3:$D$5, REF_Setup!$D$3:$D$5&lt;&gt;""),IF(OR(_xlpm.s="", _xlpm.s=0),"Unclassified",IF(SUM(--ISNUMBER(SEARCH(_xlpm.phil, _xlpm.s)))&gt;0, "Y", "N")))</f>
        <v>Unclassified</v>
      </c>
      <c r="U271" s="4" t="str" cm="1">
        <f t="array" ref="U271">IF(M271="", "Unclassified", IF(AND(SUMPRODUCT(--ISNUMBER(SEARCH(REF_Setup!$B$3:$B$40,M271)))&gt;0,SUMPRODUCT(--ISNUMBER(SEARCH(REF_Setup!$F$3:$F$15,M271)))&gt;0),"Mixed",IF(SUMPRODUCT(--ISNUMBER(SEARCH(REF_Setup!$B$3:$B$40,M271)))&gt;0,"Strategic Only",IF(SUMPRODUCT(--ISNUMBER(SEARCH(REF_Setup!$F$3:$F$15,M271)))&gt;0,"VC Only","Unclassified"))))</f>
        <v>Unclassified</v>
      </c>
    </row>
    <row r="272" spans="2:21" x14ac:dyDescent="0.35">
      <c r="B272" s="4">
        <f t="shared" si="14"/>
        <v>270</v>
      </c>
      <c r="C272" s="4" t="str">
        <f>IFERROR(_xlfn.XLOOKUP($B272,Raw_Data!$A$3:$A$273,Raw_Data!$B$3:$B$273),"")</f>
        <v>ZincFive</v>
      </c>
      <c r="D272" s="4" t="str">
        <f>IFERROR(_xlfn.XLOOKUP($B272,Raw_Data!$A$3:$A$273,Raw_Data!$C$3:$C$273),"")</f>
        <v>Tualatin, OR</v>
      </c>
      <c r="E272" s="4">
        <f>IFERROR(_xlfn.XLOOKUP($B272,Raw_Data!$A$3:$A$273,Raw_Data!$D$3:$D$273),"")</f>
        <v>2016</v>
      </c>
      <c r="F272" s="4" t="str">
        <f>IFERROR(_xlfn.XLOOKUP($B272,Raw_Data!$A$3:$A$273,Raw_Data!$F$3:$F$273),"")</f>
        <v>LDES</v>
      </c>
      <c r="G272" s="35">
        <f>IFERROR(_xlfn.XLOOKUP($B272,Raw_Data!$A$3:$A$273,Raw_Data!$J$3:$J$273),"")</f>
        <v>45505</v>
      </c>
      <c r="H272" s="4" t="s">
        <v>75</v>
      </c>
      <c r="I272" s="36">
        <f>IFERROR(_xlfn.XLOOKUP($B272,Raw_Data!$A$3:$A$273,Raw_Data!$I$3:$I$273),"")</f>
        <v>219.02</v>
      </c>
      <c r="J272" s="36">
        <f>IFERROR(_xlfn.XLOOKUP($B272,Raw_Data!$A$3:$A$273,Raw_Data!$L$3:$L$273),"")</f>
        <v>0</v>
      </c>
      <c r="K272" s="36">
        <f>IFERROR(_xlfn.XLOOKUP($B272,Raw_Data!$A$3:$A$273,Raw_Data!$M$3:$M$273),"")</f>
        <v>0</v>
      </c>
      <c r="L272" s="15" t="str">
        <f>IFERROR(_xlfn.XLOOKUP($B272,Raw_Data!$A$3:$A$273,Raw_Data!$Q$3:$Q$273),"")</f>
        <v>N/A</v>
      </c>
      <c r="M272" s="34" t="str">
        <f>IFERROR(_xlfn.XLOOKUP($B272,Raw_Data!$A$3:$A$273,Raw_Data!$R$3:$R$273),"")</f>
        <v>DBL Partners; Gray's Creek Capital Partners</v>
      </c>
      <c r="N272" s="16" cm="1">
        <f t="array" ref="N272">IF(M272="",0,COUNTA(_xlfn._xlws.FILTER(_xlfn.TEXTSPLIT(M272,";"), _xlfn.TEXTSPLIT(M272,";")&lt;&gt;"")))</f>
        <v>2</v>
      </c>
      <c r="O272" s="16" t="str">
        <f t="shared" si="12"/>
        <v>N</v>
      </c>
      <c r="P272" s="19">
        <f>IFERROR(_xlfn.XLOOKUP($B272,Raw_Data!$A$3:$A$273,Raw_Data!$V$3:$V$273),"")</f>
        <v>0</v>
      </c>
      <c r="Q272" s="16" t="str">
        <f t="shared" si="13"/>
        <v>Y</v>
      </c>
      <c r="R272" s="32">
        <f>IFERROR(_xlfn.XLOOKUP($B272,Raw_Data!$A$3:$A$273,Raw_Data!$Y$3:$Y$273),"")</f>
        <v>1</v>
      </c>
      <c r="S272" s="4" t="str" cm="1">
        <f t="array" ref="S272">_xlfn.LET(_xlpm.s, Raw_Data!W272,_xlpm.strat, _xlfn._xlws.FILTER(REF_Setup!$B$3:$B$40, REF_Setup!$B$3:$B$40&lt;&gt;""),IF(OR(_xlpm.s="",_xlpm.s=0),"Unclassified",IF(SUM(--ISNUMBER(SEARCH(_xlpm.strat, _xlpm.s)))&gt;0, "Y", "N"))
)</f>
        <v>N</v>
      </c>
      <c r="T272" s="4" t="str" cm="1">
        <f t="array" ref="T272">_xlfn.LET(_xlpm.s,M272,_xlpm.phil, _xlfn._xlws.FILTER(REF_Setup!$D$3:$D$5, REF_Setup!$D$3:$D$5&lt;&gt;""),IF(OR(_xlpm.s="", _xlpm.s=0),"Unclassified",IF(SUM(--ISNUMBER(SEARCH(_xlpm.phil, _xlpm.s)))&gt;0, "Y", "N")))</f>
        <v>N</v>
      </c>
      <c r="U272" s="4" t="str" cm="1">
        <f t="array" ref="U272">IF(M272="", "Unclassified", IF(AND(SUMPRODUCT(--ISNUMBER(SEARCH(REF_Setup!$B$3:$B$40,M272)))&gt;0,SUMPRODUCT(--ISNUMBER(SEARCH(REF_Setup!$F$3:$F$15,M272)))&gt;0),"Mixed",IF(SUMPRODUCT(--ISNUMBER(SEARCH(REF_Setup!$B$3:$B$40,M272)))&gt;0,"Strategic Only",IF(SUMPRODUCT(--ISNUMBER(SEARCH(REF_Setup!$F$3:$F$15,M272)))&gt;0,"VC Only","Unclassified"))))</f>
        <v>VC Only</v>
      </c>
    </row>
    <row r="273" spans="2:21" x14ac:dyDescent="0.35">
      <c r="B273" s="4">
        <f t="shared" si="14"/>
        <v>271</v>
      </c>
      <c r="C273" s="4" t="str">
        <f>IFERROR(_xlfn.XLOOKUP($B273,Raw_Data!$A$3:$A$273,Raw_Data!$B$3:$B$273),"")</f>
        <v>ZincFive</v>
      </c>
      <c r="D273" s="4" t="str">
        <f>IFERROR(_xlfn.XLOOKUP($B273,Raw_Data!$A$3:$A$273,Raw_Data!$C$3:$C$273),"")</f>
        <v>Tualatin, OR</v>
      </c>
      <c r="E273" s="4">
        <f>IFERROR(_xlfn.XLOOKUP($B273,Raw_Data!$A$3:$A$273,Raw_Data!$D$3:$D$273),"")</f>
        <v>2016</v>
      </c>
      <c r="F273" s="4" t="str">
        <f>IFERROR(_xlfn.XLOOKUP($B273,Raw_Data!$A$3:$A$273,Raw_Data!$F$3:$F$273),"")</f>
        <v>LDES</v>
      </c>
      <c r="G273" s="35">
        <f>IFERROR(_xlfn.XLOOKUP($B273,Raw_Data!$A$3:$A$273,Raw_Data!$J$3:$J$273),"")</f>
        <v>45818</v>
      </c>
      <c r="H273" s="4" t="s">
        <v>75</v>
      </c>
      <c r="I273" s="36">
        <f>IFERROR(_xlfn.XLOOKUP($B273,Raw_Data!$A$3:$A$273,Raw_Data!$I$3:$I$273),"")</f>
        <v>244.78</v>
      </c>
      <c r="J273" s="36">
        <f>IFERROR(_xlfn.XLOOKUP($B273,Raw_Data!$A$3:$A$273,Raw_Data!$L$3:$L$273),"")</f>
        <v>25.76</v>
      </c>
      <c r="K273" s="36">
        <f>IFERROR(_xlfn.XLOOKUP($B273,Raw_Data!$A$3:$A$273,Raw_Data!$M$3:$M$273),"")</f>
        <v>0</v>
      </c>
      <c r="L273" s="15">
        <f>IFERROR(_xlfn.XLOOKUP($B273,Raw_Data!$A$3:$A$273,Raw_Data!$Q$3:$Q$273),"")</f>
        <v>0</v>
      </c>
      <c r="M273" s="34"/>
      <c r="N273" s="16" cm="1">
        <f t="array" ref="N273">IF(M273="",0,COUNTA(_xlfn._xlws.FILTER(_xlfn.TEXTSPLIT(M273,";"), _xlfn.TEXTSPLIT(M273,";")&lt;&gt;"")))</f>
        <v>0</v>
      </c>
      <c r="O273" s="16" t="str">
        <f t="shared" si="12"/>
        <v>Y</v>
      </c>
      <c r="P273" s="19" t="str">
        <f>IFERROR(_xlfn.XLOOKUP($B273,Raw_Data!$A$3:$A$273,Raw_Data!$V$3:$V$273),"")</f>
        <v>N/A</v>
      </c>
      <c r="Q273" s="16" t="str">
        <f t="shared" si="13"/>
        <v>Y</v>
      </c>
      <c r="R273" s="32" t="str">
        <f>IFERROR(_xlfn.XLOOKUP($B273,Raw_Data!$A$3:$A$273,Raw_Data!$Y$3:$Y$273),"")</f>
        <v>N/A</v>
      </c>
      <c r="S273" s="4" t="str" cm="1">
        <f t="array" ref="S273">_xlfn.LET(_xlpm.s, Raw_Data!W273,_xlpm.strat, _xlfn._xlws.FILTER(REF_Setup!$B$3:$B$40, REF_Setup!$B$3:$B$40&lt;&gt;""),IF(OR(_xlpm.s="",_xlpm.s=0),"Unclassified",IF(SUM(--ISNUMBER(SEARCH(_xlpm.strat, _xlpm.s)))&gt;0, "Y", "N"))
)</f>
        <v>Unclassified</v>
      </c>
      <c r="T273" s="4" t="str" cm="1">
        <f t="array" ref="T273">_xlfn.LET(_xlpm.s,M273,_xlpm.phil, _xlfn._xlws.FILTER(REF_Setup!$D$3:$D$5, REF_Setup!$D$3:$D$5&lt;&gt;""),IF(OR(_xlpm.s="", _xlpm.s=0),"Unclassified",IF(SUM(--ISNUMBER(SEARCH(_xlpm.phil, _xlpm.s)))&gt;0, "Y", "N")))</f>
        <v>Unclassified</v>
      </c>
      <c r="U273" s="4" t="str" cm="1">
        <f t="array" ref="U273">IF(M273="", "Unclassified", IF(AND(SUMPRODUCT(--ISNUMBER(SEARCH(REF_Setup!$B$3:$B$40,M273)))&gt;0,SUMPRODUCT(--ISNUMBER(SEARCH(REF_Setup!$F$3:$F$15,M273)))&gt;0),"Mixed",IF(SUMPRODUCT(--ISNUMBER(SEARCH(REF_Setup!$B$3:$B$40,M273)))&gt;0,"Strategic Only",IF(SUMPRODUCT(--ISNUMBER(SEARCH(REF_Setup!$F$3:$F$15,M273)))&gt;0,"VC Only","Unclassified"))))</f>
        <v>Unclassified</v>
      </c>
    </row>
    <row r="274" spans="2:21" x14ac:dyDescent="0.35">
      <c r="C274" s="4" t="s">
        <v>517</v>
      </c>
      <c r="D274" s="4" t="s">
        <v>517</v>
      </c>
      <c r="F274" s="4" t="s">
        <v>517</v>
      </c>
      <c r="G274" s="16" t="s">
        <v>517</v>
      </c>
      <c r="H274" s="16" t="s">
        <v>517</v>
      </c>
      <c r="J274" s="16" t="s">
        <v>517</v>
      </c>
      <c r="K274" s="16" t="s">
        <v>517</v>
      </c>
      <c r="L274" s="16" t="s">
        <v>517</v>
      </c>
      <c r="M274" s="43" t="s">
        <v>517</v>
      </c>
      <c r="N274" s="43" t="s">
        <v>517</v>
      </c>
      <c r="O274" s="16" t="s">
        <v>517</v>
      </c>
      <c r="P274" s="4" t="s">
        <v>517</v>
      </c>
      <c r="Q274" s="4" t="s">
        <v>517</v>
      </c>
      <c r="R274" s="4" t="s">
        <v>517</v>
      </c>
      <c r="S274" s="4" t="s">
        <v>517</v>
      </c>
      <c r="T274" s="4" t="s">
        <v>517</v>
      </c>
      <c r="U274" s="4" t="s">
        <v>517</v>
      </c>
    </row>
    <row r="277" spans="2:21" x14ac:dyDescent="0.35">
      <c r="L277" s="47"/>
    </row>
  </sheetData>
  <autoFilter ref="B2:U274" xr:uid="{5B27B9C0-A4E9-41AD-8806-A84612DE9403}"/>
  <dataValidations count="2">
    <dataValidation type="list" allowBlank="1" showInputMessage="1" showErrorMessage="1" sqref="S3:T273" xr:uid="{F8F9B2CD-4A56-4EAC-BD6A-EA9395FE7C85}">
      <formula1>"Y,N,Unclassified"</formula1>
    </dataValidation>
    <dataValidation type="list" allowBlank="1" showInputMessage="1" showErrorMessage="1" sqref="U3:U273" xr:uid="{C04A3580-20B3-4BC0-A677-BDFC42892DB1}">
      <formula1>"VC Only,Strategic Only,Mixed,Unclassified"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EA1-3BB1-4EA1-BEF6-DD66A5BDD355}">
  <sheetPr>
    <tabColor rgb="FFFFFF00"/>
  </sheetPr>
  <dimension ref="A1:AC274"/>
  <sheetViews>
    <sheetView workbookViewId="0">
      <pane xSplit="2" ySplit="2" topLeftCell="C3" activePane="bottomRight" state="frozen"/>
      <selection pane="topRight" activeCell="C1" sqref="C1"/>
      <selection pane="bottomLeft" activeCell="A3" sqref="A3"/>
      <selection pane="bottomRight" activeCell="A4" sqref="A4"/>
    </sheetView>
  </sheetViews>
  <sheetFormatPr defaultRowHeight="14.5" x14ac:dyDescent="0.35"/>
  <cols>
    <col min="1" max="1" width="6" bestFit="1" customWidth="1"/>
    <col min="2" max="2" width="34.81640625" bestFit="1" customWidth="1"/>
    <col min="3" max="3" width="21.26953125" bestFit="1" customWidth="1"/>
    <col min="4" max="4" width="12.1796875" bestFit="1" customWidth="1"/>
    <col min="5" max="5" width="27.90625" style="1" customWidth="1"/>
    <col min="6" max="6" width="19.7265625" customWidth="1"/>
    <col min="7" max="7" width="37.81640625" bestFit="1" customWidth="1"/>
    <col min="8" max="8" width="20.453125" customWidth="1"/>
    <col min="9" max="9" width="13" bestFit="1" customWidth="1"/>
    <col min="10" max="10" width="12.1796875" bestFit="1" customWidth="1"/>
    <col min="11" max="11" width="22.453125" bestFit="1" customWidth="1"/>
    <col min="12" max="12" width="8.90625" bestFit="1" customWidth="1"/>
    <col min="13" max="13" width="12.81640625" bestFit="1" customWidth="1"/>
    <col min="14" max="14" width="21.1796875" bestFit="1" customWidth="1"/>
    <col min="15" max="15" width="15.81640625" bestFit="1" customWidth="1"/>
    <col min="16" max="16" width="18.7265625" bestFit="1" customWidth="1"/>
    <col min="17" max="17" width="18.7265625" customWidth="1"/>
    <col min="18" max="18" width="92.36328125" style="1" customWidth="1"/>
    <col min="19" max="19" width="9.81640625" bestFit="1" customWidth="1"/>
    <col min="20" max="20" width="30.90625" style="1" customWidth="1"/>
    <col min="21" max="21" width="24.81640625" bestFit="1" customWidth="1"/>
    <col min="22" max="22" width="24.81640625" customWidth="1"/>
    <col min="23" max="23" width="66.54296875" style="1" customWidth="1"/>
    <col min="24" max="24" width="14.08984375" bestFit="1" customWidth="1"/>
    <col min="25" max="25" width="14.90625" bestFit="1" customWidth="1"/>
    <col min="26" max="26" width="24.36328125" customWidth="1"/>
    <col min="27" max="27" width="22.36328125" bestFit="1" customWidth="1"/>
    <col min="28" max="28" width="49.81640625" bestFit="1" customWidth="1"/>
    <col min="29" max="29" width="52.6328125" bestFit="1" customWidth="1"/>
  </cols>
  <sheetData>
    <row r="1" spans="1:29" x14ac:dyDescent="0.35">
      <c r="A1" s="27" t="s">
        <v>974</v>
      </c>
      <c r="B1" s="27"/>
      <c r="C1" s="27"/>
      <c r="D1" s="27"/>
      <c r="E1" s="28"/>
      <c r="F1" s="27"/>
      <c r="G1" s="27"/>
      <c r="H1" s="27"/>
      <c r="I1" s="20" t="s">
        <v>975</v>
      </c>
      <c r="J1" s="20"/>
      <c r="K1" s="20"/>
      <c r="L1" s="20"/>
      <c r="M1" s="20"/>
      <c r="N1" s="20"/>
      <c r="O1" s="20"/>
      <c r="P1" s="20"/>
      <c r="Q1" s="20"/>
      <c r="R1" s="29" t="s">
        <v>976</v>
      </c>
      <c r="S1" s="2"/>
      <c r="T1" s="3"/>
      <c r="U1" s="2"/>
      <c r="V1" s="2"/>
      <c r="W1" s="3"/>
      <c r="X1" s="2"/>
      <c r="Y1" s="2"/>
      <c r="Z1" s="30" t="s">
        <v>977</v>
      </c>
      <c r="AA1" s="30"/>
      <c r="AB1" s="30"/>
      <c r="AC1" s="4"/>
    </row>
    <row r="2" spans="1:29" x14ac:dyDescent="0.35">
      <c r="A2" s="5" t="s">
        <v>207</v>
      </c>
      <c r="B2" s="5" t="s">
        <v>152</v>
      </c>
      <c r="C2" s="5" t="s">
        <v>160</v>
      </c>
      <c r="D2" s="5" t="s">
        <v>161</v>
      </c>
      <c r="E2" s="6" t="s">
        <v>162</v>
      </c>
      <c r="F2" s="5" t="s">
        <v>536</v>
      </c>
      <c r="G2" s="5" t="s">
        <v>163</v>
      </c>
      <c r="H2" s="5" t="s">
        <v>164</v>
      </c>
      <c r="I2" s="7" t="s">
        <v>208</v>
      </c>
      <c r="J2" s="7" t="s">
        <v>209</v>
      </c>
      <c r="K2" s="7" t="s">
        <v>558</v>
      </c>
      <c r="L2" s="7" t="s">
        <v>459</v>
      </c>
      <c r="M2" s="7" t="s">
        <v>460</v>
      </c>
      <c r="N2" s="7" t="s">
        <v>462</v>
      </c>
      <c r="O2" s="7" t="s">
        <v>461</v>
      </c>
      <c r="P2" s="8" t="s">
        <v>463</v>
      </c>
      <c r="Q2" s="8" t="s">
        <v>516</v>
      </c>
      <c r="R2" s="9" t="s">
        <v>464</v>
      </c>
      <c r="S2" s="10" t="s">
        <v>513</v>
      </c>
      <c r="T2" s="9" t="s">
        <v>465</v>
      </c>
      <c r="U2" s="10" t="s">
        <v>466</v>
      </c>
      <c r="V2" s="10" t="s">
        <v>514</v>
      </c>
      <c r="W2" s="9" t="s">
        <v>467</v>
      </c>
      <c r="X2" s="10" t="s">
        <v>468</v>
      </c>
      <c r="Y2" s="10" t="s">
        <v>515</v>
      </c>
      <c r="Z2" s="11" t="s">
        <v>559</v>
      </c>
      <c r="AA2" s="11" t="s">
        <v>478</v>
      </c>
      <c r="AB2" s="11" t="s">
        <v>479</v>
      </c>
      <c r="AC2" s="4"/>
    </row>
    <row r="3" spans="1:29" x14ac:dyDescent="0.35">
      <c r="A3" s="4">
        <v>1</v>
      </c>
      <c r="B3" s="4" t="s">
        <v>165</v>
      </c>
      <c r="C3" s="4" t="s">
        <v>166</v>
      </c>
      <c r="D3" s="4">
        <v>2015</v>
      </c>
      <c r="E3" s="12" t="s">
        <v>897</v>
      </c>
      <c r="F3" s="4" t="s">
        <v>557</v>
      </c>
      <c r="G3" s="4" t="s">
        <v>1048</v>
      </c>
      <c r="H3" s="4" t="s">
        <v>979</v>
      </c>
      <c r="I3" s="14">
        <v>12.5</v>
      </c>
      <c r="J3" s="13">
        <v>44895</v>
      </c>
      <c r="K3" s="25">
        <v>4.92</v>
      </c>
      <c r="L3" s="14">
        <v>3.5</v>
      </c>
      <c r="M3" s="14">
        <v>40</v>
      </c>
      <c r="N3" s="4"/>
      <c r="O3" s="4"/>
      <c r="P3" s="4"/>
      <c r="Q3" s="15">
        <f>IF(L3&gt;0,P3/L3,"N/A")</f>
        <v>0</v>
      </c>
      <c r="R3" s="12" t="s">
        <v>469</v>
      </c>
      <c r="S3" s="16" cm="1">
        <f t="array" ref="S3">IF(R3="",0,COUNTA(_xlfn._xlws.FILTER(_xlfn.TEXTSPLIT(R3,";"), _xlfn.TEXTSPLIT(R3,";")&lt;&gt;"")))</f>
        <v>1</v>
      </c>
      <c r="T3" s="12"/>
      <c r="U3" s="16" cm="1">
        <f t="array" ref="U3">IF(T3="",0,COUNTA(_xlfn._xlws.FILTER(_xlfn.TEXTSPLIT(T3,";"), _xlfn.TEXTSPLIT(T3,";")&lt;&gt;"")))</f>
        <v>0</v>
      </c>
      <c r="V3" s="17">
        <f>IF(S3=0,"N/A",U3/$S3)</f>
        <v>0</v>
      </c>
      <c r="W3" s="12" t="str" cm="1">
        <f t="array" ref="W3">IF(T3="",R3,_xlfn.LET(
_xlpm.invRaw,TRIM(_xlfn.TEXTSPLIT(R3,";")),
_xlpm.inv,_xlfn._xlws.FILTER(_xlpm.invRaw,(_xlpm.invRaw&lt;&gt;"")*(LOWER(_xlpm.invRaw)&lt;&gt;"undisclosed"),""),
_xlpm.folRaw,TRIM(_xlfn.TEXTSPLIT(T3,";")),
_xlpm.fol,_xlfn._xlws.FILTER(_xlpm.folRaw,(_xlpm.folRaw&lt;&gt;"")*(LOWER(_xlpm.folRaw)&lt;&gt;"Undisclosed"),""),
_xlfn.TEXTJOIN("; ",TRUE,_xlfn._xlws.FILTER(_xlpm.inv,ISNA(MATCH(_xlpm.inv,_xlpm.fol,0)),""))
)
)</f>
        <v>Safar Partners</v>
      </c>
      <c r="X3" s="16" cm="1">
        <f t="array" ref="X3">IF(W3="","N/A",COUNTA(_xlfn._xlws.FILTER(_xlfn.TEXTSPLIT(W3,";"), _xlfn.TEXTSPLIT(W3,";")&lt;&gt;"")))</f>
        <v>1</v>
      </c>
      <c r="Y3" s="17">
        <f>IF(S3&gt;0,IF(X3="N/A","N/A",X3/$S3),"N/A")</f>
        <v>1</v>
      </c>
      <c r="Z3" s="4" t="s">
        <v>810</v>
      </c>
      <c r="AA3" s="4" t="s">
        <v>831</v>
      </c>
      <c r="AB3" s="4" t="s">
        <v>811</v>
      </c>
      <c r="AC3" s="4" t="s">
        <v>517</v>
      </c>
    </row>
    <row r="4" spans="1:29" x14ac:dyDescent="0.35">
      <c r="A4" s="4">
        <f>A3+1</f>
        <v>2</v>
      </c>
      <c r="B4" s="4" t="s">
        <v>165</v>
      </c>
      <c r="C4" s="4" t="s">
        <v>166</v>
      </c>
      <c r="D4" s="4">
        <v>2015</v>
      </c>
      <c r="E4" s="12" t="s">
        <v>897</v>
      </c>
      <c r="F4" s="4" t="s">
        <v>557</v>
      </c>
      <c r="G4" s="4" t="s">
        <v>1048</v>
      </c>
      <c r="H4" s="4" t="s">
        <v>979</v>
      </c>
      <c r="I4" s="14">
        <v>20.5</v>
      </c>
      <c r="J4" s="13">
        <v>45657</v>
      </c>
      <c r="K4" s="25">
        <v>2.09</v>
      </c>
      <c r="L4" s="14">
        <v>8</v>
      </c>
      <c r="M4" s="14"/>
      <c r="N4" s="4"/>
      <c r="O4" s="4"/>
      <c r="P4" s="4"/>
      <c r="Q4" s="15">
        <f t="shared" ref="Q4:Q67" si="0">IF(L4&gt;0,P4/L4,"N/A")</f>
        <v>0</v>
      </c>
      <c r="R4" s="12" t="s">
        <v>585</v>
      </c>
      <c r="S4" s="16" cm="1">
        <f t="array" ref="S4">IF(R4="",0,COUNTA(_xlfn._xlws.FILTER(_xlfn.TEXTSPLIT(R4,";"), _xlfn.TEXTSPLIT(R4,";")&lt;&gt;"")))</f>
        <v>4</v>
      </c>
      <c r="T4" s="12"/>
      <c r="U4" s="16" cm="1">
        <f t="array" ref="U4">IF(T4="",0,COUNTA(_xlfn._xlws.FILTER(_xlfn.TEXTSPLIT(T4,";"), _xlfn.TEXTSPLIT(T4,";")&lt;&gt;"")))</f>
        <v>0</v>
      </c>
      <c r="V4" s="17">
        <f t="shared" ref="V4:V66" si="1">IF(S4=0,"N/A",U4/$S4)</f>
        <v>0</v>
      </c>
      <c r="W4" s="12" t="str" cm="1">
        <f t="array" ref="W4">IF(T4="",R4,_xlfn.LET(_xlpm.inv, TRIM(_xlfn.TEXTSPLIT(R4,";")),_xlpm.fol, TRIM(_xlfn.TEXTSPLIT(T4,";")),_xlfn.TEXTJOIN("; ", TRUE, _xlfn._xlws.FILTER(_xlpm.inv, ISNA(MATCH(_xlpm.inv, _xlpm.fol, 0)), ""))
  )
)</f>
        <v>COCONUT GROVE; First Financial Bankshares; M10Lean capital; Mintz</v>
      </c>
      <c r="X4" s="16" cm="1">
        <f t="array" ref="X4">IF(W4="","N/A",COUNTA(_xlfn._xlws.FILTER(_xlfn.TEXTSPLIT(W4,";"), _xlfn.TEXTSPLIT(W4,";")&lt;&gt;"")))</f>
        <v>4</v>
      </c>
      <c r="Y4" s="17">
        <f t="shared" ref="Y4:Y67" si="2">IF(S4&gt;0,IF(X4="N/A","N/A",X4/$S4),"N/A")</f>
        <v>1</v>
      </c>
      <c r="Z4" s="4" t="s">
        <v>810</v>
      </c>
      <c r="AA4" s="4" t="s">
        <v>828</v>
      </c>
      <c r="AB4" s="4" t="s">
        <v>811</v>
      </c>
      <c r="AC4" s="4" t="s">
        <v>517</v>
      </c>
    </row>
    <row r="5" spans="1:29" ht="43.5" x14ac:dyDescent="0.35">
      <c r="A5" s="4">
        <f t="shared" ref="A5:A68" si="3">A4+1</f>
        <v>3</v>
      </c>
      <c r="B5" s="4" t="s">
        <v>537</v>
      </c>
      <c r="C5" s="4" t="s">
        <v>167</v>
      </c>
      <c r="D5" s="4">
        <v>2018</v>
      </c>
      <c r="E5" s="12" t="s">
        <v>898</v>
      </c>
      <c r="F5" s="4" t="s">
        <v>958</v>
      </c>
      <c r="G5" s="4" t="s">
        <v>1049</v>
      </c>
      <c r="H5" s="4" t="s">
        <v>980</v>
      </c>
      <c r="I5" s="14">
        <v>2.63</v>
      </c>
      <c r="J5" s="13">
        <v>43879</v>
      </c>
      <c r="K5" s="25"/>
      <c r="L5" s="14">
        <v>2.5</v>
      </c>
      <c r="M5" s="14">
        <v>7.93</v>
      </c>
      <c r="N5" s="4"/>
      <c r="O5" s="4"/>
      <c r="P5" s="4">
        <v>7.0000000000000007E-2</v>
      </c>
      <c r="Q5" s="15">
        <f t="shared" si="0"/>
        <v>2.8000000000000004E-2</v>
      </c>
      <c r="R5" s="12" t="s">
        <v>586</v>
      </c>
      <c r="S5" s="16" cm="1">
        <f t="array" ref="S5">IF(R5="",0,COUNTA(_xlfn._xlws.FILTER(_xlfn.TEXTSPLIT(R5,";"), _xlfn.TEXTSPLIT(R5,";")&lt;&gt;"")))</f>
        <v>5</v>
      </c>
      <c r="T5" s="12"/>
      <c r="U5" s="16" cm="1">
        <f t="array" ref="U5">IF(T5="",0,COUNTA(_xlfn._xlws.FILTER(_xlfn.TEXTSPLIT(T5,";"), _xlfn.TEXTSPLIT(T5,";")&lt;&gt;"")))</f>
        <v>0</v>
      </c>
      <c r="V5" s="17">
        <f t="shared" si="1"/>
        <v>0</v>
      </c>
      <c r="W5" s="12" t="str" cm="1">
        <f t="array" ref="W5">IF(T5="",R5,_xlfn.LET(_xlpm.inv, TRIM(_xlfn.TEXTSPLIT(R5,";")),_xlpm.fol, TRIM(_xlfn.TEXTSPLIT(T5,";")),_xlfn.TEXTJOIN("; ", TRUE, _xlfn._xlws.FILTER(_xlpm.inv, ISNA(MATCH(_xlpm.inv, _xlpm.fol, 0)), ""))
  )
)</f>
        <v>Alex Chung; Draper Associates; Kabir Misra; RPS Ventures; SOSV</v>
      </c>
      <c r="X5" s="16" cm="1">
        <f t="array" ref="X5">IF(W5="","N/A",COUNTA(_xlfn._xlws.FILTER(_xlfn.TEXTSPLIT(W5,";"), _xlfn.TEXTSPLIT(W5,";")&lt;&gt;"")))</f>
        <v>5</v>
      </c>
      <c r="Y5" s="17">
        <f t="shared" si="2"/>
        <v>1</v>
      </c>
      <c r="Z5" s="4" t="s">
        <v>812</v>
      </c>
      <c r="AA5" s="4" t="s">
        <v>813</v>
      </c>
      <c r="AB5" s="4" t="s">
        <v>814</v>
      </c>
      <c r="AC5" s="4" t="s">
        <v>517</v>
      </c>
    </row>
    <row r="6" spans="1:29" ht="29" x14ac:dyDescent="0.35">
      <c r="A6" s="4">
        <f t="shared" si="3"/>
        <v>4</v>
      </c>
      <c r="B6" s="4" t="s">
        <v>74</v>
      </c>
      <c r="C6" s="4" t="s">
        <v>168</v>
      </c>
      <c r="D6" s="4">
        <v>2019</v>
      </c>
      <c r="E6" s="12" t="s">
        <v>899</v>
      </c>
      <c r="F6" s="4" t="s">
        <v>978</v>
      </c>
      <c r="G6" s="4" t="s">
        <v>1050</v>
      </c>
      <c r="H6" s="4" t="s">
        <v>981</v>
      </c>
      <c r="I6" s="14">
        <v>650</v>
      </c>
      <c r="J6" s="13">
        <v>44721</v>
      </c>
      <c r="K6" s="25"/>
      <c r="L6" s="14">
        <v>650</v>
      </c>
      <c r="M6" s="14"/>
      <c r="N6" s="4"/>
      <c r="O6" s="4"/>
      <c r="P6" s="4"/>
      <c r="Q6" s="15">
        <f t="shared" si="0"/>
        <v>0</v>
      </c>
      <c r="R6" s="12" t="s">
        <v>587</v>
      </c>
      <c r="S6" s="16" cm="1">
        <f t="array" ref="S6">IF(R6="",0,COUNTA(_xlfn._xlws.FILTER(_xlfn.TEXTSPLIT(R6,";"), _xlfn.TEXTSPLIT(R6,";")&lt;&gt;"")))</f>
        <v>4</v>
      </c>
      <c r="T6" s="12"/>
      <c r="U6" s="16" cm="1">
        <f t="array" ref="U6">IF(T6="",0,COUNTA(_xlfn._xlws.FILTER(_xlfn.TEXTSPLIT(T6,";"), _xlfn.TEXTSPLIT(T6,";")&lt;&gt;"")))</f>
        <v>0</v>
      </c>
      <c r="V6" s="17">
        <f>IF(S6=0,"N/A",U6/$S6)</f>
        <v>0</v>
      </c>
      <c r="W6" s="12" t="str" cm="1">
        <f t="array" ref="W6">IF(T6="",R6,_xlfn.LET(_xlpm.inv, TRIM(_xlfn.TEXTSPLIT(R6,";")),_xlpm.fol, TRIM(_xlfn.TEXTSPLIT(T6,";")),_xlfn.TEXTJOIN("; ", TRUE, _xlfn._xlws.FILTER(_xlpm.inv, ISNA(MATCH(_xlpm.inv, _xlpm.fol, 0)), ""))
  )
)</f>
        <v xml:space="preserve">Alberta Investment Management; GIC Private; Haddington Ventures, Manulife Financial; Onterio Teachers Pension Plan </v>
      </c>
      <c r="X6" s="16" cm="1">
        <f t="array" ref="X6">IF(W6="","N/A",COUNTA(_xlfn._xlws.FILTER(_xlfn.TEXTSPLIT(W6,";"), _xlfn.TEXTSPLIT(W6,";")&lt;&gt;"")))</f>
        <v>4</v>
      </c>
      <c r="Y6" s="17">
        <f t="shared" si="2"/>
        <v>1</v>
      </c>
      <c r="Z6" s="4" t="s">
        <v>815</v>
      </c>
      <c r="AA6" s="4"/>
      <c r="AB6" s="4" t="s">
        <v>816</v>
      </c>
      <c r="AC6" s="4" t="s">
        <v>517</v>
      </c>
    </row>
    <row r="7" spans="1:29" ht="29" x14ac:dyDescent="0.35">
      <c r="A7" s="4">
        <f t="shared" si="3"/>
        <v>5</v>
      </c>
      <c r="B7" s="4" t="s">
        <v>169</v>
      </c>
      <c r="C7" s="4" t="s">
        <v>170</v>
      </c>
      <c r="D7" s="4">
        <v>2024</v>
      </c>
      <c r="E7" s="12" t="s">
        <v>900</v>
      </c>
      <c r="F7" s="4" t="s">
        <v>978</v>
      </c>
      <c r="G7" s="4" t="s">
        <v>1051</v>
      </c>
      <c r="H7" s="4" t="s">
        <v>982</v>
      </c>
      <c r="I7" s="14">
        <v>17.309999999999999</v>
      </c>
      <c r="J7" s="13">
        <v>45978</v>
      </c>
      <c r="K7" s="25"/>
      <c r="L7" s="14">
        <v>8.41</v>
      </c>
      <c r="M7" s="14">
        <v>22</v>
      </c>
      <c r="N7" s="4"/>
      <c r="O7" s="4"/>
      <c r="P7" s="4"/>
      <c r="Q7" s="15">
        <f t="shared" si="0"/>
        <v>0</v>
      </c>
      <c r="R7" s="12" t="s">
        <v>588</v>
      </c>
      <c r="S7" s="16" cm="1">
        <f t="array" ref="S7">IF(R7="",0,COUNTA(_xlfn._xlws.FILTER(_xlfn.TEXTSPLIT(R7,";"), _xlfn.TEXTSPLIT(R7,";")&lt;&gt;"")))</f>
        <v>3</v>
      </c>
      <c r="T7" s="12" t="s">
        <v>560</v>
      </c>
      <c r="U7" s="16" cm="1">
        <f t="array" ref="U7">IF(T7="",0,COUNTA(_xlfn._xlws.FILTER(_xlfn.TEXTSPLIT(T7,";"), _xlfn.TEXTSPLIT(T7,";")&lt;&gt;"")))</f>
        <v>2</v>
      </c>
      <c r="V7" s="17">
        <f t="shared" si="1"/>
        <v>0.66666666666666663</v>
      </c>
      <c r="W7" s="12" t="str" cm="1">
        <f t="array" ref="W7">IF(T7="",R7,_xlfn.LET(_xlpm.inv, TRIM(_xlfn.TEXTSPLIT(R7,";")),_xlpm.fol, TRIM(_xlfn.TEXTSPLIT(T7,";")),_xlfn.TEXTJOIN("; ", TRUE, _xlfn._xlws.FILTER(_xlpm.inv, ISNA(MATCH(_xlpm.inv, _xlpm.fol, 0)), ""))
  )
)</f>
        <v>At One Ventures</v>
      </c>
      <c r="X7" s="16" cm="1">
        <f t="array" ref="X7">IF(W7="","N/A",COUNTA(_xlfn._xlws.FILTER(_xlfn.TEXTSPLIT(W7,";"), _xlfn.TEXTSPLIT(W7,";")&lt;&gt;"")))</f>
        <v>1</v>
      </c>
      <c r="Y7" s="17">
        <f t="shared" si="2"/>
        <v>0.33333333333333331</v>
      </c>
      <c r="Z7" s="4" t="s">
        <v>817</v>
      </c>
      <c r="AA7" s="4" t="s">
        <v>813</v>
      </c>
      <c r="AB7" s="4" t="s">
        <v>818</v>
      </c>
      <c r="AC7" s="4" t="s">
        <v>517</v>
      </c>
    </row>
    <row r="8" spans="1:29" x14ac:dyDescent="0.35">
      <c r="A8" s="4">
        <f t="shared" si="3"/>
        <v>6</v>
      </c>
      <c r="B8" s="4" t="s">
        <v>171</v>
      </c>
      <c r="C8" s="4" t="s">
        <v>172</v>
      </c>
      <c r="D8" s="4">
        <v>2008</v>
      </c>
      <c r="E8" s="12" t="s">
        <v>553</v>
      </c>
      <c r="F8" s="4" t="s">
        <v>959</v>
      </c>
      <c r="G8" s="4" t="s">
        <v>1052</v>
      </c>
      <c r="H8" s="4" t="s">
        <v>983</v>
      </c>
      <c r="I8" s="14">
        <v>8.76</v>
      </c>
      <c r="J8" s="13">
        <v>42207</v>
      </c>
      <c r="K8" s="25">
        <v>1.72</v>
      </c>
      <c r="L8" s="14">
        <v>3.09</v>
      </c>
      <c r="M8" s="14"/>
      <c r="N8" s="4"/>
      <c r="O8" s="4"/>
      <c r="P8" s="4"/>
      <c r="Q8" s="15">
        <f t="shared" si="0"/>
        <v>0</v>
      </c>
      <c r="R8" s="12" t="s">
        <v>470</v>
      </c>
      <c r="S8" s="16" cm="1">
        <f t="array" ref="S8">IF(R8="",0,COUNTA(_xlfn._xlws.FILTER(_xlfn.TEXTSPLIT(R8,";"), _xlfn.TEXTSPLIT(R8,";")&lt;&gt;"")))</f>
        <v>1</v>
      </c>
      <c r="T8" s="12" t="s">
        <v>561</v>
      </c>
      <c r="U8" s="16" cm="1">
        <f t="array" ref="U8">IF(T8="",0,COUNTA(_xlfn._xlws.FILTER(_xlfn.TEXTSPLIT(T8,";"), _xlfn.TEXTSPLIT(T8,";")&lt;&gt;"")))</f>
        <v>1</v>
      </c>
      <c r="V8" s="17">
        <f t="shared" si="1"/>
        <v>1</v>
      </c>
      <c r="W8" s="12" t="str" cm="1">
        <f t="array" ref="W8">IF(T8="",R8,_xlfn.LET(_xlpm.inv, TRIM(_xlfn.TEXTSPLIT(R8,";")),_xlpm.fol, TRIM(_xlfn.TEXTSPLIT(T8,";")),_xlfn.TEXTJOIN("; ", TRUE, _xlfn._xlws.FILTER(_xlpm.inv, ISNA(MATCH(_xlpm.inv, _xlpm.fol, 0)), ""))
  )
)</f>
        <v/>
      </c>
      <c r="X8" s="16" t="str" cm="1">
        <f t="array" ref="X8">IF(W8="","N/A",COUNTA(_xlfn._xlws.FILTER(_xlfn.TEXTSPLIT(W8,";"), _xlfn.TEXTSPLIT(W8,";")&lt;&gt;"")))</f>
        <v>N/A</v>
      </c>
      <c r="Y8" s="17" t="str">
        <f t="shared" si="2"/>
        <v>N/A</v>
      </c>
      <c r="Z8" s="4" t="s">
        <v>810</v>
      </c>
      <c r="AA8" s="4" t="s">
        <v>828</v>
      </c>
      <c r="AB8" s="4" t="s">
        <v>819</v>
      </c>
      <c r="AC8" s="4" t="s">
        <v>517</v>
      </c>
    </row>
    <row r="9" spans="1:29" x14ac:dyDescent="0.35">
      <c r="A9" s="4">
        <f t="shared" si="3"/>
        <v>7</v>
      </c>
      <c r="B9" s="4" t="s">
        <v>171</v>
      </c>
      <c r="C9" s="4" t="s">
        <v>172</v>
      </c>
      <c r="D9" s="4">
        <v>2008</v>
      </c>
      <c r="E9" s="12" t="s">
        <v>554</v>
      </c>
      <c r="F9" s="4" t="s">
        <v>959</v>
      </c>
      <c r="G9" s="4" t="s">
        <v>1052</v>
      </c>
      <c r="H9" s="4" t="s">
        <v>983</v>
      </c>
      <c r="I9" s="14">
        <v>11.88</v>
      </c>
      <c r="J9" s="13">
        <v>42699</v>
      </c>
      <c r="K9" s="25">
        <v>1.35</v>
      </c>
      <c r="L9" s="14">
        <v>3.12</v>
      </c>
      <c r="M9" s="14"/>
      <c r="N9" s="4"/>
      <c r="O9" s="4"/>
      <c r="P9" s="4"/>
      <c r="Q9" s="15">
        <f t="shared" si="0"/>
        <v>0</v>
      </c>
      <c r="R9" s="12" t="s">
        <v>589</v>
      </c>
      <c r="S9" s="16" cm="1">
        <f t="array" ref="S9">IF(R9="",0,COUNTA(_xlfn._xlws.FILTER(_xlfn.TEXTSPLIT(R9,";"), _xlfn.TEXTSPLIT(R9,";")&lt;&gt;"")))</f>
        <v>2</v>
      </c>
      <c r="T9" s="12" t="s">
        <v>561</v>
      </c>
      <c r="U9" s="16" cm="1">
        <f t="array" ref="U9">IF(T9="",0,COUNTA(_xlfn._xlws.FILTER(_xlfn.TEXTSPLIT(T9,";"), _xlfn.TEXTSPLIT(T9,";")&lt;&gt;"")))</f>
        <v>1</v>
      </c>
      <c r="V9" s="17">
        <f t="shared" si="1"/>
        <v>0.5</v>
      </c>
      <c r="W9" s="12" t="str" cm="1">
        <f t="array" ref="W9">IF(T9="",R9,_xlfn.LET(_xlpm.inv, TRIM(_xlfn.TEXTSPLIT(R9,";")),_xlpm.fol, TRIM(_xlfn.TEXTSPLIT(T9,";")),_xlfn.TEXTJOIN("; ", TRUE, _xlfn._xlws.FILTER(_xlpm.inv, ISNA(MATCH(_xlpm.inv, _xlpm.fol, 0)), ""))
  )
)</f>
        <v>RSVP Ventures</v>
      </c>
      <c r="X9" s="16" cm="1">
        <f t="array" ref="X9">IF(W9="","N/A",COUNTA(_xlfn._xlws.FILTER(_xlfn.TEXTSPLIT(W9,";"), _xlfn.TEXTSPLIT(W9,";")&lt;&gt;"")))</f>
        <v>1</v>
      </c>
      <c r="Y9" s="17">
        <f t="shared" si="2"/>
        <v>0.5</v>
      </c>
      <c r="Z9" s="4" t="s">
        <v>810</v>
      </c>
      <c r="AA9" s="4" t="s">
        <v>820</v>
      </c>
      <c r="AB9" s="4" t="s">
        <v>819</v>
      </c>
      <c r="AC9" s="4" t="s">
        <v>517</v>
      </c>
    </row>
    <row r="10" spans="1:29" ht="29" x14ac:dyDescent="0.35">
      <c r="A10" s="4">
        <f t="shared" si="3"/>
        <v>8</v>
      </c>
      <c r="B10" s="4" t="s">
        <v>173</v>
      </c>
      <c r="C10" s="4" t="s">
        <v>174</v>
      </c>
      <c r="D10" s="4"/>
      <c r="E10" s="12" t="s">
        <v>901</v>
      </c>
      <c r="F10" s="4" t="s">
        <v>959</v>
      </c>
      <c r="G10" s="4" t="s">
        <v>984</v>
      </c>
      <c r="H10" s="4" t="s">
        <v>985</v>
      </c>
      <c r="I10" s="14"/>
      <c r="J10" s="13">
        <v>45292</v>
      </c>
      <c r="K10" s="25"/>
      <c r="L10" s="14"/>
      <c r="M10" s="14"/>
      <c r="N10" s="4"/>
      <c r="O10" s="4"/>
      <c r="P10" s="4"/>
      <c r="Q10" s="15" t="str">
        <f t="shared" si="0"/>
        <v>N/A</v>
      </c>
      <c r="R10" s="12" t="s">
        <v>487</v>
      </c>
      <c r="S10" s="16" cm="1">
        <f t="array" ref="S10">IF(R10="",0,COUNTA(_xlfn._xlws.FILTER(_xlfn.TEXTSPLIT(R10,";"), _xlfn.TEXTSPLIT(R10,";")&lt;&gt;"")))</f>
        <v>1</v>
      </c>
      <c r="T10" s="12"/>
      <c r="U10" s="16" cm="1">
        <f t="array" ref="U10">IF(T10="",0,COUNTA(_xlfn._xlws.FILTER(_xlfn.TEXTSPLIT(T10,";"), _xlfn.TEXTSPLIT(T10,";")&lt;&gt;"")))</f>
        <v>0</v>
      </c>
      <c r="V10" s="17">
        <f t="shared" si="1"/>
        <v>0</v>
      </c>
      <c r="W10" s="12" t="str" cm="1">
        <f t="array" ref="W10">IF(T10="",R10,_xlfn.LET(_xlpm.inv, TRIM(_xlfn.TEXTSPLIT(R10,";")),_xlpm.fol, TRIM(_xlfn.TEXTSPLIT(T10,";")),_xlfn.TEXTJOIN("; ", TRUE, _xlfn._xlws.FILTER(_xlpm.inv, ISNA(MATCH(_xlpm.inv, _xlpm.fol, 0)), ""))
  )
)</f>
        <v xml:space="preserve">Encap Investments </v>
      </c>
      <c r="X10" s="16" cm="1">
        <f t="array" ref="X10">IF(W10="","N/A",COUNTA(_xlfn._xlws.FILTER(_xlfn.TEXTSPLIT(W10,";"), _xlfn.TEXTSPLIT(W10,";")&lt;&gt;"")))</f>
        <v>1</v>
      </c>
      <c r="Y10" s="17">
        <f t="shared" si="2"/>
        <v>1</v>
      </c>
      <c r="Z10" s="4" t="s">
        <v>829</v>
      </c>
      <c r="AA10" s="4"/>
      <c r="AB10" s="4" t="s">
        <v>811</v>
      </c>
      <c r="AC10" s="4" t="s">
        <v>517</v>
      </c>
    </row>
    <row r="11" spans="1:29" x14ac:dyDescent="0.35">
      <c r="A11" s="4">
        <f t="shared" si="3"/>
        <v>9</v>
      </c>
      <c r="B11" s="4" t="s">
        <v>175</v>
      </c>
      <c r="C11" s="4" t="s">
        <v>176</v>
      </c>
      <c r="D11" s="4">
        <v>2023</v>
      </c>
      <c r="E11" s="12" t="s">
        <v>553</v>
      </c>
      <c r="F11" s="4" t="s">
        <v>557</v>
      </c>
      <c r="G11" s="4" t="s">
        <v>986</v>
      </c>
      <c r="H11" s="4" t="s">
        <v>987</v>
      </c>
      <c r="I11" s="14"/>
      <c r="J11" s="13">
        <v>45658</v>
      </c>
      <c r="K11" s="25"/>
      <c r="L11" s="14"/>
      <c r="M11" s="14"/>
      <c r="N11" s="4"/>
      <c r="O11" s="4"/>
      <c r="P11" s="4"/>
      <c r="Q11" s="15" t="str">
        <f t="shared" si="0"/>
        <v>N/A</v>
      </c>
      <c r="R11" s="12" t="s">
        <v>562</v>
      </c>
      <c r="S11" s="16" cm="1">
        <f t="array" ref="S11">IF(R11="",0,COUNTA(_xlfn._xlws.FILTER(_xlfn.TEXTSPLIT(R11,";"), _xlfn.TEXTSPLIT(R11,";")&lt;&gt;"")))</f>
        <v>1</v>
      </c>
      <c r="T11" s="12"/>
      <c r="U11" s="16" cm="1">
        <f t="array" ref="U11">IF(T11="",0,COUNTA(_xlfn._xlws.FILTER(_xlfn.TEXTSPLIT(T11,";"), _xlfn.TEXTSPLIT(T11,";")&lt;&gt;"")))</f>
        <v>0</v>
      </c>
      <c r="V11" s="17">
        <f t="shared" si="1"/>
        <v>0</v>
      </c>
      <c r="W11" s="12" t="str" cm="1">
        <f t="array" ref="W11">IF(T11="",R11,_xlfn.LET(_xlpm.inv, TRIM(_xlfn.TEXTSPLIT(R11,";")),_xlpm.fol, TRIM(_xlfn.TEXTSPLIT(T11,";")),_xlfn.TEXTJOIN("; ", TRUE, _xlfn._xlws.FILTER(_xlpm.inv, ISNA(MATCH(_xlpm.inv, _xlpm.fol, 0)), ""))
  )
)</f>
        <v xml:space="preserve">NGP Energy Capital Management </v>
      </c>
      <c r="X11" s="16" cm="1">
        <f t="array" ref="X11">IF(W11="","N/A",COUNTA(_xlfn._xlws.FILTER(_xlfn.TEXTSPLIT(W11,";"), _xlfn.TEXTSPLIT(W11,";")&lt;&gt;"")))</f>
        <v>1</v>
      </c>
      <c r="Y11" s="17">
        <f t="shared" si="2"/>
        <v>1</v>
      </c>
      <c r="Z11" s="4" t="s">
        <v>815</v>
      </c>
      <c r="AA11" s="4"/>
      <c r="AB11" s="4" t="s">
        <v>832</v>
      </c>
      <c r="AC11" s="4" t="s">
        <v>517</v>
      </c>
    </row>
    <row r="12" spans="1:29" ht="29" x14ac:dyDescent="0.35">
      <c r="A12" s="4">
        <f t="shared" si="3"/>
        <v>10</v>
      </c>
      <c r="B12" s="4" t="s">
        <v>177</v>
      </c>
      <c r="C12" s="4" t="s">
        <v>178</v>
      </c>
      <c r="D12" s="4">
        <v>2020</v>
      </c>
      <c r="E12" s="12" t="s">
        <v>902</v>
      </c>
      <c r="F12" s="4" t="s">
        <v>958</v>
      </c>
      <c r="G12" s="4" t="s">
        <v>988</v>
      </c>
      <c r="H12" s="4" t="s">
        <v>989</v>
      </c>
      <c r="I12" s="14">
        <v>0.2</v>
      </c>
      <c r="J12" s="13">
        <v>44270</v>
      </c>
      <c r="K12" s="25"/>
      <c r="L12" s="14"/>
      <c r="M12" s="14"/>
      <c r="N12" s="4"/>
      <c r="O12" s="4"/>
      <c r="P12" s="4"/>
      <c r="Q12" s="15" t="str">
        <f t="shared" si="0"/>
        <v>N/A</v>
      </c>
      <c r="R12" s="12" t="s">
        <v>563</v>
      </c>
      <c r="S12" s="16" cm="1">
        <f t="array" ref="S12">IF(R12="",0,COUNTA(_xlfn._xlws.FILTER(_xlfn.TEXTSPLIT(R12,";"), _xlfn.TEXTSPLIT(R12,";")&lt;&gt;"")))</f>
        <v>1</v>
      </c>
      <c r="T12" s="12"/>
      <c r="U12" s="16" cm="1">
        <f t="array" ref="U12">IF(T12="",0,COUNTA(_xlfn._xlws.FILTER(_xlfn.TEXTSPLIT(T12,";"), _xlfn.TEXTSPLIT(T12,";")&lt;&gt;"")))</f>
        <v>0</v>
      </c>
      <c r="V12" s="17">
        <f t="shared" si="1"/>
        <v>0</v>
      </c>
      <c r="W12" s="12" t="str" cm="1">
        <f t="array" ref="W12">IF(T12="",R12,_xlfn.LET(_xlpm.inv, TRIM(_xlfn.TEXTSPLIT(R12,";")),_xlpm.fol, TRIM(_xlfn.TEXTSPLIT(T12,";")),_xlfn.TEXTJOIN("; ", TRUE, _xlfn._xlws.FILTER(_xlpm.inv, ISNA(MATCH(_xlpm.inv, _xlpm.fol, 0)), ""))
  )
)</f>
        <v xml:space="preserve">Chartered Investment Managers </v>
      </c>
      <c r="X12" s="16" cm="1">
        <f t="array" ref="X12">IF(W12="","N/A",COUNTA(_xlfn._xlws.FILTER(_xlfn.TEXTSPLIT(W12,";"), _xlfn.TEXTSPLIT(W12,";")&lt;&gt;"")))</f>
        <v>1</v>
      </c>
      <c r="Y12" s="17">
        <f t="shared" si="2"/>
        <v>1</v>
      </c>
      <c r="Z12" s="4" t="s">
        <v>817</v>
      </c>
      <c r="AA12" s="4" t="s">
        <v>79</v>
      </c>
      <c r="AB12" s="4" t="s">
        <v>821</v>
      </c>
      <c r="AC12" s="4" t="s">
        <v>517</v>
      </c>
    </row>
    <row r="13" spans="1:29" x14ac:dyDescent="0.35">
      <c r="A13" s="4">
        <f t="shared" si="3"/>
        <v>11</v>
      </c>
      <c r="B13" s="4" t="s">
        <v>80</v>
      </c>
      <c r="C13" s="4" t="s">
        <v>179</v>
      </c>
      <c r="D13" s="4">
        <v>2009</v>
      </c>
      <c r="E13" s="12" t="s">
        <v>180</v>
      </c>
      <c r="F13" s="4" t="s">
        <v>959</v>
      </c>
      <c r="G13" s="4" t="s">
        <v>1053</v>
      </c>
      <c r="H13" s="4" t="s">
        <v>990</v>
      </c>
      <c r="I13" s="14">
        <v>46.98</v>
      </c>
      <c r="J13" s="13">
        <v>45474</v>
      </c>
      <c r="K13" s="25"/>
      <c r="L13" s="14"/>
      <c r="M13" s="14"/>
      <c r="N13" s="4"/>
      <c r="O13" s="4"/>
      <c r="P13" s="4"/>
      <c r="Q13" s="15" t="str">
        <f t="shared" si="0"/>
        <v>N/A</v>
      </c>
      <c r="R13" s="12" t="s">
        <v>564</v>
      </c>
      <c r="S13" s="16" cm="1">
        <f t="array" ref="S13">IF(R13="",0,COUNTA(_xlfn._xlws.FILTER(_xlfn.TEXTSPLIT(R13,";"), _xlfn.TEXTSPLIT(R13,";")&lt;&gt;"")))</f>
        <v>1</v>
      </c>
      <c r="T13" s="12"/>
      <c r="U13" s="16" cm="1">
        <f t="array" ref="U13">IF(T13="",0,COUNTA(_xlfn._xlws.FILTER(_xlfn.TEXTSPLIT(T13,";"), _xlfn.TEXTSPLIT(T13,";")&lt;&gt;"")))</f>
        <v>0</v>
      </c>
      <c r="V13" s="17">
        <f t="shared" si="1"/>
        <v>0</v>
      </c>
      <c r="W13" s="12" t="str" cm="1">
        <f t="array" ref="W13">IF(T13="",R13,_xlfn.LET(_xlpm.inv, TRIM(_xlfn.TEXTSPLIT(R13,";")),_xlpm.fol, TRIM(_xlfn.TEXTSPLIT(T13,";")),_xlfn.TEXTJOIN("; ", TRUE, _xlfn._xlws.FILTER(_xlpm.inv, ISNA(MATCH(_xlpm.inv, _xlpm.fol, 0)), ""))
  )
)</f>
        <v xml:space="preserve">Innova Capital Partners </v>
      </c>
      <c r="X13" s="16" cm="1">
        <f t="array" ref="X13">IF(W13="","N/A",COUNTA(_xlfn._xlws.FILTER(_xlfn.TEXTSPLIT(W13,";"), _xlfn.TEXTSPLIT(W13,";")&lt;&gt;"")))</f>
        <v>1</v>
      </c>
      <c r="Y13" s="17">
        <f t="shared" si="2"/>
        <v>1</v>
      </c>
      <c r="Z13" s="4" t="s">
        <v>815</v>
      </c>
      <c r="AA13" s="4"/>
      <c r="AB13" s="4" t="s">
        <v>822</v>
      </c>
      <c r="AC13" s="4" t="s">
        <v>517</v>
      </c>
    </row>
    <row r="14" spans="1:29" ht="29" x14ac:dyDescent="0.35">
      <c r="A14" s="4">
        <f t="shared" si="3"/>
        <v>12</v>
      </c>
      <c r="B14" s="4" t="s">
        <v>181</v>
      </c>
      <c r="C14" s="4" t="s">
        <v>167</v>
      </c>
      <c r="D14" s="4">
        <v>2020</v>
      </c>
      <c r="E14" s="12" t="s">
        <v>897</v>
      </c>
      <c r="F14" s="4" t="s">
        <v>978</v>
      </c>
      <c r="G14" s="4" t="s">
        <v>1054</v>
      </c>
      <c r="H14" s="4" t="s">
        <v>991</v>
      </c>
      <c r="I14" s="14">
        <v>207.94</v>
      </c>
      <c r="J14" s="13">
        <v>45002</v>
      </c>
      <c r="K14" s="25">
        <v>0.73</v>
      </c>
      <c r="L14" s="14">
        <v>139</v>
      </c>
      <c r="M14" s="14">
        <v>589</v>
      </c>
      <c r="N14" s="4" t="s">
        <v>471</v>
      </c>
      <c r="O14" s="18">
        <v>1.1200000000000001</v>
      </c>
      <c r="P14" s="4"/>
      <c r="Q14" s="15">
        <f t="shared" si="0"/>
        <v>0</v>
      </c>
      <c r="R14" s="12" t="s">
        <v>590</v>
      </c>
      <c r="S14" s="16" cm="1">
        <f t="array" ref="S14">IF(R14="",0,COUNTA(_xlfn._xlws.FILTER(_xlfn.TEXTSPLIT(R14,";"), _xlfn.TEXTSPLIT(R14,";")&lt;&gt;"")))</f>
        <v>11</v>
      </c>
      <c r="T14" s="12" t="s">
        <v>591</v>
      </c>
      <c r="U14" s="16" cm="1">
        <f t="array" ref="U14">IF(T14="",0,COUNTA(_xlfn._xlws.FILTER(_xlfn.TEXTSPLIT(T14,";"), _xlfn.TEXTSPLIT(T14,";")&lt;&gt;"")))</f>
        <v>4</v>
      </c>
      <c r="V14" s="17">
        <f t="shared" si="1"/>
        <v>0.36363636363636365</v>
      </c>
      <c r="W14" s="12" t="str" cm="1">
        <f t="array" ref="W14">IF(T14="",R14,_xlfn.LET(_xlpm.inv, TRIM(_xlfn.TEXTSPLIT(R14,";")),_xlpm.fol, TRIM(_xlfn.TEXTSPLIT(T14,";")),_xlfn.TEXTJOIN("; ", TRUE, _xlfn._xlws.FILTER(_xlpm.inv, ISNA(MATCH(_xlpm.inv, _xlpm.fol, 0)), ""))
  )
)</f>
        <v>Guernsey Holdings; Korea Zinc; Mitsui &amp; Company; MOL PLUS; Temasek Holdings; Yanmar Holdings; Zeon Ventures</v>
      </c>
      <c r="X14" s="16" cm="1">
        <f t="array" ref="X14">IF(W14="","N/A",COUNTA(_xlfn._xlws.FILTER(_xlfn.TEXTSPLIT(W14,";"), _xlfn.TEXTSPLIT(W14,";")&lt;&gt;"")))</f>
        <v>7</v>
      </c>
      <c r="Y14" s="17">
        <f t="shared" si="2"/>
        <v>0.63636363636363635</v>
      </c>
      <c r="Z14" s="4" t="s">
        <v>817</v>
      </c>
      <c r="AA14" s="4" t="s">
        <v>830</v>
      </c>
      <c r="AB14" s="4" t="s">
        <v>816</v>
      </c>
      <c r="AC14" s="4" t="s">
        <v>517</v>
      </c>
    </row>
    <row r="15" spans="1:29" ht="101.5" x14ac:dyDescent="0.35">
      <c r="A15" s="4">
        <f t="shared" si="3"/>
        <v>13</v>
      </c>
      <c r="B15" s="4" t="s">
        <v>181</v>
      </c>
      <c r="C15" s="4" t="s">
        <v>167</v>
      </c>
      <c r="D15" s="4">
        <v>2020</v>
      </c>
      <c r="E15" s="12" t="s">
        <v>897</v>
      </c>
      <c r="F15" s="4" t="s">
        <v>978</v>
      </c>
      <c r="G15" s="4" t="s">
        <v>1054</v>
      </c>
      <c r="H15" s="4" t="s">
        <v>991</v>
      </c>
      <c r="I15" s="14">
        <v>314.16000000000003</v>
      </c>
      <c r="J15" s="13">
        <v>45853</v>
      </c>
      <c r="K15" s="25">
        <v>2.33</v>
      </c>
      <c r="L15" s="14">
        <v>95</v>
      </c>
      <c r="M15" s="14">
        <v>700</v>
      </c>
      <c r="N15" s="4" t="s">
        <v>471</v>
      </c>
      <c r="O15" s="18"/>
      <c r="P15" s="4">
        <v>45.1</v>
      </c>
      <c r="Q15" s="15">
        <f t="shared" si="0"/>
        <v>0.47473684210526318</v>
      </c>
      <c r="R15" s="12" t="s">
        <v>584</v>
      </c>
      <c r="S15" s="16" cm="1">
        <f t="array" ref="S15">IF(R15="",0,COUNTA(_xlfn._xlws.FILTER(_xlfn.TEXTSPLIT(R15,";"), _xlfn.TEXTSPLIT(R15,";")&lt;&gt;"")))</f>
        <v>27</v>
      </c>
      <c r="T15" s="12" t="s">
        <v>592</v>
      </c>
      <c r="U15" s="16" cm="1">
        <f t="array" ref="U15">IF(T15="",0,COUNTA(_xlfn._xlws.FILTER(_xlfn.TEXTSPLIT(T15,";"), _xlfn.TEXTSPLIT(T15,";")&lt;&gt;"")))</f>
        <v>4</v>
      </c>
      <c r="V15" s="17">
        <f t="shared" si="1"/>
        <v>0.14814814814814814</v>
      </c>
      <c r="W15" s="12" t="str" cm="1">
        <f t="array" ref="W15">IF(T15="",R15,_xlfn.LET(_xlpm.inv, TRIM(_xlfn.TEXTSPLIT(R15,";")),_xlpm.fol, TRIM(_xlfn.TEXTSPLIT(T15,";")),_xlfn.TEXTJOIN("; ", TRUE, _xlfn._xlws.FILTER(_xlpm.inv, ISNA(MATCH(_xlpm.inv, _xlpm.fol, 0)), ""))
  )
)</f>
        <v>AFW Partners; BHP Ventures; KDB Investment; SV Investment; MOL PLUS; Samsung Heavy Industries; BHP Ventures; MOL Switch; JB Investment (Private Equity); GS Engineering &amp; Construction; Xplor Investment; GS Futures; Marunouchi Innovation Partners; Pathway Capital Management; Seoul Investment Partners; AFW Partners; Odyssey Ventures (London); BonAngels Venture Partners; Quantum Ventures Korea; Kibo Invest; Temasek Holdings; Hanwha Investment &amp; Securities Company; Gorilla Private Equity</v>
      </c>
      <c r="X15" s="16" cm="1">
        <f t="array" ref="X15">IF(W15="","N/A",COUNTA(_xlfn._xlws.FILTER(_xlfn.TEXTSPLIT(W15,";"), _xlfn.TEXTSPLIT(W15,";")&lt;&gt;"")))</f>
        <v>23</v>
      </c>
      <c r="Y15" s="17">
        <f t="shared" si="2"/>
        <v>0.85185185185185186</v>
      </c>
      <c r="Z15" s="4" t="s">
        <v>810</v>
      </c>
      <c r="AA15" s="4" t="s">
        <v>823</v>
      </c>
      <c r="AB15" s="4" t="s">
        <v>816</v>
      </c>
      <c r="AC15" s="4" t="s">
        <v>517</v>
      </c>
    </row>
    <row r="16" spans="1:29" x14ac:dyDescent="0.35">
      <c r="A16" s="4">
        <f t="shared" si="3"/>
        <v>14</v>
      </c>
      <c r="B16" s="4" t="s">
        <v>538</v>
      </c>
      <c r="C16" s="4" t="s">
        <v>182</v>
      </c>
      <c r="D16" s="4">
        <v>2017</v>
      </c>
      <c r="E16" s="12" t="s">
        <v>903</v>
      </c>
      <c r="F16" s="4" t="s">
        <v>959</v>
      </c>
      <c r="G16" s="4" t="s">
        <v>1055</v>
      </c>
      <c r="H16" s="4" t="s">
        <v>992</v>
      </c>
      <c r="I16" s="14">
        <v>1</v>
      </c>
      <c r="J16" s="13">
        <v>43220</v>
      </c>
      <c r="K16" s="25"/>
      <c r="L16" s="14">
        <v>1</v>
      </c>
      <c r="M16" s="14">
        <v>10</v>
      </c>
      <c r="N16" s="4"/>
      <c r="O16" s="18"/>
      <c r="P16" s="4"/>
      <c r="Q16" s="15">
        <f t="shared" si="0"/>
        <v>0</v>
      </c>
      <c r="R16" s="12"/>
      <c r="S16" s="16" cm="1">
        <f t="array" ref="S16">IF(R16="",0,COUNTA(_xlfn._xlws.FILTER(_xlfn.TEXTSPLIT(R16,";"), _xlfn.TEXTSPLIT(R16,";")&lt;&gt;"")))</f>
        <v>0</v>
      </c>
      <c r="T16" s="12"/>
      <c r="U16" s="16" cm="1">
        <f t="array" ref="U16">IF(T16="",0,COUNTA(_xlfn._xlws.FILTER(_xlfn.TEXTSPLIT(T16,";"), _xlfn.TEXTSPLIT(T16,";")&lt;&gt;"")))</f>
        <v>0</v>
      </c>
      <c r="V16" s="17" t="str">
        <f t="shared" si="1"/>
        <v>N/A</v>
      </c>
      <c r="W16" s="12" cm="1">
        <f t="array" ref="W16">IF(T16="",R16,_xlfn.LET(_xlpm.inv, TRIM(_xlfn.TEXTSPLIT(R16,";")),_xlpm.fol, TRIM(_xlfn.TEXTSPLIT(T16,";")),_xlfn.TEXTJOIN("; ", TRUE, _xlfn._xlws.FILTER(_xlpm.inv, ISNA(MATCH(_xlpm.inv, _xlpm.fol, 0)), ""))
  )
)</f>
        <v>0</v>
      </c>
      <c r="X16" s="16" cm="1">
        <f t="array" ref="X16">IF(W16="","N/A",COUNTA(_xlfn._xlws.FILTER(_xlfn.TEXTSPLIT(W16,";"), _xlfn.TEXTSPLIT(W16,";")&lt;&gt;"")))</f>
        <v>1</v>
      </c>
      <c r="Y16" s="17" t="str">
        <f t="shared" si="2"/>
        <v>N/A</v>
      </c>
      <c r="Z16" s="4" t="s">
        <v>817</v>
      </c>
      <c r="AA16" s="4" t="s">
        <v>813</v>
      </c>
      <c r="AB16" s="4" t="s">
        <v>824</v>
      </c>
      <c r="AC16" s="4" t="s">
        <v>517</v>
      </c>
    </row>
    <row r="17" spans="1:29" ht="29" x14ac:dyDescent="0.35">
      <c r="A17" s="4">
        <f t="shared" si="3"/>
        <v>15</v>
      </c>
      <c r="B17" s="4" t="s">
        <v>183</v>
      </c>
      <c r="C17" s="4" t="s">
        <v>184</v>
      </c>
      <c r="D17" s="4">
        <v>2010</v>
      </c>
      <c r="E17" s="12" t="s">
        <v>900</v>
      </c>
      <c r="F17" s="4" t="s">
        <v>962</v>
      </c>
      <c r="G17" s="4" t="s">
        <v>1056</v>
      </c>
      <c r="H17" s="31" t="s">
        <v>1090</v>
      </c>
      <c r="I17" s="14">
        <v>3.3</v>
      </c>
      <c r="J17" s="13">
        <v>44358</v>
      </c>
      <c r="K17" s="25"/>
      <c r="L17" s="14">
        <v>3.3</v>
      </c>
      <c r="M17" s="14">
        <v>10</v>
      </c>
      <c r="N17" s="4"/>
      <c r="O17" s="18"/>
      <c r="P17" s="4">
        <v>0.8</v>
      </c>
      <c r="Q17" s="15">
        <f t="shared" si="0"/>
        <v>0.24242424242424246</v>
      </c>
      <c r="R17" s="12" t="s">
        <v>599</v>
      </c>
      <c r="S17" s="16" cm="1">
        <f t="array" ref="S17">IF(R17="",0,COUNTA(_xlfn._xlws.FILTER(_xlfn.TEXTSPLIT(R17,";"), _xlfn.TEXTSPLIT(R17,";")&lt;&gt;"")))</f>
        <v>1</v>
      </c>
      <c r="T17" s="12"/>
      <c r="U17" s="16" cm="1">
        <f t="array" ref="U17">IF(T17="",0,COUNTA(_xlfn._xlws.FILTER(_xlfn.TEXTSPLIT(T17,";"), _xlfn.TEXTSPLIT(T17,";")&lt;&gt;"")))</f>
        <v>0</v>
      </c>
      <c r="V17" s="17">
        <f t="shared" si="1"/>
        <v>0</v>
      </c>
      <c r="W17" s="12" t="str" cm="1">
        <f t="array" ref="W17">IF(T17="",R17,_xlfn.LET(_xlpm.inv, TRIM(_xlfn.TEXTSPLIT(R17,";")),_xlpm.fol, TRIM(_xlfn.TEXTSPLIT(T17,";")),_xlfn.TEXTJOIN("; ", TRUE, _xlfn._xlws.FILTER(_xlpm.inv, ISNA(MATCH(_xlpm.inv, _xlpm.fol, 0)), ""))
  )
)</f>
        <v>Enbridge</v>
      </c>
      <c r="X17" s="16" cm="1">
        <f t="array" ref="X17">IF(W17="","N/A",COUNTA(_xlfn._xlws.FILTER(_xlfn.TEXTSPLIT(W17,";"), _xlfn.TEXTSPLIT(W17,";")&lt;&gt;"")))</f>
        <v>1</v>
      </c>
      <c r="Y17" s="17">
        <f t="shared" si="2"/>
        <v>1</v>
      </c>
      <c r="Z17" s="4" t="s">
        <v>810</v>
      </c>
      <c r="AA17" s="4" t="s">
        <v>831</v>
      </c>
      <c r="AB17" s="4" t="s">
        <v>824</v>
      </c>
      <c r="AC17" s="4" t="s">
        <v>517</v>
      </c>
    </row>
    <row r="18" spans="1:29" ht="29" x14ac:dyDescent="0.35">
      <c r="A18" s="4">
        <f t="shared" si="3"/>
        <v>16</v>
      </c>
      <c r="B18" s="4" t="s">
        <v>183</v>
      </c>
      <c r="C18" s="4" t="s">
        <v>184</v>
      </c>
      <c r="D18" s="4">
        <v>2010</v>
      </c>
      <c r="E18" s="12" t="s">
        <v>900</v>
      </c>
      <c r="F18" s="4" t="s">
        <v>962</v>
      </c>
      <c r="G18" s="4" t="s">
        <v>1056</v>
      </c>
      <c r="H18" s="31" t="s">
        <v>1090</v>
      </c>
      <c r="I18" s="14">
        <v>20.8</v>
      </c>
      <c r="J18" s="13">
        <v>44869</v>
      </c>
      <c r="K18" s="25">
        <v>1.4</v>
      </c>
      <c r="L18" s="14">
        <v>17.5</v>
      </c>
      <c r="M18" s="14">
        <v>36.5</v>
      </c>
      <c r="N18" s="4" t="s">
        <v>471</v>
      </c>
      <c r="O18" s="18">
        <v>1.9</v>
      </c>
      <c r="P18" s="4"/>
      <c r="Q18" s="15">
        <f t="shared" si="0"/>
        <v>0</v>
      </c>
      <c r="R18" s="12" t="s">
        <v>472</v>
      </c>
      <c r="S18" s="16" cm="1">
        <f t="array" ref="S18">IF(R18="",0,COUNTA(_xlfn._xlws.FILTER(_xlfn.TEXTSPLIT(R18,";"), _xlfn.TEXTSPLIT(R18,";")&lt;&gt;"")))</f>
        <v>1</v>
      </c>
      <c r="T18" s="12"/>
      <c r="U18" s="16" cm="1">
        <f t="array" ref="U18">IF(T18="",0,COUNTA(_xlfn._xlws.FILTER(_xlfn.TEXTSPLIT(T18,";"), _xlfn.TEXTSPLIT(T18,";")&lt;&gt;"")))</f>
        <v>0</v>
      </c>
      <c r="V18" s="17">
        <f t="shared" si="1"/>
        <v>0</v>
      </c>
      <c r="W18" s="12" t="str" cm="1">
        <f t="array" ref="W18">IF(T18="",R18,_xlfn.LET(_xlpm.inv, TRIM(_xlfn.TEXTSPLIT(R18,";")),_xlpm.fol, TRIM(_xlfn.TEXTSPLIT(T18,";")),_xlfn.TEXTJOIN("; ", TRUE, _xlfn._xlws.FILTER(_xlpm.inv, ISNA(MATCH(_xlpm.inv, _xlpm.fol, 0)), ""))
  )
)</f>
        <v>Energy Impact Partners</v>
      </c>
      <c r="X18" s="16" cm="1">
        <f t="array" ref="X18">IF(W18="","N/A",COUNTA(_xlfn._xlws.FILTER(_xlfn.TEXTSPLIT(W18,";"), _xlfn.TEXTSPLIT(W18,";")&lt;&gt;"")))</f>
        <v>1</v>
      </c>
      <c r="Y18" s="17">
        <f t="shared" si="2"/>
        <v>1</v>
      </c>
      <c r="Z18" s="4" t="s">
        <v>810</v>
      </c>
      <c r="AA18" s="4" t="s">
        <v>828</v>
      </c>
      <c r="AB18" s="4" t="s">
        <v>824</v>
      </c>
      <c r="AC18" s="4" t="s">
        <v>517</v>
      </c>
    </row>
    <row r="19" spans="1:29" x14ac:dyDescent="0.35">
      <c r="A19" s="4">
        <f t="shared" si="3"/>
        <v>17</v>
      </c>
      <c r="B19" s="4" t="s">
        <v>185</v>
      </c>
      <c r="C19" s="4" t="s">
        <v>186</v>
      </c>
      <c r="D19" s="4">
        <v>2020</v>
      </c>
      <c r="E19" s="12" t="s">
        <v>899</v>
      </c>
      <c r="F19" s="4" t="s">
        <v>959</v>
      </c>
      <c r="G19" s="4" t="s">
        <v>1057</v>
      </c>
      <c r="H19" s="4" t="s">
        <v>993</v>
      </c>
      <c r="I19" s="14">
        <v>0.53</v>
      </c>
      <c r="J19" s="13">
        <v>44197</v>
      </c>
      <c r="K19" s="25"/>
      <c r="L19" s="14">
        <v>0.53</v>
      </c>
      <c r="M19" s="14">
        <v>2</v>
      </c>
      <c r="N19" s="4"/>
      <c r="O19" s="18"/>
      <c r="P19" s="4"/>
      <c r="Q19" s="15">
        <f t="shared" si="0"/>
        <v>0</v>
      </c>
      <c r="R19" s="12" t="s">
        <v>518</v>
      </c>
      <c r="S19" s="16" cm="1">
        <f t="array" ref="S19">IF(R19="",0,COUNTA(_xlfn._xlws.FILTER(_xlfn.TEXTSPLIT(R19,";"), _xlfn.TEXTSPLIT(R19,";")&lt;&gt;"")))</f>
        <v>3</v>
      </c>
      <c r="T19" s="12"/>
      <c r="U19" s="16" cm="1">
        <f t="array" ref="U19">IF(T19="",0,COUNTA(_xlfn._xlws.FILTER(_xlfn.TEXTSPLIT(T19,";"), _xlfn.TEXTSPLIT(T19,";")&lt;&gt;"")))</f>
        <v>0</v>
      </c>
      <c r="V19" s="17">
        <f t="shared" si="1"/>
        <v>0</v>
      </c>
      <c r="W19" s="12" t="str" cm="1">
        <f t="array" ref="W19">IF(T19="",R19,_xlfn.LET(_xlpm.inv, TRIM(_xlfn.TEXTSPLIT(R19,";")),_xlpm.fol, TRIM(_xlfn.TEXTSPLIT(T19,";")),_xlfn.TEXTJOIN("; ", TRUE, _xlfn._xlws.FILTER(_xlpm.inv, ISNA(MATCH(_xlpm.inv, _xlpm.fol, 0)), ""))
  )
)</f>
        <v>Black Mountain Ventures; Cameron Drummond; Dorm Room Fund</v>
      </c>
      <c r="X19" s="16" cm="1">
        <f t="array" ref="X19">IF(W19="","N/A",COUNTA(_xlfn._xlws.FILTER(_xlfn.TEXTSPLIT(W19,";"), _xlfn.TEXTSPLIT(W19,";")&lt;&gt;"")))</f>
        <v>3</v>
      </c>
      <c r="Y19" s="17">
        <f t="shared" si="2"/>
        <v>1</v>
      </c>
      <c r="Z19" s="4" t="s">
        <v>812</v>
      </c>
      <c r="AA19" s="4" t="s">
        <v>79</v>
      </c>
      <c r="AB19" s="4" t="s">
        <v>824</v>
      </c>
      <c r="AC19" s="4" t="s">
        <v>517</v>
      </c>
    </row>
    <row r="20" spans="1:29" ht="29" x14ac:dyDescent="0.35">
      <c r="A20" s="4">
        <f t="shared" si="3"/>
        <v>18</v>
      </c>
      <c r="B20" s="4" t="s">
        <v>187</v>
      </c>
      <c r="C20" s="4" t="s">
        <v>188</v>
      </c>
      <c r="D20" s="4">
        <v>2017</v>
      </c>
      <c r="E20" s="12" t="s">
        <v>904</v>
      </c>
      <c r="F20" s="4" t="s">
        <v>959</v>
      </c>
      <c r="G20" s="4" t="s">
        <v>1058</v>
      </c>
      <c r="H20" s="4" t="s">
        <v>994</v>
      </c>
      <c r="I20" s="14">
        <v>87.4</v>
      </c>
      <c r="J20" s="13">
        <v>44834</v>
      </c>
      <c r="K20" s="25">
        <v>0.99</v>
      </c>
      <c r="L20" s="14">
        <v>30</v>
      </c>
      <c r="M20" s="14">
        <v>190.4</v>
      </c>
      <c r="N20" s="4" t="s">
        <v>471</v>
      </c>
      <c r="O20" s="18">
        <v>1.56</v>
      </c>
      <c r="P20" s="4">
        <v>9.6</v>
      </c>
      <c r="Q20" s="15">
        <f t="shared" si="0"/>
        <v>0.32</v>
      </c>
      <c r="R20" s="12" t="s">
        <v>600</v>
      </c>
      <c r="S20" s="16" cm="1">
        <f t="array" ref="S20">IF(R20="",0,COUNTA(_xlfn._xlws.FILTER(_xlfn.TEXTSPLIT(R20,";"), _xlfn.TEXTSPLIT(R20,";")&lt;&gt;"")))</f>
        <v>5</v>
      </c>
      <c r="T20" s="12" t="s">
        <v>565</v>
      </c>
      <c r="U20" s="16" cm="1">
        <f t="array" ref="U20">IF(T20="",0,COUNTA(_xlfn._xlws.FILTER(_xlfn.TEXTSPLIT(T20,";"), _xlfn.TEXTSPLIT(T20,";")&lt;&gt;"")))</f>
        <v>1</v>
      </c>
      <c r="V20" s="17">
        <f t="shared" si="1"/>
        <v>0.2</v>
      </c>
      <c r="W20" s="12" t="str" cm="1">
        <f t="array" ref="W20">IF(T20="",R20,_xlfn.LET(_xlpm.inv, TRIM(_xlfn.TEXTSPLIT(R20,";")),_xlpm.fol, TRIM(_xlfn.TEXTSPLIT(T20,";")),_xlfn.TEXTJOIN("; ", TRUE, _xlfn._xlws.FILTER(_xlpm.inv, ISNA(MATCH(_xlpm.inv, _xlpm.fol, 0)), ""))
  )
)</f>
        <v>CalSEED; Keybridge Venture Partners; Reaction Global; StartX</v>
      </c>
      <c r="X20" s="16" cm="1">
        <f t="array" ref="X20">IF(W20="","N/A",COUNTA(_xlfn._xlws.FILTER(_xlfn.TEXTSPLIT(W20,";"), _xlfn.TEXTSPLIT(W20,";")&lt;&gt;"")))</f>
        <v>4</v>
      </c>
      <c r="Y20" s="17">
        <f t="shared" si="2"/>
        <v>0.8</v>
      </c>
      <c r="Z20" s="4" t="s">
        <v>810</v>
      </c>
      <c r="AA20" s="4" t="s">
        <v>830</v>
      </c>
      <c r="AB20" s="4" t="s">
        <v>824</v>
      </c>
      <c r="AC20" s="4" t="s">
        <v>517</v>
      </c>
    </row>
    <row r="21" spans="1:29" x14ac:dyDescent="0.35">
      <c r="A21" s="4">
        <f t="shared" si="3"/>
        <v>19</v>
      </c>
      <c r="B21" s="4" t="s">
        <v>539</v>
      </c>
      <c r="C21" s="4" t="s">
        <v>189</v>
      </c>
      <c r="D21" s="4">
        <v>2021</v>
      </c>
      <c r="E21" s="12" t="s">
        <v>897</v>
      </c>
      <c r="F21" s="4" t="s">
        <v>960</v>
      </c>
      <c r="G21" s="4" t="s">
        <v>1059</v>
      </c>
      <c r="H21" s="4" t="s">
        <v>995</v>
      </c>
      <c r="I21" s="14">
        <v>7.5</v>
      </c>
      <c r="J21" s="13">
        <v>44897</v>
      </c>
      <c r="K21" s="25"/>
      <c r="L21" s="14">
        <v>3.5</v>
      </c>
      <c r="M21" s="14">
        <v>20</v>
      </c>
      <c r="N21" s="4" t="s">
        <v>471</v>
      </c>
      <c r="O21" s="18">
        <v>1.27</v>
      </c>
      <c r="P21" s="4"/>
      <c r="Q21" s="15">
        <f t="shared" si="0"/>
        <v>0</v>
      </c>
      <c r="R21" s="12" t="s">
        <v>601</v>
      </c>
      <c r="S21" s="16" cm="1">
        <f t="array" ref="S21">IF(R21="",0,COUNTA(_xlfn._xlws.FILTER(_xlfn.TEXTSPLIT(R21,";"), _xlfn.TEXTSPLIT(R21,";")&lt;&gt;"")))</f>
        <v>2</v>
      </c>
      <c r="T21" s="12" t="s">
        <v>472</v>
      </c>
      <c r="U21" s="16" cm="1">
        <f t="array" ref="U21">IF(T21="",0,COUNTA(_xlfn._xlws.FILTER(_xlfn.TEXTSPLIT(T21,";"), _xlfn.TEXTSPLIT(T21,";")&lt;&gt;"")))</f>
        <v>1</v>
      </c>
      <c r="V21" s="17">
        <f t="shared" si="1"/>
        <v>0.5</v>
      </c>
      <c r="W21" s="12" t="str" cm="1">
        <f t="array" ref="W21">IF(T21="",R21,_xlfn.LET(_xlpm.inv, TRIM(_xlfn.TEXTSPLIT(R21,";")),_xlpm.fol, TRIM(_xlfn.TEXTSPLIT(T21,";")),_xlfn.TEXTJOIN("; ", TRUE, _xlfn._xlws.FILTER(_xlpm.inv, ISNA(MATCH(_xlpm.inv, _xlpm.fol, 0)), ""))
  )
)</f>
        <v>AENU</v>
      </c>
      <c r="X21" s="16" cm="1">
        <f t="array" ref="X21">IF(W21="","N/A",COUNTA(_xlfn._xlws.FILTER(_xlfn.TEXTSPLIT(W21,";"), _xlfn.TEXTSPLIT(W21,";")&lt;&gt;"")))</f>
        <v>1</v>
      </c>
      <c r="Y21" s="17">
        <f t="shared" si="2"/>
        <v>0.5</v>
      </c>
      <c r="Z21" s="4" t="s">
        <v>812</v>
      </c>
      <c r="AA21" s="4" t="s">
        <v>813</v>
      </c>
      <c r="AB21" s="4" t="s">
        <v>825</v>
      </c>
      <c r="AC21" s="4" t="s">
        <v>517</v>
      </c>
    </row>
    <row r="22" spans="1:29" x14ac:dyDescent="0.35">
      <c r="A22" s="4">
        <f t="shared" si="3"/>
        <v>20</v>
      </c>
      <c r="B22" s="4" t="s">
        <v>82</v>
      </c>
      <c r="C22" s="4" t="s">
        <v>190</v>
      </c>
      <c r="D22" s="4">
        <v>2012</v>
      </c>
      <c r="E22" s="12" t="s">
        <v>899</v>
      </c>
      <c r="F22" s="4" t="s">
        <v>960</v>
      </c>
      <c r="G22" s="4" t="s">
        <v>996</v>
      </c>
      <c r="H22" s="4" t="s">
        <v>997</v>
      </c>
      <c r="I22" s="14"/>
      <c r="J22" s="13">
        <v>44621</v>
      </c>
      <c r="K22" s="25"/>
      <c r="L22" s="14"/>
      <c r="M22" s="14"/>
      <c r="N22" s="4"/>
      <c r="O22" s="18"/>
      <c r="P22" s="4"/>
      <c r="Q22" s="15" t="str">
        <f t="shared" si="0"/>
        <v>N/A</v>
      </c>
      <c r="R22" s="12" t="s">
        <v>602</v>
      </c>
      <c r="S22" s="16" cm="1">
        <f t="array" ref="S22">IF(R22="",0,COUNTA(_xlfn._xlws.FILTER(_xlfn.TEXTSPLIT(R22,";"), _xlfn.TEXTSPLIT(R22,";")&lt;&gt;"")))</f>
        <v>4</v>
      </c>
      <c r="T22" s="12"/>
      <c r="U22" s="16" cm="1">
        <f t="array" ref="U22">IF(T22="",0,COUNTA(_xlfn._xlws.FILTER(_xlfn.TEXTSPLIT(T22,";"), _xlfn.TEXTSPLIT(T22,";")&lt;&gt;"")))</f>
        <v>0</v>
      </c>
      <c r="V22" s="17">
        <f t="shared" si="1"/>
        <v>0</v>
      </c>
      <c r="W22" s="12" t="str" cm="1">
        <f t="array" ref="W22">IF(T22="",R22,_xlfn.LET(_xlpm.inv, TRIM(_xlfn.TEXTSPLIT(R22,";")),_xlpm.fol, TRIM(_xlfn.TEXTSPLIT(T22,";")),_xlfn.TEXTJOIN("; ", TRUE, _xlfn._xlws.FILTER(_xlpm.inv, ISNA(MATCH(_xlpm.inv, _xlpm.fol, 0)), ""))
  )
)</f>
        <v>Nippon Steel Trading; Rio Tinto; Sandton Capital Partners; Steel Dynamics</v>
      </c>
      <c r="X22" s="16" cm="1">
        <f t="array" ref="X22">IF(W22="","N/A",COUNTA(_xlfn._xlws.FILTER(_xlfn.TEXTSPLIT(W22,";"), _xlfn.TEXTSPLIT(W22,";")&lt;&gt;"")))</f>
        <v>4</v>
      </c>
      <c r="Y22" s="17">
        <f t="shared" si="2"/>
        <v>1</v>
      </c>
      <c r="Z22" s="4" t="s">
        <v>815</v>
      </c>
      <c r="AA22" s="4"/>
      <c r="AB22" s="4" t="s">
        <v>826</v>
      </c>
      <c r="AC22" s="4" t="s">
        <v>517</v>
      </c>
    </row>
    <row r="23" spans="1:29" ht="29" x14ac:dyDescent="0.35">
      <c r="A23" s="4">
        <f t="shared" si="3"/>
        <v>21</v>
      </c>
      <c r="B23" s="4" t="s">
        <v>191</v>
      </c>
      <c r="C23" s="4" t="s">
        <v>192</v>
      </c>
      <c r="D23" s="4">
        <v>1981</v>
      </c>
      <c r="E23" s="12" t="s">
        <v>905</v>
      </c>
      <c r="F23" s="4" t="s">
        <v>557</v>
      </c>
      <c r="G23" s="4" t="s">
        <v>1060</v>
      </c>
      <c r="H23" s="4" t="s">
        <v>998</v>
      </c>
      <c r="I23" s="14"/>
      <c r="J23" s="13">
        <v>45566</v>
      </c>
      <c r="K23" s="25"/>
      <c r="L23" s="14"/>
      <c r="M23" s="14"/>
      <c r="N23" s="4"/>
      <c r="O23" s="18"/>
      <c r="P23" s="4"/>
      <c r="Q23" s="15" t="str">
        <f t="shared" si="0"/>
        <v>N/A</v>
      </c>
      <c r="R23" s="12" t="s">
        <v>603</v>
      </c>
      <c r="S23" s="16" cm="1">
        <f t="array" ref="S23">IF(R23="",0,COUNTA(_xlfn._xlws.FILTER(_xlfn.TEXTSPLIT(R23,";"), _xlfn.TEXTSPLIT(R23,";")&lt;&gt;"")))</f>
        <v>1</v>
      </c>
      <c r="T23" s="12"/>
      <c r="U23" s="16" cm="1">
        <f t="array" ref="U23">IF(T23="",0,COUNTA(_xlfn._xlws.FILTER(_xlfn.TEXTSPLIT(T23,";"), _xlfn.TEXTSPLIT(T23,";")&lt;&gt;"")))</f>
        <v>0</v>
      </c>
      <c r="V23" s="17">
        <f t="shared" si="1"/>
        <v>0</v>
      </c>
      <c r="W23" s="12" t="str" cm="1">
        <f t="array" ref="W23">IF(T23="",R23,_xlfn.LET(_xlpm.inv, TRIM(_xlfn.TEXTSPLIT(R23,";")),_xlpm.fol, TRIM(_xlfn.TEXTSPLIT(T23,";")),_xlfn.TEXTJOIN("; ", TRUE, _xlfn._xlws.FILTER(_xlpm.inv, ISNA(MATCH(_xlpm.inv, _xlpm.fol, 0)), ""))
  )
)</f>
        <v xml:space="preserve">Compass Group Equity Partners </v>
      </c>
      <c r="X23" s="16" cm="1">
        <f t="array" ref="X23">IF(W23="","N/A",COUNTA(_xlfn._xlws.FILTER(_xlfn.TEXTSPLIT(W23,";"), _xlfn.TEXTSPLIT(W23,";")&lt;&gt;"")))</f>
        <v>1</v>
      </c>
      <c r="Y23" s="17">
        <f t="shared" si="2"/>
        <v>1</v>
      </c>
      <c r="Z23" s="4" t="s">
        <v>815</v>
      </c>
      <c r="AA23" s="4"/>
      <c r="AB23" s="4" t="s">
        <v>811</v>
      </c>
      <c r="AC23" s="4" t="s">
        <v>517</v>
      </c>
    </row>
    <row r="24" spans="1:29" ht="29" x14ac:dyDescent="0.35">
      <c r="A24" s="4">
        <f t="shared" si="3"/>
        <v>22</v>
      </c>
      <c r="B24" s="4" t="s">
        <v>83</v>
      </c>
      <c r="C24" s="4" t="s">
        <v>193</v>
      </c>
      <c r="D24" s="4">
        <v>2015</v>
      </c>
      <c r="E24" s="12" t="s">
        <v>553</v>
      </c>
      <c r="F24" s="4" t="s">
        <v>978</v>
      </c>
      <c r="G24" s="4" t="s">
        <v>1061</v>
      </c>
      <c r="H24" s="4" t="s">
        <v>999</v>
      </c>
      <c r="I24" s="14">
        <v>173.7</v>
      </c>
      <c r="J24" s="13">
        <v>44189</v>
      </c>
      <c r="K24" s="25"/>
      <c r="L24" s="14">
        <v>157</v>
      </c>
      <c r="M24" s="14"/>
      <c r="N24" s="4"/>
      <c r="O24" s="18"/>
      <c r="P24" s="4"/>
      <c r="Q24" s="15">
        <f t="shared" si="0"/>
        <v>0</v>
      </c>
      <c r="R24" s="12" t="s">
        <v>604</v>
      </c>
      <c r="S24" s="16" cm="1">
        <f t="array" ref="S24">IF(R24="",0,COUNTA(_xlfn._xlws.FILTER(_xlfn.TEXTSPLIT(R24,";"), _xlfn.TEXTSPLIT(R24,";")&lt;&gt;"")))</f>
        <v>4</v>
      </c>
      <c r="T24" s="12" t="s">
        <v>566</v>
      </c>
      <c r="U24" s="16" cm="1">
        <f t="array" ref="U24">IF(T24="",0,COUNTA(_xlfn._xlws.FILTER(_xlfn.TEXTSPLIT(T24,";"), _xlfn.TEXTSPLIT(T24,";")&lt;&gt;"")))</f>
        <v>2</v>
      </c>
      <c r="V24" s="17">
        <f t="shared" si="1"/>
        <v>0.5</v>
      </c>
      <c r="W24" s="12" t="str" cm="1">
        <f t="array" ref="W24">IF(T24="",R24,_xlfn.LET(_xlpm.inv, TRIM(_xlfn.TEXTSPLIT(R24,";")),_xlpm.fol, TRIM(_xlfn.TEXTSPLIT(T24,";")),_xlfn.TEXTJOIN("; ", TRUE, _xlfn._xlws.FILTER(_xlpm.inv, ISNA(MATCH(_xlpm.inv, _xlpm.fol, 0)), ""))
  )
)</f>
        <v>Cottonwood Technology Fund+S32; Fortistar; Newlight Partners</v>
      </c>
      <c r="X24" s="16" cm="1">
        <f t="array" ref="X24">IF(W24="","N/A",COUNTA(_xlfn._xlws.FILTER(_xlfn.TEXTSPLIT(W24,";"), _xlfn.TEXTSPLIT(W24,";")&lt;&gt;"")))</f>
        <v>3</v>
      </c>
      <c r="Y24" s="17">
        <f t="shared" si="2"/>
        <v>0.75</v>
      </c>
      <c r="Z24" s="4" t="s">
        <v>815</v>
      </c>
      <c r="AA24" s="4"/>
      <c r="AB24" s="4" t="s">
        <v>816</v>
      </c>
      <c r="AC24" s="4" t="s">
        <v>517</v>
      </c>
    </row>
    <row r="25" spans="1:29" x14ac:dyDescent="0.35">
      <c r="A25" s="4">
        <f t="shared" si="3"/>
        <v>23</v>
      </c>
      <c r="B25" s="4" t="s">
        <v>83</v>
      </c>
      <c r="C25" s="4" t="s">
        <v>193</v>
      </c>
      <c r="D25" s="4">
        <v>2015</v>
      </c>
      <c r="E25" s="12" t="s">
        <v>553</v>
      </c>
      <c r="F25" s="4" t="s">
        <v>978</v>
      </c>
      <c r="G25" s="4" t="s">
        <v>1061</v>
      </c>
      <c r="H25" s="4" t="s">
        <v>999</v>
      </c>
      <c r="I25" s="14">
        <v>183.7</v>
      </c>
      <c r="J25" s="13">
        <v>44204</v>
      </c>
      <c r="K25" s="25"/>
      <c r="L25" s="14">
        <v>10</v>
      </c>
      <c r="M25" s="14"/>
      <c r="N25" s="4"/>
      <c r="O25" s="18"/>
      <c r="P25" s="4"/>
      <c r="Q25" s="15">
        <f t="shared" si="0"/>
        <v>0</v>
      </c>
      <c r="R25" s="12"/>
      <c r="S25" s="16" cm="1">
        <f t="array" ref="S25">IF(R25="",0,COUNTA(_xlfn._xlws.FILTER(_xlfn.TEXTSPLIT(R25,";"), _xlfn.TEXTSPLIT(R25,";")&lt;&gt;"")))</f>
        <v>0</v>
      </c>
      <c r="T25" s="12"/>
      <c r="U25" s="16" cm="1">
        <f t="array" ref="U25">IF(T25="",0,COUNTA(_xlfn._xlws.FILTER(_xlfn.TEXTSPLIT(T25,";"), _xlfn.TEXTSPLIT(T25,";")&lt;&gt;"")))</f>
        <v>0</v>
      </c>
      <c r="V25" s="17" t="str">
        <f t="shared" si="1"/>
        <v>N/A</v>
      </c>
      <c r="W25" s="12" cm="1">
        <f t="array" ref="W25">IF(T25="",R25,_xlfn.LET(_xlpm.inv, TRIM(_xlfn.TEXTSPLIT(R25,";")),_xlpm.fol, TRIM(_xlfn.TEXTSPLIT(T25,";")),_xlfn.TEXTJOIN("; ", TRUE, _xlfn._xlws.FILTER(_xlpm.inv, ISNA(MATCH(_xlpm.inv, _xlpm.fol, 0)), ""))
  )
)</f>
        <v>0</v>
      </c>
      <c r="X25" s="16" cm="1">
        <f t="array" ref="X25">IF(W25="","N/A",COUNTA(_xlfn._xlws.FILTER(_xlfn.TEXTSPLIT(W25,";"), _xlfn.TEXTSPLIT(W25,";")&lt;&gt;"")))</f>
        <v>1</v>
      </c>
      <c r="Y25" s="17" t="str">
        <f t="shared" si="2"/>
        <v>N/A</v>
      </c>
      <c r="Z25" s="4" t="s">
        <v>827</v>
      </c>
      <c r="AA25" s="4"/>
      <c r="AB25" s="4" t="s">
        <v>816</v>
      </c>
      <c r="AC25" s="4" t="s">
        <v>517</v>
      </c>
    </row>
    <row r="26" spans="1:29" x14ac:dyDescent="0.35">
      <c r="A26" s="4">
        <f t="shared" si="3"/>
        <v>24</v>
      </c>
      <c r="B26" s="4" t="s">
        <v>83</v>
      </c>
      <c r="C26" s="4" t="s">
        <v>193</v>
      </c>
      <c r="D26" s="4">
        <v>2015</v>
      </c>
      <c r="E26" s="12" t="s">
        <v>553</v>
      </c>
      <c r="F26" s="4" t="s">
        <v>978</v>
      </c>
      <c r="G26" s="4" t="s">
        <v>1061</v>
      </c>
      <c r="H26" s="4" t="s">
        <v>999</v>
      </c>
      <c r="I26" s="14">
        <v>213.7</v>
      </c>
      <c r="J26" s="13">
        <v>44390</v>
      </c>
      <c r="K26" s="25"/>
      <c r="L26" s="14">
        <v>30</v>
      </c>
      <c r="M26" s="14"/>
      <c r="N26" s="4"/>
      <c r="O26" s="18"/>
      <c r="P26" s="4"/>
      <c r="Q26" s="15">
        <f t="shared" si="0"/>
        <v>0</v>
      </c>
      <c r="R26" s="12"/>
      <c r="S26" s="16" cm="1">
        <f t="array" ref="S26">IF(R26="",0,COUNTA(_xlfn._xlws.FILTER(_xlfn.TEXTSPLIT(R26,";"), _xlfn.TEXTSPLIT(R26,";")&lt;&gt;"")))</f>
        <v>0</v>
      </c>
      <c r="T26" s="12"/>
      <c r="U26" s="16" cm="1">
        <f t="array" ref="U26">IF(T26="",0,COUNTA(_xlfn._xlws.FILTER(_xlfn.TEXTSPLIT(T26,";"), _xlfn.TEXTSPLIT(T26,";")&lt;&gt;"")))</f>
        <v>0</v>
      </c>
      <c r="V26" s="17" t="str">
        <f t="shared" si="1"/>
        <v>N/A</v>
      </c>
      <c r="W26" s="12" cm="1">
        <f t="array" ref="W26">IF(T26="",R26,_xlfn.LET(_xlpm.inv, TRIM(_xlfn.TEXTSPLIT(R26,";")),_xlpm.fol, TRIM(_xlfn.TEXTSPLIT(T26,";")),_xlfn.TEXTJOIN("; ", TRUE, _xlfn._xlws.FILTER(_xlpm.inv, ISNA(MATCH(_xlpm.inv, _xlpm.fol, 0)), ""))
  )
)</f>
        <v>0</v>
      </c>
      <c r="X26" s="16" cm="1">
        <f t="array" ref="X26">IF(W26="","N/A",COUNTA(_xlfn._xlws.FILTER(_xlfn.TEXTSPLIT(W26,";"), _xlfn.TEXTSPLIT(W26,";")&lt;&gt;"")))</f>
        <v>1</v>
      </c>
      <c r="Y26" s="17" t="str">
        <f t="shared" si="2"/>
        <v>N/A</v>
      </c>
      <c r="Z26" s="4" t="s">
        <v>815</v>
      </c>
      <c r="AA26" s="4"/>
      <c r="AB26" s="4" t="s">
        <v>816</v>
      </c>
      <c r="AC26" s="4" t="s">
        <v>517</v>
      </c>
    </row>
    <row r="27" spans="1:29" ht="29" x14ac:dyDescent="0.35">
      <c r="A27" s="4">
        <f t="shared" si="3"/>
        <v>25</v>
      </c>
      <c r="B27" s="4" t="s">
        <v>194</v>
      </c>
      <c r="C27" s="4" t="s">
        <v>195</v>
      </c>
      <c r="D27" s="4">
        <v>2012</v>
      </c>
      <c r="E27" s="12" t="s">
        <v>906</v>
      </c>
      <c r="F27" s="4" t="s">
        <v>960</v>
      </c>
      <c r="G27" s="4" t="s">
        <v>1000</v>
      </c>
      <c r="H27" s="4" t="s">
        <v>1001</v>
      </c>
      <c r="I27" s="14">
        <v>132.88</v>
      </c>
      <c r="J27" s="13">
        <v>45645</v>
      </c>
      <c r="K27" s="25">
        <v>1.24</v>
      </c>
      <c r="L27" s="14">
        <v>16.7</v>
      </c>
      <c r="M27" s="14">
        <v>186.67</v>
      </c>
      <c r="N27" s="4"/>
      <c r="O27" s="18">
        <v>0.38</v>
      </c>
      <c r="P27" s="4"/>
      <c r="Q27" s="15">
        <f t="shared" si="0"/>
        <v>0</v>
      </c>
      <c r="R27" s="12" t="s">
        <v>605</v>
      </c>
      <c r="S27" s="16" cm="1">
        <f t="array" ref="S27">IF(R27="",0,COUNTA(_xlfn._xlws.FILTER(_xlfn.TEXTSPLIT(R27,";"), _xlfn.TEXTSPLIT(R27,";")&lt;&gt;"")))</f>
        <v>4</v>
      </c>
      <c r="T27" s="12" t="s">
        <v>567</v>
      </c>
      <c r="U27" s="16" cm="1">
        <f t="array" ref="U27">IF(T27="",0,COUNTA(_xlfn._xlws.FILTER(_xlfn.TEXTSPLIT(T27,";"), _xlfn.TEXTSPLIT(T27,";")&lt;&gt;"")))</f>
        <v>4</v>
      </c>
      <c r="V27" s="17">
        <f t="shared" si="1"/>
        <v>1</v>
      </c>
      <c r="W27" s="12" t="str" cm="1">
        <f t="array" ref="W27">IF(T27="",R27,_xlfn.LET(_xlpm.inv, TRIM(_xlfn.TEXTSPLIT(R27,";")),_xlpm.fol, TRIM(_xlfn.TEXTSPLIT(T27,";")),_xlfn.TEXTJOIN("; ", TRUE, _xlfn._xlws.FILTER(_xlpm.inv, ISNA(MATCH(_xlpm.inv, _xlpm.fol, 0)), ""))
  )
)</f>
        <v>Novo Holdings</v>
      </c>
      <c r="X27" s="16" cm="1">
        <f t="array" ref="X27">IF(W27="","N/A",COUNTA(_xlfn._xlws.FILTER(_xlfn.TEXTSPLIT(W27,";"), _xlfn.TEXTSPLIT(W27,";")&lt;&gt;"")))</f>
        <v>1</v>
      </c>
      <c r="Y27" s="17">
        <f t="shared" si="2"/>
        <v>0.25</v>
      </c>
      <c r="Z27" s="4" t="s">
        <v>810</v>
      </c>
      <c r="AA27" s="4" t="s">
        <v>823</v>
      </c>
      <c r="AB27" s="4" t="s">
        <v>826</v>
      </c>
      <c r="AC27" s="4" t="s">
        <v>517</v>
      </c>
    </row>
    <row r="28" spans="1:29" ht="29" x14ac:dyDescent="0.35">
      <c r="A28" s="4">
        <f t="shared" si="3"/>
        <v>26</v>
      </c>
      <c r="B28" s="4" t="s">
        <v>196</v>
      </c>
      <c r="C28" s="4" t="s">
        <v>197</v>
      </c>
      <c r="D28" s="4">
        <v>2017</v>
      </c>
      <c r="E28" s="12" t="s">
        <v>900</v>
      </c>
      <c r="F28" s="4" t="s">
        <v>962</v>
      </c>
      <c r="G28" s="4" t="s">
        <v>1062</v>
      </c>
      <c r="H28" s="4" t="s">
        <v>1002</v>
      </c>
      <c r="I28" s="14">
        <v>47.66</v>
      </c>
      <c r="J28" s="13">
        <v>45429</v>
      </c>
      <c r="K28" s="25">
        <v>1.88</v>
      </c>
      <c r="L28" s="14">
        <v>25.56</v>
      </c>
      <c r="M28" s="14">
        <v>111.18</v>
      </c>
      <c r="N28" s="4" t="s">
        <v>471</v>
      </c>
      <c r="O28" s="18">
        <v>1.36</v>
      </c>
      <c r="P28" s="4"/>
      <c r="Q28" s="15">
        <f t="shared" si="0"/>
        <v>0</v>
      </c>
      <c r="R28" s="12" t="s">
        <v>606</v>
      </c>
      <c r="S28" s="16" cm="1">
        <f t="array" ref="S28">IF(R28="",0,COUNTA(_xlfn._xlws.FILTER(_xlfn.TEXTSPLIT(R28,";"), _xlfn.TEXTSPLIT(R28,";")&lt;&gt;"")))</f>
        <v>5</v>
      </c>
      <c r="T28" s="12" t="s">
        <v>568</v>
      </c>
      <c r="U28" s="16" cm="1">
        <f t="array" ref="U28">IF(T28="",0,COUNTA(_xlfn._xlws.FILTER(_xlfn.TEXTSPLIT(T28,";"), _xlfn.TEXTSPLIT(T28,";")&lt;&gt;"")))</f>
        <v>3</v>
      </c>
      <c r="V28" s="17">
        <f t="shared" si="1"/>
        <v>0.6</v>
      </c>
      <c r="W28" s="12" t="str" cm="1">
        <f t="array" ref="W28">IF(T28="",R28,_xlfn.LET(_xlpm.inv, TRIM(_xlfn.TEXTSPLIT(R28,";")),_xlpm.fol, TRIM(_xlfn.TEXTSPLIT(T28,";")),_xlfn.TEXTJOIN("; ", TRUE, _xlfn._xlws.FILTER(_xlpm.inv, ISNA(MATCH(_xlpm.inv, _xlpm.fol, 0)), ""))
  )
)</f>
        <v>Florida Opportunity Fund; Tech Square Ventures</v>
      </c>
      <c r="X28" s="16" cm="1">
        <f t="array" ref="X28">IF(W28="","N/A",COUNTA(_xlfn._xlws.FILTER(_xlfn.TEXTSPLIT(W28,";"), _xlfn.TEXTSPLIT(W28,";")&lt;&gt;"")))</f>
        <v>2</v>
      </c>
      <c r="Y28" s="17">
        <f t="shared" si="2"/>
        <v>0.4</v>
      </c>
      <c r="Z28" s="4" t="s">
        <v>810</v>
      </c>
      <c r="AA28" s="4" t="s">
        <v>820</v>
      </c>
      <c r="AB28" s="4" t="s">
        <v>824</v>
      </c>
      <c r="AC28" s="4" t="s">
        <v>517</v>
      </c>
    </row>
    <row r="29" spans="1:29" x14ac:dyDescent="0.35">
      <c r="A29" s="4">
        <f t="shared" si="3"/>
        <v>27</v>
      </c>
      <c r="B29" s="4" t="s">
        <v>84</v>
      </c>
      <c r="C29" s="4" t="s">
        <v>198</v>
      </c>
      <c r="D29" s="4">
        <v>2016</v>
      </c>
      <c r="E29" s="12" t="s">
        <v>553</v>
      </c>
      <c r="F29" s="4" t="s">
        <v>960</v>
      </c>
      <c r="G29" s="4" t="s">
        <v>1003</v>
      </c>
      <c r="H29" s="4" t="s">
        <v>1004</v>
      </c>
      <c r="I29" s="14">
        <v>250</v>
      </c>
      <c r="J29" s="13">
        <v>42680</v>
      </c>
      <c r="K29" s="25"/>
      <c r="L29" s="14">
        <v>250</v>
      </c>
      <c r="M29" s="14"/>
      <c r="N29" s="4"/>
      <c r="O29" s="18"/>
      <c r="P29" s="4"/>
      <c r="Q29" s="15">
        <f t="shared" si="0"/>
        <v>0</v>
      </c>
      <c r="R29" s="12" t="s">
        <v>473</v>
      </c>
      <c r="S29" s="16" cm="1">
        <f t="array" ref="S29">IF(R29="",0,COUNTA(_xlfn._xlws.FILTER(_xlfn.TEXTSPLIT(R29,";"), _xlfn.TEXTSPLIT(R29,";")&lt;&gt;"")))</f>
        <v>1</v>
      </c>
      <c r="T29" s="12"/>
      <c r="U29" s="16" cm="1">
        <f t="array" ref="U29">IF(T29="",0,COUNTA(_xlfn._xlws.FILTER(_xlfn.TEXTSPLIT(T29,";"), _xlfn.TEXTSPLIT(T29,";")&lt;&gt;"")))</f>
        <v>0</v>
      </c>
      <c r="V29" s="17">
        <f t="shared" si="1"/>
        <v>0</v>
      </c>
      <c r="W29" s="12" t="str" cm="1">
        <f t="array" ref="W29">IF(T29="",R29,_xlfn.LET(_xlpm.inv, TRIM(_xlfn.TEXTSPLIT(R29,";")),_xlpm.fol, TRIM(_xlfn.TEXTSPLIT(T29,";")),_xlfn.TEXTJOIN("; ", TRUE, _xlfn._xlws.FILTER(_xlpm.inv, ISNA(MATCH(_xlpm.inv, _xlpm.fol, 0)), ""))
  )
)</f>
        <v>Jackson Investment Group</v>
      </c>
      <c r="X29" s="16" cm="1">
        <f t="array" ref="X29">IF(W29="","N/A",COUNTA(_xlfn._xlws.FILTER(_xlfn.TEXTSPLIT(W29,";"), _xlfn.TEXTSPLIT(W29,";")&lt;&gt;"")))</f>
        <v>1</v>
      </c>
      <c r="Y29" s="17">
        <f t="shared" si="2"/>
        <v>1</v>
      </c>
      <c r="Z29" s="4" t="s">
        <v>815</v>
      </c>
      <c r="AA29" s="4"/>
      <c r="AB29" s="4" t="s">
        <v>825</v>
      </c>
      <c r="AC29" s="4" t="s">
        <v>517</v>
      </c>
    </row>
    <row r="30" spans="1:29" x14ac:dyDescent="0.35">
      <c r="A30" s="4">
        <f t="shared" si="3"/>
        <v>28</v>
      </c>
      <c r="B30" s="4" t="s">
        <v>199</v>
      </c>
      <c r="C30" s="4" t="s">
        <v>200</v>
      </c>
      <c r="D30" s="4">
        <v>2005</v>
      </c>
      <c r="E30" s="12" t="s">
        <v>897</v>
      </c>
      <c r="F30" s="4" t="s">
        <v>557</v>
      </c>
      <c r="G30" s="4" t="s">
        <v>1005</v>
      </c>
      <c r="H30" s="4" t="s">
        <v>1006</v>
      </c>
      <c r="I30" s="14">
        <v>13.7</v>
      </c>
      <c r="J30" s="13">
        <v>44666</v>
      </c>
      <c r="K30" s="25">
        <v>4.62</v>
      </c>
      <c r="L30" s="14">
        <v>3.5</v>
      </c>
      <c r="M30" s="14">
        <v>48</v>
      </c>
      <c r="N30" s="4" t="s">
        <v>471</v>
      </c>
      <c r="O30" s="18">
        <v>2.3199999999999998</v>
      </c>
      <c r="P30" s="4"/>
      <c r="Q30" s="15">
        <f t="shared" si="0"/>
        <v>0</v>
      </c>
      <c r="R30" s="12"/>
      <c r="S30" s="16" cm="1">
        <f t="array" ref="S30">IF(R30="",0,COUNTA(_xlfn._xlws.FILTER(_xlfn.TEXTSPLIT(R30,";"), _xlfn.TEXTSPLIT(R30,";")&lt;&gt;"")))</f>
        <v>0</v>
      </c>
      <c r="T30" s="12"/>
      <c r="U30" s="16" cm="1">
        <f t="array" ref="U30">IF(T30="",0,COUNTA(_xlfn._xlws.FILTER(_xlfn.TEXTSPLIT(T30,";"), _xlfn.TEXTSPLIT(T30,";")&lt;&gt;"")))</f>
        <v>0</v>
      </c>
      <c r="V30" s="17" t="str">
        <f t="shared" si="1"/>
        <v>N/A</v>
      </c>
      <c r="W30" s="12" cm="1">
        <f t="array" ref="W30">IF(T30="",R30,_xlfn.LET(_xlpm.inv, TRIM(_xlfn.TEXTSPLIT(R30,";")),_xlpm.fol, TRIM(_xlfn.TEXTSPLIT(T30,";")),_xlfn.TEXTJOIN("; ", TRUE, _xlfn._xlws.FILTER(_xlpm.inv, ISNA(MATCH(_xlpm.inv, _xlpm.fol, 0)), ""))
  )
)</f>
        <v>0</v>
      </c>
      <c r="X30" s="16" cm="1">
        <f t="array" ref="X30">IF(W30="","N/A",COUNTA(_xlfn._xlws.FILTER(_xlfn.TEXTSPLIT(W30,";"), _xlfn.TEXTSPLIT(W30,";")&lt;&gt;"")))</f>
        <v>1</v>
      </c>
      <c r="Y30" s="17" t="str">
        <f t="shared" si="2"/>
        <v>N/A</v>
      </c>
      <c r="Z30" s="4" t="s">
        <v>810</v>
      </c>
      <c r="AA30" s="4" t="s">
        <v>823</v>
      </c>
      <c r="AB30" s="4" t="s">
        <v>811</v>
      </c>
      <c r="AC30" s="4" t="s">
        <v>517</v>
      </c>
    </row>
    <row r="31" spans="1:29" ht="29" x14ac:dyDescent="0.35">
      <c r="A31" s="4">
        <f t="shared" si="3"/>
        <v>29</v>
      </c>
      <c r="B31" s="4" t="s">
        <v>201</v>
      </c>
      <c r="C31" s="4" t="s">
        <v>202</v>
      </c>
      <c r="D31" s="4">
        <v>2012</v>
      </c>
      <c r="E31" s="12" t="s">
        <v>907</v>
      </c>
      <c r="F31" s="4" t="s">
        <v>959</v>
      </c>
      <c r="G31" s="4" t="s">
        <v>1063</v>
      </c>
      <c r="H31" s="4" t="s">
        <v>1007</v>
      </c>
      <c r="I31" s="14">
        <v>31.74</v>
      </c>
      <c r="J31" s="13">
        <v>43661</v>
      </c>
      <c r="K31" s="25">
        <v>1.74</v>
      </c>
      <c r="L31" s="14">
        <v>9</v>
      </c>
      <c r="M31" s="14">
        <v>118</v>
      </c>
      <c r="N31" s="4" t="s">
        <v>471</v>
      </c>
      <c r="O31" s="18"/>
      <c r="P31" s="4"/>
      <c r="Q31" s="15">
        <f t="shared" si="0"/>
        <v>0</v>
      </c>
      <c r="R31" s="12" t="s">
        <v>519</v>
      </c>
      <c r="S31" s="16" cm="1">
        <f t="array" ref="S31">IF(R31="",0,COUNTA(_xlfn._xlws.FILTER(_xlfn.TEXTSPLIT(R31,";"), _xlfn.TEXTSPLIT(R31,";")&lt;&gt;"")))</f>
        <v>2</v>
      </c>
      <c r="T31" s="12" t="s">
        <v>519</v>
      </c>
      <c r="U31" s="16" cm="1">
        <f t="array" ref="U31">IF(T31="",0,COUNTA(_xlfn._xlws.FILTER(_xlfn.TEXTSPLIT(T31,";"), _xlfn.TEXTSPLIT(T31,";")&lt;&gt;"")))</f>
        <v>2</v>
      </c>
      <c r="V31" s="17">
        <f t="shared" si="1"/>
        <v>1</v>
      </c>
      <c r="W31" s="12" t="str" cm="1">
        <f t="array" ref="W31">IF(T31="",R31,_xlfn.LET(_xlpm.inv, TRIM(_xlfn.TEXTSPLIT(R31,";")),_xlpm.fol, TRIM(_xlfn.TEXTSPLIT(T31,";")),_xlfn.TEXTJOIN("; ", TRUE, _xlfn._xlws.FILTER(_xlpm.inv, ISNA(MATCH(_xlpm.inv, _xlpm.fol, 0)), ""))
  )
)</f>
        <v/>
      </c>
      <c r="X31" s="16" t="str" cm="1">
        <f t="array" ref="X31">IF(W31="","N/A",COUNTA(_xlfn._xlws.FILTER(_xlfn.TEXTSPLIT(W31,";"), _xlfn.TEXTSPLIT(W31,";")&lt;&gt;"")))</f>
        <v>N/A</v>
      </c>
      <c r="Y31" s="17" t="str">
        <f t="shared" si="2"/>
        <v>N/A</v>
      </c>
      <c r="Z31" s="4" t="s">
        <v>810</v>
      </c>
      <c r="AA31" s="4" t="s">
        <v>831</v>
      </c>
      <c r="AB31" s="4" t="s">
        <v>824</v>
      </c>
      <c r="AC31" s="4" t="s">
        <v>517</v>
      </c>
    </row>
    <row r="32" spans="1:29" ht="29" x14ac:dyDescent="0.35">
      <c r="A32" s="4">
        <f t="shared" si="3"/>
        <v>30</v>
      </c>
      <c r="B32" s="4" t="s">
        <v>203</v>
      </c>
      <c r="C32" s="4" t="s">
        <v>204</v>
      </c>
      <c r="D32" s="4">
        <v>2014</v>
      </c>
      <c r="E32" s="12" t="s">
        <v>908</v>
      </c>
      <c r="F32" s="4" t="s">
        <v>557</v>
      </c>
      <c r="G32" s="4" t="s">
        <v>1008</v>
      </c>
      <c r="H32" s="4" t="s">
        <v>1009</v>
      </c>
      <c r="I32" s="14">
        <v>18.100000000000001</v>
      </c>
      <c r="J32" s="13">
        <v>44741</v>
      </c>
      <c r="K32" s="25"/>
      <c r="L32" s="14">
        <v>12</v>
      </c>
      <c r="M32" s="14">
        <v>60</v>
      </c>
      <c r="N32" s="4" t="s">
        <v>471</v>
      </c>
      <c r="O32" s="18">
        <v>3</v>
      </c>
      <c r="P32" s="4"/>
      <c r="Q32" s="15">
        <f t="shared" si="0"/>
        <v>0</v>
      </c>
      <c r="R32" s="12" t="s">
        <v>607</v>
      </c>
      <c r="S32" s="16" cm="1">
        <f t="array" ref="S32">IF(R32="",0,COUNTA(_xlfn._xlws.FILTER(_xlfn.TEXTSPLIT(R32,";"), _xlfn.TEXTSPLIT(R32,";")&lt;&gt;"")))</f>
        <v>1</v>
      </c>
      <c r="T32" s="12"/>
      <c r="U32" s="16" cm="1">
        <f t="array" ref="U32">IF(T32="",0,COUNTA(_xlfn._xlws.FILTER(_xlfn.TEXTSPLIT(T32,";"), _xlfn.TEXTSPLIT(T32,";")&lt;&gt;"")))</f>
        <v>0</v>
      </c>
      <c r="V32" s="17">
        <f t="shared" si="1"/>
        <v>0</v>
      </c>
      <c r="W32" s="12" t="str" cm="1">
        <f t="array" ref="W32">IF(T32="",R32,_xlfn.LET(_xlpm.inv, TRIM(_xlfn.TEXTSPLIT(R32,";")),_xlpm.fol, TRIM(_xlfn.TEXTSPLIT(T32,";")),_xlfn.TEXTJOIN("; ", TRUE, _xlfn._xlws.FILTER(_xlpm.inv, ISNA(MATCH(_xlpm.inv, _xlpm.fol, 0)), ""))
  )
)</f>
        <v xml:space="preserve">Reliance Industries </v>
      </c>
      <c r="X32" s="16" cm="1">
        <f t="array" ref="X32">IF(W32="","N/A",COUNTA(_xlfn._xlws.FILTER(_xlfn.TEXTSPLIT(W32,";"), _xlfn.TEXTSPLIT(W32,";")&lt;&gt;"")))</f>
        <v>1</v>
      </c>
      <c r="Y32" s="17">
        <f t="shared" si="2"/>
        <v>1</v>
      </c>
      <c r="Z32" s="4" t="s">
        <v>810</v>
      </c>
      <c r="AA32" s="4" t="s">
        <v>831</v>
      </c>
      <c r="AB32" s="4" t="s">
        <v>811</v>
      </c>
      <c r="AC32" s="4" t="s">
        <v>517</v>
      </c>
    </row>
    <row r="33" spans="1:29" ht="29" x14ac:dyDescent="0.35">
      <c r="A33" s="4">
        <f t="shared" si="3"/>
        <v>31</v>
      </c>
      <c r="B33" s="4" t="s">
        <v>203</v>
      </c>
      <c r="C33" s="4" t="s">
        <v>204</v>
      </c>
      <c r="D33" s="4">
        <v>2014</v>
      </c>
      <c r="E33" s="12" t="s">
        <v>908</v>
      </c>
      <c r="F33" s="4" t="s">
        <v>557</v>
      </c>
      <c r="G33" s="4" t="s">
        <v>1008</v>
      </c>
      <c r="H33" s="4" t="s">
        <v>1009</v>
      </c>
      <c r="I33" s="14">
        <v>32.1</v>
      </c>
      <c r="J33" s="13">
        <v>44833</v>
      </c>
      <c r="K33" s="25">
        <v>0.25</v>
      </c>
      <c r="L33" s="14">
        <v>14</v>
      </c>
      <c r="M33" s="14">
        <v>60</v>
      </c>
      <c r="N33" s="4" t="s">
        <v>474</v>
      </c>
      <c r="O33" s="18">
        <v>0.77</v>
      </c>
      <c r="P33" s="4"/>
      <c r="Q33" s="15">
        <f t="shared" si="0"/>
        <v>0</v>
      </c>
      <c r="R33" s="12" t="s">
        <v>475</v>
      </c>
      <c r="S33" s="16" cm="1">
        <f t="array" ref="S33">IF(R33="",0,COUNTA(_xlfn._xlws.FILTER(_xlfn.TEXTSPLIT(R33,";"), _xlfn.TEXTSPLIT(R33,";")&lt;&gt;"")))</f>
        <v>1</v>
      </c>
      <c r="T33" s="12" t="s">
        <v>475</v>
      </c>
      <c r="U33" s="16" cm="1">
        <f t="array" ref="U33">IF(T33="",0,COUNTA(_xlfn._xlws.FILTER(_xlfn.TEXTSPLIT(T33,";"), _xlfn.TEXTSPLIT(T33,";")&lt;&gt;"")))</f>
        <v>1</v>
      </c>
      <c r="V33" s="17">
        <f t="shared" si="1"/>
        <v>1</v>
      </c>
      <c r="W33" s="12" t="str" cm="1">
        <f t="array" ref="W33">IF(T33="",R33,_xlfn.LET(_xlpm.inv, TRIM(_xlfn.TEXTSPLIT(R33,";")),_xlpm.fol, TRIM(_xlfn.TEXTSPLIT(T33,";")),_xlfn.TEXTJOIN("; ", TRUE, _xlfn._xlws.FILTER(_xlpm.inv, ISNA(MATCH(_xlpm.inv, _xlpm.fol, 0)), ""))
  )
)</f>
        <v/>
      </c>
      <c r="X33" s="16" t="str" cm="1">
        <f t="array" ref="X33">IF(W33="","N/A",COUNTA(_xlfn._xlws.FILTER(_xlfn.TEXTSPLIT(W33,";"), _xlfn.TEXTSPLIT(W33,";")&lt;&gt;"")))</f>
        <v>N/A</v>
      </c>
      <c r="Y33" s="17" t="str">
        <f t="shared" si="2"/>
        <v>N/A</v>
      </c>
      <c r="Z33" s="4" t="s">
        <v>810</v>
      </c>
      <c r="AA33" s="4" t="s">
        <v>828</v>
      </c>
      <c r="AB33" s="4" t="s">
        <v>811</v>
      </c>
      <c r="AC33" s="4" t="s">
        <v>517</v>
      </c>
    </row>
    <row r="34" spans="1:29" ht="29" x14ac:dyDescent="0.35">
      <c r="A34" s="4">
        <f t="shared" si="3"/>
        <v>32</v>
      </c>
      <c r="B34" s="4" t="s">
        <v>203</v>
      </c>
      <c r="C34" s="4" t="s">
        <v>204</v>
      </c>
      <c r="D34" s="4">
        <v>2014</v>
      </c>
      <c r="E34" s="12" t="s">
        <v>908</v>
      </c>
      <c r="F34" s="4" t="s">
        <v>557</v>
      </c>
      <c r="G34" s="4" t="s">
        <v>1008</v>
      </c>
      <c r="H34" s="4" t="s">
        <v>1009</v>
      </c>
      <c r="I34" s="14">
        <v>44.1</v>
      </c>
      <c r="J34" s="13">
        <v>45141</v>
      </c>
      <c r="K34" s="25">
        <v>0.84</v>
      </c>
      <c r="L34" s="14">
        <v>12</v>
      </c>
      <c r="M34" s="14">
        <v>95</v>
      </c>
      <c r="N34" s="4" t="s">
        <v>471</v>
      </c>
      <c r="O34" s="18">
        <v>1.38</v>
      </c>
      <c r="P34" s="4"/>
      <c r="Q34" s="15">
        <f t="shared" si="0"/>
        <v>0</v>
      </c>
      <c r="R34" s="12" t="s">
        <v>608</v>
      </c>
      <c r="S34" s="16" cm="1">
        <f t="array" ref="S34">IF(R34="",0,COUNTA(_xlfn._xlws.FILTER(_xlfn.TEXTSPLIT(R34,";"), _xlfn.TEXTSPLIT(R34,";")&lt;&gt;"")))</f>
        <v>8</v>
      </c>
      <c r="T34" s="12" t="s">
        <v>569</v>
      </c>
      <c r="U34" s="16" cm="1">
        <f t="array" ref="U34">IF(T34="",0,COUNTA(_xlfn._xlws.FILTER(_xlfn.TEXTSPLIT(T34,";"), _xlfn.TEXTSPLIT(T34,";")&lt;&gt;"")))</f>
        <v>2</v>
      </c>
      <c r="V34" s="17">
        <f t="shared" si="1"/>
        <v>0.25</v>
      </c>
      <c r="W34" s="12" t="str" cm="1">
        <f t="array" ref="W34">IF(T34="",R34,_xlfn.LET(_xlpm.inv, TRIM(_xlfn.TEXTSPLIT(R34,";")),_xlpm.fol, TRIM(_xlfn.TEXTSPLIT(T34,";")),_xlfn.TEXTJOIN("; ", TRUE, _xlfn._xlws.FILTER(_xlpm.inv, ISNA(MATCH(_xlpm.inv, _xlpm.fol, 0)), ""))
  )
)</f>
        <v>31 Ventures; F-Prime Capital; Global Brain; Mitsui Fudosan; NextEra Energy; Temasek Holdins</v>
      </c>
      <c r="X34" s="16" cm="1">
        <f t="array" ref="X34">IF(W34="","N/A",COUNTA(_xlfn._xlws.FILTER(_xlfn.TEXTSPLIT(W34,";"), _xlfn.TEXTSPLIT(W34,";")&lt;&gt;"")))</f>
        <v>6</v>
      </c>
      <c r="Y34" s="17">
        <f t="shared" si="2"/>
        <v>0.75</v>
      </c>
      <c r="Z34" s="4" t="s">
        <v>810</v>
      </c>
      <c r="AA34" s="4" t="s">
        <v>820</v>
      </c>
      <c r="AB34" s="4" t="s">
        <v>811</v>
      </c>
      <c r="AC34" s="4" t="s">
        <v>517</v>
      </c>
    </row>
    <row r="35" spans="1:29" ht="58" x14ac:dyDescent="0.35">
      <c r="A35" s="4">
        <f t="shared" si="3"/>
        <v>33</v>
      </c>
      <c r="B35" s="4" t="s">
        <v>477</v>
      </c>
      <c r="C35" s="4" t="s">
        <v>205</v>
      </c>
      <c r="D35" s="4">
        <v>2021</v>
      </c>
      <c r="E35" s="12" t="s">
        <v>897</v>
      </c>
      <c r="F35" s="4" t="s">
        <v>978</v>
      </c>
      <c r="G35" s="4" t="s">
        <v>1064</v>
      </c>
      <c r="H35" s="4" t="s">
        <v>1010</v>
      </c>
      <c r="I35" s="14">
        <v>14</v>
      </c>
      <c r="J35" s="13">
        <v>45474</v>
      </c>
      <c r="K35" s="25">
        <v>2.33</v>
      </c>
      <c r="L35" s="14">
        <v>3</v>
      </c>
      <c r="M35" s="14"/>
      <c r="N35" s="4"/>
      <c r="O35" s="18"/>
      <c r="P35" s="4"/>
      <c r="Q35" s="15">
        <f t="shared" si="0"/>
        <v>0</v>
      </c>
      <c r="R35" s="12" t="s">
        <v>610</v>
      </c>
      <c r="S35" s="16" cm="1">
        <f t="array" ref="S35">IF(R35="",0,COUNTA(_xlfn._xlws.FILTER(_xlfn.TEXTSPLIT(R35,";"), _xlfn.TEXTSPLIT(R35,";")&lt;&gt;"")))</f>
        <v>10</v>
      </c>
      <c r="T35" s="12" t="s">
        <v>609</v>
      </c>
      <c r="U35" s="16" cm="1">
        <f t="array" ref="U35">IF(T35="",0,COUNTA(_xlfn._xlws.FILTER(_xlfn.TEXTSPLIT(T35,";"), _xlfn.TEXTSPLIT(T35,";")&lt;&gt;"")))</f>
        <v>7</v>
      </c>
      <c r="V35" s="17">
        <f t="shared" si="1"/>
        <v>0.7</v>
      </c>
      <c r="W35" s="12" t="str" cm="1">
        <f t="array" ref="W35">IF(T35="",R35,_xlfn.LET(_xlpm.inv, TRIM(_xlfn.TEXTSPLIT(R35,";")),_xlpm.fol, TRIM(_xlfn.TEXTSPLIT(T35,";")),_xlfn.TEXTJOIN("; ", TRUE, _xlfn._xlws.FILTER(_xlpm.inv, ISNA(MATCH(_xlpm.inv, _xlpm.fol, 0)), ""))
  )
)</f>
        <v>Acario Innovation; MOL Switch; Tokyo Gas</v>
      </c>
      <c r="X35" s="16" cm="1">
        <f t="array" ref="X35">IF(W35="","N/A",COUNTA(_xlfn._xlws.FILTER(_xlfn.TEXTSPLIT(W35,";"), _xlfn.TEXTSPLIT(W35,";")&lt;&gt;"")))</f>
        <v>3</v>
      </c>
      <c r="Y35" s="17">
        <f t="shared" si="2"/>
        <v>0.3</v>
      </c>
      <c r="Z35" s="4" t="s">
        <v>817</v>
      </c>
      <c r="AA35" s="4" t="s">
        <v>828</v>
      </c>
      <c r="AB35" s="4" t="s">
        <v>819</v>
      </c>
      <c r="AC35" s="4" t="s">
        <v>517</v>
      </c>
    </row>
    <row r="36" spans="1:29" x14ac:dyDescent="0.35">
      <c r="A36" s="4">
        <f t="shared" si="3"/>
        <v>34</v>
      </c>
      <c r="B36" s="4" t="s">
        <v>85</v>
      </c>
      <c r="C36" s="4" t="s">
        <v>206</v>
      </c>
      <c r="D36" s="4">
        <v>2006</v>
      </c>
      <c r="E36" s="12" t="s">
        <v>897</v>
      </c>
      <c r="F36" s="4" t="s">
        <v>557</v>
      </c>
      <c r="G36" s="4" t="s">
        <v>1011</v>
      </c>
      <c r="H36" s="4" t="s">
        <v>1012</v>
      </c>
      <c r="I36" s="14">
        <v>506</v>
      </c>
      <c r="J36" s="13">
        <v>44917</v>
      </c>
      <c r="K36" s="25"/>
      <c r="L36" s="14">
        <v>500</v>
      </c>
      <c r="M36" s="14"/>
      <c r="N36" s="4"/>
      <c r="O36" s="18"/>
      <c r="P36" s="4"/>
      <c r="Q36" s="15">
        <f t="shared" si="0"/>
        <v>0</v>
      </c>
      <c r="R36" s="12" t="s">
        <v>611</v>
      </c>
      <c r="S36" s="16" cm="1">
        <f t="array" ref="S36">IF(R36="",0,COUNTA(_xlfn._xlws.FILTER(_xlfn.TEXTSPLIT(R36,";"), _xlfn.TEXTSPLIT(R36,";")&lt;&gt;"")))</f>
        <v>1</v>
      </c>
      <c r="T36" s="12"/>
      <c r="U36" s="16" cm="1">
        <f t="array" ref="U36">IF(T36="",0,COUNTA(_xlfn._xlws.FILTER(_xlfn.TEXTSPLIT(T36,";"), _xlfn.TEXTSPLIT(T36,";")&lt;&gt;"")))</f>
        <v>0</v>
      </c>
      <c r="V36" s="17">
        <f t="shared" si="1"/>
        <v>0</v>
      </c>
      <c r="W36" s="12" t="str" cm="1">
        <f t="array" ref="W36">IF(T36="",R36,_xlfn.LET(_xlpm.inv, TRIM(_xlfn.TEXTSPLIT(R36,";")),_xlpm.fol, TRIM(_xlfn.TEXTSPLIT(T36,";")),_xlfn.TEXTJOIN("; ", TRUE, _xlfn._xlws.FILTER(_xlpm.inv, ISNA(MATCH(_xlpm.inv, _xlpm.fol, 0)), ""))
  )
)</f>
        <v>Brookfield Corporation</v>
      </c>
      <c r="X36" s="16" cm="1">
        <f t="array" ref="X36">IF(W36="","N/A",COUNTA(_xlfn._xlws.FILTER(_xlfn.TEXTSPLIT(W36,";"), _xlfn.TEXTSPLIT(W36,";")&lt;&gt;"")))</f>
        <v>1</v>
      </c>
      <c r="Y36" s="17">
        <f t="shared" si="2"/>
        <v>1</v>
      </c>
      <c r="Z36" s="4" t="s">
        <v>815</v>
      </c>
      <c r="AA36" s="4"/>
      <c r="AB36" s="4" t="s">
        <v>833</v>
      </c>
      <c r="AC36" s="4" t="s">
        <v>517</v>
      </c>
    </row>
    <row r="37" spans="1:29" x14ac:dyDescent="0.35">
      <c r="A37" s="4">
        <f t="shared" si="3"/>
        <v>35</v>
      </c>
      <c r="B37" s="4" t="s">
        <v>85</v>
      </c>
      <c r="C37" s="4" t="s">
        <v>206</v>
      </c>
      <c r="D37" s="4">
        <v>2006</v>
      </c>
      <c r="E37" s="12" t="s">
        <v>897</v>
      </c>
      <c r="F37" s="4" t="s">
        <v>557</v>
      </c>
      <c r="G37" s="4" t="s">
        <v>1011</v>
      </c>
      <c r="H37" s="4" t="s">
        <v>1012</v>
      </c>
      <c r="I37" s="14">
        <v>506</v>
      </c>
      <c r="J37" s="13">
        <v>45536</v>
      </c>
      <c r="K37" s="25"/>
      <c r="L37" s="14"/>
      <c r="M37" s="14"/>
      <c r="N37" s="4"/>
      <c r="O37" s="18"/>
      <c r="P37" s="4"/>
      <c r="Q37" s="15" t="str">
        <f t="shared" si="0"/>
        <v>N/A</v>
      </c>
      <c r="R37" s="12" t="s">
        <v>612</v>
      </c>
      <c r="S37" s="16" cm="1">
        <f t="array" ref="S37">IF(R37="",0,COUNTA(_xlfn._xlws.FILTER(_xlfn.TEXTSPLIT(R37,";"), _xlfn.TEXTSPLIT(R37,";")&lt;&gt;"")))</f>
        <v>1</v>
      </c>
      <c r="T37" s="12"/>
      <c r="U37" s="16" cm="1">
        <f t="array" ref="U37">IF(T37="",0,COUNTA(_xlfn._xlws.FILTER(_xlfn.TEXTSPLIT(T37,";"), _xlfn.TEXTSPLIT(T37,";")&lt;&gt;"")))</f>
        <v>0</v>
      </c>
      <c r="V37" s="17">
        <f t="shared" si="1"/>
        <v>0</v>
      </c>
      <c r="W37" s="12" t="str" cm="1">
        <f t="array" ref="W37">IF(T37="",R37,_xlfn.LET(_xlpm.inv, TRIM(_xlfn.TEXTSPLIT(R37,";")),_xlpm.fol, TRIM(_xlfn.TEXTSPLIT(T37,";")),_xlfn.TEXTJOIN("; ", TRUE, _xlfn._xlws.FILTER(_xlpm.inv, ISNA(MATCH(_xlpm.inv, _xlpm.fol, 0)), ""))
  )
)</f>
        <v>Broadscale Group</v>
      </c>
      <c r="X37" s="16" cm="1">
        <f t="array" ref="X37">IF(W37="","N/A",COUNTA(_xlfn._xlws.FILTER(_xlfn.TEXTSPLIT(W37,";"), _xlfn.TEXTSPLIT(W37,";")&lt;&gt;"")))</f>
        <v>1</v>
      </c>
      <c r="Y37" s="17">
        <f t="shared" si="2"/>
        <v>1</v>
      </c>
      <c r="Z37" s="4" t="s">
        <v>815</v>
      </c>
      <c r="AA37" s="4"/>
      <c r="AB37" s="4" t="s">
        <v>811</v>
      </c>
      <c r="AC37" s="4" t="s">
        <v>517</v>
      </c>
    </row>
    <row r="38" spans="1:29" x14ac:dyDescent="0.35">
      <c r="A38" s="4">
        <f t="shared" si="3"/>
        <v>36</v>
      </c>
      <c r="B38" s="4" t="s">
        <v>6</v>
      </c>
      <c r="C38" s="4" t="s">
        <v>210</v>
      </c>
      <c r="D38" s="4">
        <v>2006</v>
      </c>
      <c r="E38" s="12" t="s">
        <v>211</v>
      </c>
      <c r="F38" s="4" t="s">
        <v>960</v>
      </c>
      <c r="G38" s="4" t="s">
        <v>1089</v>
      </c>
      <c r="H38" s="4" t="s">
        <v>1013</v>
      </c>
      <c r="I38" s="14">
        <v>10.59</v>
      </c>
      <c r="J38" s="13">
        <v>42548</v>
      </c>
      <c r="K38" s="25"/>
      <c r="L38" s="14">
        <v>6.7</v>
      </c>
      <c r="M38" s="14">
        <v>19.7</v>
      </c>
      <c r="N38" s="4" t="s">
        <v>471</v>
      </c>
      <c r="O38" s="18">
        <v>1.1299999999999999</v>
      </c>
      <c r="P38" s="4">
        <v>5</v>
      </c>
      <c r="Q38" s="15">
        <f t="shared" si="0"/>
        <v>0.74626865671641784</v>
      </c>
      <c r="R38" s="12" t="s">
        <v>480</v>
      </c>
      <c r="S38" s="16" cm="1">
        <f t="array" ref="S38">IF(R38="",0,COUNTA(_xlfn._xlws.FILTER(_xlfn.TEXTSPLIT(R38,";"), _xlfn.TEXTSPLIT(R38,";")&lt;&gt;"")))</f>
        <v>1</v>
      </c>
      <c r="T38" s="12"/>
      <c r="U38" s="16" cm="1">
        <f t="array" ref="U38">IF(T38="",0,COUNTA(_xlfn._xlws.FILTER(_xlfn.TEXTSPLIT(T38,";"), _xlfn.TEXTSPLIT(T38,";")&lt;&gt;"")))</f>
        <v>0</v>
      </c>
      <c r="V38" s="17">
        <f t="shared" si="1"/>
        <v>0</v>
      </c>
      <c r="W38" s="12" t="str" cm="1">
        <f t="array" ref="W38">IF(T38="",R38,_xlfn.LET(_xlpm.inv, TRIM(_xlfn.TEXTSPLIT(R38,";")),_xlpm.fol, TRIM(_xlfn.TEXTSPLIT(T38,";")),_xlfn.TEXTJOIN("; ", TRUE, _xlfn._xlws.FILTER(_xlpm.inv, ISNA(MATCH(_xlpm.inv, _xlpm.fol, 0)), ""))
  )
)</f>
        <v>Rijn Capital</v>
      </c>
      <c r="X38" s="16" cm="1">
        <f t="array" ref="X38">IF(W38="","N/A",COUNTA(_xlfn._xlws.FILTER(_xlfn.TEXTSPLIT(W38,";"), _xlfn.TEXTSPLIT(W38,";")&lt;&gt;"")))</f>
        <v>1</v>
      </c>
      <c r="Y38" s="17">
        <f t="shared" si="2"/>
        <v>1</v>
      </c>
      <c r="Z38" s="4" t="s">
        <v>810</v>
      </c>
      <c r="AA38" s="4" t="s">
        <v>828</v>
      </c>
      <c r="AB38" s="4" t="s">
        <v>825</v>
      </c>
      <c r="AC38" s="4" t="s">
        <v>517</v>
      </c>
    </row>
    <row r="39" spans="1:29" x14ac:dyDescent="0.35">
      <c r="A39" s="4">
        <f t="shared" si="3"/>
        <v>37</v>
      </c>
      <c r="B39" s="4" t="s">
        <v>6</v>
      </c>
      <c r="C39" s="4" t="s">
        <v>210</v>
      </c>
      <c r="D39" s="4">
        <v>2006</v>
      </c>
      <c r="E39" s="12" t="s">
        <v>211</v>
      </c>
      <c r="F39" s="4" t="s">
        <v>960</v>
      </c>
      <c r="G39" s="4" t="s">
        <v>1089</v>
      </c>
      <c r="H39" s="4" t="s">
        <v>1013</v>
      </c>
      <c r="I39" s="14">
        <v>25.78</v>
      </c>
      <c r="J39" s="13">
        <v>43753</v>
      </c>
      <c r="K39" s="25">
        <v>0.76</v>
      </c>
      <c r="L39" s="14">
        <v>3</v>
      </c>
      <c r="M39" s="14">
        <v>53</v>
      </c>
      <c r="N39" s="4" t="s">
        <v>471</v>
      </c>
      <c r="O39" s="18">
        <v>1.19</v>
      </c>
      <c r="P39" s="4"/>
      <c r="Q39" s="15">
        <f t="shared" si="0"/>
        <v>0</v>
      </c>
      <c r="R39" s="12" t="s">
        <v>476</v>
      </c>
      <c r="S39" s="16" cm="1">
        <f t="array" ref="S39">IF(R39="",0,COUNTA(_xlfn._xlws.FILTER(_xlfn.TEXTSPLIT(R39,";"), _xlfn.TEXTSPLIT(R39,";")&lt;&gt;"")))</f>
        <v>1</v>
      </c>
      <c r="T39" s="12" t="s">
        <v>570</v>
      </c>
      <c r="U39" s="16" cm="1">
        <f t="array" ref="U39">IF(T39="",0,COUNTA(_xlfn._xlws.FILTER(_xlfn.TEXTSPLIT(T39,";"), _xlfn.TEXTSPLIT(T39,";")&lt;&gt;"")))</f>
        <v>1</v>
      </c>
      <c r="V39" s="17">
        <f t="shared" si="1"/>
        <v>1</v>
      </c>
      <c r="W39" s="12" t="str" cm="1">
        <f t="array" ref="W39">IF(T39="",R39,_xlfn.LET(_xlpm.inv, TRIM(_xlfn.TEXTSPLIT(R39,";")),_xlpm.fol, TRIM(_xlfn.TEXTSPLIT(T39,";")),_xlfn.TEXTJOIN("; ", TRUE, _xlfn._xlws.FILTER(_xlpm.inv, ISNA(MATCH(_xlpm.inv, _xlpm.fol, 0)), ""))
  )
)</f>
        <v>Spring Lane Capital</v>
      </c>
      <c r="X39" s="16" cm="1">
        <f t="array" ref="X39">IF(W39="","N/A",COUNTA(_xlfn._xlws.FILTER(_xlfn.TEXTSPLIT(W39,";"), _xlfn.TEXTSPLIT(W39,";")&lt;&gt;"")))</f>
        <v>1</v>
      </c>
      <c r="Y39" s="17">
        <f t="shared" si="2"/>
        <v>1</v>
      </c>
      <c r="Z39" s="4" t="s">
        <v>854</v>
      </c>
      <c r="AA39" s="4" t="s">
        <v>841</v>
      </c>
      <c r="AB39" s="4" t="s">
        <v>834</v>
      </c>
      <c r="AC39" s="4" t="s">
        <v>517</v>
      </c>
    </row>
    <row r="40" spans="1:29" ht="29" x14ac:dyDescent="0.35">
      <c r="A40" s="4">
        <f t="shared" si="3"/>
        <v>38</v>
      </c>
      <c r="B40" s="4" t="s">
        <v>212</v>
      </c>
      <c r="C40" s="4" t="s">
        <v>213</v>
      </c>
      <c r="D40" s="4"/>
      <c r="E40" s="12" t="s">
        <v>909</v>
      </c>
      <c r="F40" s="4" t="s">
        <v>959</v>
      </c>
      <c r="G40" s="4" t="s">
        <v>1065</v>
      </c>
      <c r="H40" s="4" t="s">
        <v>1014</v>
      </c>
      <c r="I40" s="14">
        <v>1.1200000000000001</v>
      </c>
      <c r="J40" s="13">
        <v>43895</v>
      </c>
      <c r="K40" s="25">
        <v>0.9</v>
      </c>
      <c r="L40" s="14">
        <v>1</v>
      </c>
      <c r="M40" s="14">
        <v>4</v>
      </c>
      <c r="N40" s="4" t="s">
        <v>471</v>
      </c>
      <c r="O40" s="18"/>
      <c r="P40" s="4"/>
      <c r="Q40" s="15">
        <f t="shared" si="0"/>
        <v>0</v>
      </c>
      <c r="R40" s="12" t="s">
        <v>613</v>
      </c>
      <c r="S40" s="16" cm="1">
        <f t="array" ref="S40">IF(R40="",0,COUNTA(_xlfn._xlws.FILTER(_xlfn.TEXTSPLIT(R40,";"), _xlfn.TEXTSPLIT(R40,";")&lt;&gt;"")))</f>
        <v>5</v>
      </c>
      <c r="T40" s="12"/>
      <c r="U40" s="16" cm="1">
        <f t="array" ref="U40">IF(T40="",0,COUNTA(_xlfn._xlws.FILTER(_xlfn.TEXTSPLIT(T40,";"), _xlfn.TEXTSPLIT(T40,";")&lt;&gt;"")))</f>
        <v>0</v>
      </c>
      <c r="V40" s="17">
        <f t="shared" si="1"/>
        <v>0</v>
      </c>
      <c r="W40" s="12" t="str" cm="1">
        <f t="array" ref="W40">IF(T40="",R40,_xlfn.LET(_xlpm.inv, TRIM(_xlfn.TEXTSPLIT(R40,";")),_xlpm.fol, TRIM(_xlfn.TEXTSPLIT(T40,";")),_xlfn.TEXTJOIN("; ", TRUE, _xlfn._xlws.FILTER(_xlpm.inv, ISNA(MATCH(_xlpm.inv, _xlpm.fol, 0)), ""))
  )
)</f>
        <v>Beresford Ventures; Flobas Ventures; Icebook Investments; New World Angels; Westlake Ventures</v>
      </c>
      <c r="X40" s="16" cm="1">
        <f t="array" ref="X40">IF(W40="","N/A",COUNTA(_xlfn._xlws.FILTER(_xlfn.TEXTSPLIT(W40,";"), _xlfn.TEXTSPLIT(W40,";")&lt;&gt;"")))</f>
        <v>5</v>
      </c>
      <c r="Y40" s="17">
        <f t="shared" si="2"/>
        <v>1</v>
      </c>
      <c r="Z40" s="4" t="s">
        <v>855</v>
      </c>
      <c r="AA40" s="4" t="s">
        <v>831</v>
      </c>
      <c r="AB40" s="4"/>
      <c r="AC40" s="4" t="s">
        <v>517</v>
      </c>
    </row>
    <row r="41" spans="1:29" ht="29" x14ac:dyDescent="0.35">
      <c r="A41" s="4">
        <f t="shared" si="3"/>
        <v>39</v>
      </c>
      <c r="B41" s="4" t="s">
        <v>212</v>
      </c>
      <c r="C41" s="4" t="s">
        <v>213</v>
      </c>
      <c r="D41" s="4"/>
      <c r="E41" s="12" t="s">
        <v>909</v>
      </c>
      <c r="F41" s="4" t="s">
        <v>959</v>
      </c>
      <c r="G41" s="4" t="s">
        <v>1065</v>
      </c>
      <c r="H41" s="4" t="s">
        <v>1014</v>
      </c>
      <c r="I41" s="14">
        <v>0.12</v>
      </c>
      <c r="J41" s="13">
        <v>43565</v>
      </c>
      <c r="K41" s="25"/>
      <c r="L41" s="14">
        <v>0.08</v>
      </c>
      <c r="M41" s="14">
        <v>1.5</v>
      </c>
      <c r="N41" s="4"/>
      <c r="O41" s="18"/>
      <c r="P41" s="4"/>
      <c r="Q41" s="15">
        <f t="shared" si="0"/>
        <v>0</v>
      </c>
      <c r="R41" s="12" t="s">
        <v>520</v>
      </c>
      <c r="S41" s="16" cm="1">
        <f t="array" ref="S41">IF(R41="",0,COUNTA(_xlfn._xlws.FILTER(_xlfn.TEXTSPLIT(R41,";"), _xlfn.TEXTSPLIT(R41,";")&lt;&gt;"")))</f>
        <v>2</v>
      </c>
      <c r="T41" s="12"/>
      <c r="U41" s="16" cm="1">
        <f t="array" ref="U41">IF(T41="",0,COUNTA(_xlfn._xlws.FILTER(_xlfn.TEXTSPLIT(T41,";"), _xlfn.TEXTSPLIT(T41,";")&lt;&gt;"")))</f>
        <v>0</v>
      </c>
      <c r="V41" s="17">
        <f t="shared" si="1"/>
        <v>0</v>
      </c>
      <c r="W41" s="12" t="str" cm="1">
        <f t="array" ref="W41">IF(T41="",R41,_xlfn.LET(_xlpm.inv, TRIM(_xlfn.TEXTSPLIT(R41,";")),_xlpm.fol, TRIM(_xlfn.TEXTSPLIT(T41,";")),_xlfn.TEXTJOIN("; ", TRUE, _xlfn._xlws.FILTER(_xlpm.inv, ISNA(MATCH(_xlpm.inv, _xlpm.fol, 0)), ""))
  )
)</f>
        <v>Icebook Investments; Varnadore Financial</v>
      </c>
      <c r="X41" s="16" cm="1">
        <f t="array" ref="X41">IF(W41="","N/A",COUNTA(_xlfn._xlws.FILTER(_xlfn.TEXTSPLIT(W41,";"), _xlfn.TEXTSPLIT(W41,";")&lt;&gt;"")))</f>
        <v>2</v>
      </c>
      <c r="Y41" s="17">
        <f t="shared" si="2"/>
        <v>1</v>
      </c>
      <c r="Z41" s="4" t="s">
        <v>843</v>
      </c>
      <c r="AA41" s="4" t="s">
        <v>828</v>
      </c>
      <c r="AB41" s="4"/>
      <c r="AC41" s="4" t="s">
        <v>517</v>
      </c>
    </row>
    <row r="42" spans="1:29" ht="29" x14ac:dyDescent="0.35">
      <c r="A42" s="4">
        <f t="shared" si="3"/>
        <v>40</v>
      </c>
      <c r="B42" s="4" t="s">
        <v>214</v>
      </c>
      <c r="C42" s="4" t="s">
        <v>198</v>
      </c>
      <c r="D42" s="4">
        <v>2018</v>
      </c>
      <c r="E42" s="12" t="s">
        <v>910</v>
      </c>
      <c r="F42" s="4" t="s">
        <v>963</v>
      </c>
      <c r="G42" s="4" t="s">
        <v>1084</v>
      </c>
      <c r="H42" s="4" t="s">
        <v>1015</v>
      </c>
      <c r="I42" s="14">
        <v>3.5</v>
      </c>
      <c r="J42" s="13">
        <v>43594</v>
      </c>
      <c r="K42" s="25"/>
      <c r="L42" s="14">
        <v>3.5</v>
      </c>
      <c r="M42" s="14">
        <v>21.5</v>
      </c>
      <c r="N42" s="4"/>
      <c r="O42" s="18"/>
      <c r="P42" s="4"/>
      <c r="Q42" s="15">
        <f t="shared" si="0"/>
        <v>0</v>
      </c>
      <c r="R42" s="12" t="s">
        <v>614</v>
      </c>
      <c r="S42" s="16" cm="1">
        <f t="array" ref="S42">IF(R42="",0,COUNTA(_xlfn._xlws.FILTER(_xlfn.TEXTSPLIT(R42,";"), _xlfn.TEXTSPLIT(R42,";")&lt;&gt;"")))</f>
        <v>9</v>
      </c>
      <c r="T42" s="12"/>
      <c r="U42" s="16" cm="1">
        <f t="array" ref="U42">IF(T42="",0,COUNTA(_xlfn._xlws.FILTER(_xlfn.TEXTSPLIT(T42,";"), _xlfn.TEXTSPLIT(T42,";")&lt;&gt;"")))</f>
        <v>0</v>
      </c>
      <c r="V42" s="17">
        <f t="shared" si="1"/>
        <v>0</v>
      </c>
      <c r="W42" s="12" t="str" cm="1">
        <f t="array" ref="W42">IF(T42="",R42,_xlfn.LET(_xlpm.inv, TRIM(_xlfn.TEXTSPLIT(R42,";")),_xlpm.fol, TRIM(_xlfn.TEXTSPLIT(T42,";")),_xlfn.TEXTJOIN("; ", TRUE, _xlfn._xlws.FILTER(_xlpm.inv, ISNA(MATCH(_xlpm.inv, _xlpm.fol, 0)), ""))
  )
)</f>
        <v>David Ulevitch; Incite Ventures; James Tamplin; Lowercarbon Capital; Nat Friedman; Peter Reinhardt; Stripe; Thomas Mvlnerney; Valor Equity Partners</v>
      </c>
      <c r="X42" s="16" cm="1">
        <f t="array" ref="X42">IF(W42="","N/A",COUNTA(_xlfn._xlws.FILTER(_xlfn.TEXTSPLIT(W42,";"), _xlfn.TEXTSPLIT(W42,";")&lt;&gt;"")))</f>
        <v>9</v>
      </c>
      <c r="Y42" s="17">
        <f t="shared" si="2"/>
        <v>1</v>
      </c>
      <c r="Z42" s="4" t="s">
        <v>812</v>
      </c>
      <c r="AA42" s="4" t="s">
        <v>79</v>
      </c>
      <c r="AB42" s="4" t="s">
        <v>825</v>
      </c>
      <c r="AC42" s="4" t="s">
        <v>517</v>
      </c>
    </row>
    <row r="43" spans="1:29" ht="29" x14ac:dyDescent="0.35">
      <c r="A43" s="4">
        <f t="shared" si="3"/>
        <v>41</v>
      </c>
      <c r="B43" s="4" t="s">
        <v>214</v>
      </c>
      <c r="C43" s="4" t="s">
        <v>198</v>
      </c>
      <c r="D43" s="4">
        <v>2018</v>
      </c>
      <c r="E43" s="12" t="s">
        <v>910</v>
      </c>
      <c r="F43" s="4" t="s">
        <v>963</v>
      </c>
      <c r="G43" s="4" t="s">
        <v>1084</v>
      </c>
      <c r="H43" s="4" t="s">
        <v>1015</v>
      </c>
      <c r="I43" s="14">
        <v>25.5</v>
      </c>
      <c r="J43" s="13">
        <v>44413</v>
      </c>
      <c r="K43" s="25"/>
      <c r="L43" s="14">
        <v>22</v>
      </c>
      <c r="M43" s="14">
        <v>126.5</v>
      </c>
      <c r="N43" s="4" t="s">
        <v>471</v>
      </c>
      <c r="O43" s="18">
        <v>4.8600000000000003</v>
      </c>
      <c r="P43" s="4"/>
      <c r="Q43" s="15">
        <f t="shared" si="0"/>
        <v>0</v>
      </c>
      <c r="R43" s="12" t="s">
        <v>521</v>
      </c>
      <c r="S43" s="16" cm="1">
        <f t="array" ref="S43">IF(R43="",0,COUNTA(_xlfn._xlws.FILTER(_xlfn.TEXTSPLIT(R43,";"), _xlfn.TEXTSPLIT(R43,";")&lt;&gt;"")))</f>
        <v>4</v>
      </c>
      <c r="T43" s="12"/>
      <c r="U43" s="16" cm="1">
        <f t="array" ref="U43">IF(T43="",0,COUNTA(_xlfn._xlws.FILTER(_xlfn.TEXTSPLIT(T43,";"), _xlfn.TEXTSPLIT(T43,";")&lt;&gt;"")))</f>
        <v>0</v>
      </c>
      <c r="V43" s="17">
        <f t="shared" si="1"/>
        <v>0</v>
      </c>
      <c r="W43" s="12" t="str" cm="1">
        <f t="array" ref="W43">IF(T43="",R43,_xlfn.LET(_xlpm.inv, TRIM(_xlfn.TEXTSPLIT(R43,";")),_xlpm.fol, TRIM(_xlfn.TEXTSPLIT(T43,";")),_xlfn.TEXTJOIN("; ", TRUE, _xlfn._xlws.FILTER(_xlpm.inv, ISNA(MATCH(_xlpm.inv, _xlpm.fol, 0)), ""))
  )
)</f>
        <v>Impact Assets; PRIME Coalition; Seek Ventures; Social Impact Capital</v>
      </c>
      <c r="X43" s="16" cm="1">
        <f t="array" ref="X43">IF(W43="","N/A",COUNTA(_xlfn._xlws.FILTER(_xlfn.TEXTSPLIT(W43,";"), _xlfn.TEXTSPLIT(W43,";")&lt;&gt;"")))</f>
        <v>4</v>
      </c>
      <c r="Y43" s="17">
        <f t="shared" si="2"/>
        <v>1</v>
      </c>
      <c r="Z43" s="4" t="s">
        <v>817</v>
      </c>
      <c r="AA43" s="4" t="s">
        <v>831</v>
      </c>
      <c r="AB43" s="4" t="s">
        <v>825</v>
      </c>
      <c r="AC43" s="4" t="s">
        <v>517</v>
      </c>
    </row>
    <row r="44" spans="1:29" x14ac:dyDescent="0.35">
      <c r="A44" s="4">
        <f t="shared" si="3"/>
        <v>42</v>
      </c>
      <c r="B44" s="4" t="s">
        <v>215</v>
      </c>
      <c r="C44" s="4" t="s">
        <v>167</v>
      </c>
      <c r="D44" s="4">
        <v>2022</v>
      </c>
      <c r="E44" s="12" t="s">
        <v>211</v>
      </c>
      <c r="F44" s="4" t="s">
        <v>963</v>
      </c>
      <c r="G44" s="4" t="s">
        <v>1066</v>
      </c>
      <c r="H44" s="4" t="s">
        <v>1016</v>
      </c>
      <c r="I44" s="14">
        <v>390</v>
      </c>
      <c r="J44" s="13">
        <v>45687</v>
      </c>
      <c r="K44" s="25"/>
      <c r="L44" s="14">
        <v>160</v>
      </c>
      <c r="M44" s="14"/>
      <c r="N44" s="4"/>
      <c r="O44" s="18"/>
      <c r="P44" s="4"/>
      <c r="Q44" s="15">
        <f t="shared" si="0"/>
        <v>0</v>
      </c>
      <c r="R44" s="12" t="s">
        <v>615</v>
      </c>
      <c r="S44" s="16" cm="1">
        <f t="array" ref="S44">IF(R44="",0,COUNTA(_xlfn._xlws.FILTER(_xlfn.TEXTSPLIT(R44,";"), _xlfn.TEXTSPLIT(R44,";")&lt;&gt;"")))</f>
        <v>4</v>
      </c>
      <c r="T44" s="12" t="s">
        <v>571</v>
      </c>
      <c r="U44" s="16" cm="1">
        <f t="array" ref="U44">IF(T44="",0,COUNTA(_xlfn._xlws.FILTER(_xlfn.TEXTSPLIT(T44,";"), _xlfn.TEXTSPLIT(T44,";")&lt;&gt;"")))</f>
        <v>2</v>
      </c>
      <c r="V44" s="17">
        <f t="shared" si="1"/>
        <v>0.5</v>
      </c>
      <c r="W44" s="12" t="str" cm="1">
        <f t="array" ref="W44">IF(T44="",R44,_xlfn.LET(_xlpm.inv, TRIM(_xlfn.TEXTSPLIT(R44,";")),_xlpm.fol, TRIM(_xlfn.TEXTSPLIT(T44,";")),_xlfn.TEXTJOIN("; ", TRUE, _xlfn._xlws.FILTER(_xlpm.inv, ISNA(MATCH(_xlpm.inv, _xlpm.fol, 0)), ""))
  )
)</f>
        <v>Cloverlay; DBL Partners</v>
      </c>
      <c r="X44" s="16" cm="1">
        <f t="array" ref="X44">IF(W44="","N/A",COUNTA(_xlfn._xlws.FILTER(_xlfn.TEXTSPLIT(W44,";"), _xlfn.TEXTSPLIT(W44,";")&lt;&gt;"")))</f>
        <v>2</v>
      </c>
      <c r="Y44" s="17">
        <f t="shared" si="2"/>
        <v>0.5</v>
      </c>
      <c r="Z44" s="4" t="s">
        <v>815</v>
      </c>
      <c r="AA44" s="4"/>
      <c r="AB44" s="4" t="s">
        <v>825</v>
      </c>
      <c r="AC44" s="4" t="s">
        <v>517</v>
      </c>
    </row>
    <row r="45" spans="1:29" x14ac:dyDescent="0.35">
      <c r="A45" s="4">
        <f t="shared" si="3"/>
        <v>43</v>
      </c>
      <c r="B45" s="4" t="s">
        <v>215</v>
      </c>
      <c r="C45" s="4" t="s">
        <v>167</v>
      </c>
      <c r="D45" s="4">
        <v>2022</v>
      </c>
      <c r="E45" s="12" t="s">
        <v>211</v>
      </c>
      <c r="F45" s="4" t="s">
        <v>963</v>
      </c>
      <c r="G45" s="4" t="s">
        <v>1066</v>
      </c>
      <c r="H45" s="4" t="s">
        <v>1016</v>
      </c>
      <c r="I45" s="14">
        <v>230</v>
      </c>
      <c r="J45" s="13">
        <v>44927</v>
      </c>
      <c r="K45" s="25"/>
      <c r="L45" s="14">
        <v>30</v>
      </c>
      <c r="M45" s="14"/>
      <c r="N45" s="4"/>
      <c r="O45" s="18"/>
      <c r="P45" s="4"/>
      <c r="Q45" s="15">
        <f t="shared" si="0"/>
        <v>0</v>
      </c>
      <c r="R45" s="12" t="s">
        <v>481</v>
      </c>
      <c r="S45" s="16" cm="1">
        <f t="array" ref="S45">IF(R45="",0,COUNTA(_xlfn._xlws.FILTER(_xlfn.TEXTSPLIT(R45,";"), _xlfn.TEXTSPLIT(R45,";")&lt;&gt;"")))</f>
        <v>1</v>
      </c>
      <c r="T45" s="12"/>
      <c r="U45" s="16" cm="1">
        <f t="array" ref="U45">IF(T45="",0,COUNTA(_xlfn._xlws.FILTER(_xlfn.TEXTSPLIT(T45,";"), _xlfn.TEXTSPLIT(T45,";")&lt;&gt;"")))</f>
        <v>0</v>
      </c>
      <c r="V45" s="17">
        <f t="shared" si="1"/>
        <v>0</v>
      </c>
      <c r="W45" s="12" t="str" cm="1">
        <f t="array" ref="W45">IF(T45="",R45,_xlfn.LET(_xlpm.inv, TRIM(_xlfn.TEXTSPLIT(R45,";")),_xlpm.fol, TRIM(_xlfn.TEXTSPLIT(T45,";")),_xlfn.TEXTJOIN("; ", TRUE, _xlfn._xlws.FILTER(_xlpm.inv, ISNA(MATCH(_xlpm.inv, _xlpm.fol, 0)), ""))
  )
)</f>
        <v>CPP Investments</v>
      </c>
      <c r="X45" s="16" cm="1">
        <f t="array" ref="X45">IF(W45="","N/A",COUNTA(_xlfn._xlws.FILTER(_xlfn.TEXTSPLIT(W45,";"), _xlfn.TEXTSPLIT(W45,";")&lt;&gt;"")))</f>
        <v>1</v>
      </c>
      <c r="Y45" s="17">
        <f t="shared" si="2"/>
        <v>1</v>
      </c>
      <c r="Z45" s="4" t="s">
        <v>835</v>
      </c>
      <c r="AA45" s="4"/>
      <c r="AB45" s="4" t="s">
        <v>825</v>
      </c>
      <c r="AC45" s="4" t="s">
        <v>517</v>
      </c>
    </row>
    <row r="46" spans="1:29" x14ac:dyDescent="0.35">
      <c r="A46" s="4">
        <f t="shared" si="3"/>
        <v>44</v>
      </c>
      <c r="B46" s="4" t="s">
        <v>215</v>
      </c>
      <c r="C46" s="4" t="s">
        <v>167</v>
      </c>
      <c r="D46" s="4">
        <v>2022</v>
      </c>
      <c r="E46" s="12" t="s">
        <v>211</v>
      </c>
      <c r="F46" s="4" t="s">
        <v>963</v>
      </c>
      <c r="G46" s="4" t="s">
        <v>1066</v>
      </c>
      <c r="H46" s="4" t="s">
        <v>1016</v>
      </c>
      <c r="I46" s="14">
        <v>690</v>
      </c>
      <c r="J46" s="13">
        <v>45916</v>
      </c>
      <c r="K46" s="25"/>
      <c r="L46" s="14">
        <v>90</v>
      </c>
      <c r="M46" s="14"/>
      <c r="N46" s="4"/>
      <c r="O46" s="18"/>
      <c r="P46" s="4"/>
      <c r="Q46" s="15">
        <f t="shared" si="0"/>
        <v>0</v>
      </c>
      <c r="R46" s="12" t="s">
        <v>616</v>
      </c>
      <c r="S46" s="16" cm="1">
        <f t="array" ref="S46">IF(R46="",0,COUNTA(_xlfn._xlws.FILTER(_xlfn.TEXTSPLIT(R46,";"), _xlfn.TEXTSPLIT(R46,";")&lt;&gt;"")))</f>
        <v>1</v>
      </c>
      <c r="T46" s="12" t="s">
        <v>481</v>
      </c>
      <c r="U46" s="16" cm="1">
        <f t="array" ref="U46">IF(T46="",0,COUNTA(_xlfn._xlws.FILTER(_xlfn.TEXTSPLIT(T46,";"), _xlfn.TEXTSPLIT(T46,";")&lt;&gt;"")))</f>
        <v>1</v>
      </c>
      <c r="V46" s="17">
        <f t="shared" si="1"/>
        <v>1</v>
      </c>
      <c r="W46" s="12" t="str" cm="1">
        <f t="array" ref="W46">IF(T46="",R46,_xlfn.LET(_xlpm.inv, TRIM(_xlfn.TEXTSPLIT(R46,";")),_xlpm.fol, TRIM(_xlfn.TEXTSPLIT(T46,";")),_xlfn.TEXTJOIN("; ", TRUE, _xlfn._xlws.FILTER(_xlpm.inv, ISNA(MATCH(_xlpm.inv, _xlpm.fol, 0)), ""))
  )
)</f>
        <v/>
      </c>
      <c r="X46" s="16" t="str" cm="1">
        <f t="array" ref="X46">IF(W46="","N/A",COUNTA(_xlfn._xlws.FILTER(_xlfn.TEXTSPLIT(W46,";"), _xlfn.TEXTSPLIT(W46,";")&lt;&gt;"")))</f>
        <v>N/A</v>
      </c>
      <c r="Y46" s="17" t="str">
        <f t="shared" si="2"/>
        <v>N/A</v>
      </c>
      <c r="Z46" s="4" t="s">
        <v>815</v>
      </c>
      <c r="AA46" s="4"/>
      <c r="AB46" s="4" t="s">
        <v>825</v>
      </c>
      <c r="AC46" s="4" t="s">
        <v>517</v>
      </c>
    </row>
    <row r="47" spans="1:29" ht="58" x14ac:dyDescent="0.35">
      <c r="A47" s="4">
        <f t="shared" si="3"/>
        <v>45</v>
      </c>
      <c r="B47" s="4" t="s">
        <v>216</v>
      </c>
      <c r="C47" s="4" t="s">
        <v>217</v>
      </c>
      <c r="D47" s="4">
        <v>2011</v>
      </c>
      <c r="E47" s="12" t="s">
        <v>911</v>
      </c>
      <c r="F47" s="4" t="s">
        <v>960</v>
      </c>
      <c r="G47" s="4" t="s">
        <v>1067</v>
      </c>
      <c r="H47" s="4" t="s">
        <v>1017</v>
      </c>
      <c r="I47" s="14">
        <v>67.19</v>
      </c>
      <c r="J47" s="13">
        <v>44986</v>
      </c>
      <c r="K47" s="25">
        <v>0.64</v>
      </c>
      <c r="L47" s="14">
        <v>25</v>
      </c>
      <c r="M47" s="14">
        <v>190</v>
      </c>
      <c r="N47" s="4" t="s">
        <v>471</v>
      </c>
      <c r="O47" s="18">
        <v>1.18</v>
      </c>
      <c r="P47" s="4"/>
      <c r="Q47" s="15">
        <f t="shared" si="0"/>
        <v>0</v>
      </c>
      <c r="R47" s="12" t="s">
        <v>617</v>
      </c>
      <c r="S47" s="16" cm="1">
        <f t="array" ref="S47">IF(R47="",0,COUNTA(_xlfn._xlws.FILTER(_xlfn.TEXTSPLIT(R47,";"), _xlfn.TEXTSPLIT(R47,";")&lt;&gt;"")))</f>
        <v>20</v>
      </c>
      <c r="T47" s="12" t="s">
        <v>572</v>
      </c>
      <c r="U47" s="16" cm="1">
        <f t="array" ref="U47">IF(T47="",0,COUNTA(_xlfn._xlws.FILTER(_xlfn.TEXTSPLIT(T47,";"), _xlfn.TEXTSPLIT(T47,";")&lt;&gt;"")))</f>
        <v>7</v>
      </c>
      <c r="V47" s="17">
        <f t="shared" si="1"/>
        <v>0.35</v>
      </c>
      <c r="W47" s="12" t="str" cm="1">
        <f t="array" ref="W47">IF(T47="",R47,_xlfn.LET(_xlpm.inv, TRIM(_xlfn.TEXTSPLIT(R47,";")),_xlpm.fol, TRIM(_xlfn.TEXTSPLIT(T47,";")),_xlfn.TEXTJOIN("; ", TRUE, _xlfn._xlws.FILTER(_xlpm.inv, ISNA(MATCH(_xlpm.inv, _xlpm.fol, 0)), ""))
  )
)</f>
        <v>8090 Industries; Avery Dennison; Breaktrhough Energy; Cerity Partners Ventures; Industrial de Diseno Textil; Lansdowne Partners; Milliken &amp; Company; Pandion Innovation for Impact; Plug &amp; Play Tech Center; Temasek Holdings; Vodia Capital; Youngone; Zalando</v>
      </c>
      <c r="X47" s="16" cm="1">
        <f t="array" ref="X47">IF(W47="","N/A",COUNTA(_xlfn._xlws.FILTER(_xlfn.TEXTSPLIT(W47,";"), _xlfn.TEXTSPLIT(W47,";")&lt;&gt;"")))</f>
        <v>13</v>
      </c>
      <c r="Y47" s="17">
        <f t="shared" si="2"/>
        <v>0.65</v>
      </c>
      <c r="Z47" s="4" t="s">
        <v>810</v>
      </c>
      <c r="AA47" s="4" t="s">
        <v>842</v>
      </c>
      <c r="AB47" s="4" t="s">
        <v>836</v>
      </c>
      <c r="AC47" s="4" t="s">
        <v>517</v>
      </c>
    </row>
    <row r="48" spans="1:29" x14ac:dyDescent="0.35">
      <c r="A48" s="4">
        <f t="shared" si="3"/>
        <v>46</v>
      </c>
      <c r="B48" s="4" t="s">
        <v>87</v>
      </c>
      <c r="C48" s="4" t="s">
        <v>218</v>
      </c>
      <c r="D48" s="4">
        <v>2023</v>
      </c>
      <c r="E48" s="12" t="s">
        <v>553</v>
      </c>
      <c r="F48" s="4" t="s">
        <v>557</v>
      </c>
      <c r="G48" s="4" t="s">
        <v>1018</v>
      </c>
      <c r="H48" s="4" t="s">
        <v>1019</v>
      </c>
      <c r="I48" s="14">
        <v>50</v>
      </c>
      <c r="J48" s="13">
        <v>45399</v>
      </c>
      <c r="K48" s="25"/>
      <c r="L48" s="14">
        <v>50</v>
      </c>
      <c r="M48" s="14"/>
      <c r="N48" s="4"/>
      <c r="O48" s="18"/>
      <c r="P48" s="4"/>
      <c r="Q48" s="15">
        <f t="shared" si="0"/>
        <v>0</v>
      </c>
      <c r="R48" s="12" t="s">
        <v>618</v>
      </c>
      <c r="S48" s="16" cm="1">
        <f t="array" ref="S48">IF(R48="",0,COUNTA(_xlfn._xlws.FILTER(_xlfn.TEXTSPLIT(R48,";"), _xlfn.TEXTSPLIT(R48,";")&lt;&gt;"")))</f>
        <v>1</v>
      </c>
      <c r="T48" s="12"/>
      <c r="U48" s="16" cm="1">
        <f t="array" ref="U48">IF(T48="",0,COUNTA(_xlfn._xlws.FILTER(_xlfn.TEXTSPLIT(T48,";"), _xlfn.TEXTSPLIT(T48,";")&lt;&gt;"")))</f>
        <v>0</v>
      </c>
      <c r="V48" s="17">
        <f t="shared" si="1"/>
        <v>0</v>
      </c>
      <c r="W48" s="12" t="str" cm="1">
        <f t="array" ref="W48">IF(T48="",R48,_xlfn.LET(_xlpm.inv, TRIM(_xlfn.TEXTSPLIT(R48,";")),_xlpm.fol, TRIM(_xlfn.TEXTSPLIT(T48,";")),_xlfn.TEXTJOIN("; ", TRUE, _xlfn._xlws.FILTER(_xlpm.inv, ISNA(MATCH(_xlpm.inv, _xlpm.fol, 0)), ""))
  )
)</f>
        <v>Homecoming Capital</v>
      </c>
      <c r="X48" s="16" cm="1">
        <f t="array" ref="X48">IF(W48="","N/A",COUNTA(_xlfn._xlws.FILTER(_xlfn.TEXTSPLIT(W48,";"), _xlfn.TEXTSPLIT(W48,";")&lt;&gt;"")))</f>
        <v>1</v>
      </c>
      <c r="Y48" s="17">
        <f t="shared" si="2"/>
        <v>1</v>
      </c>
      <c r="Z48" s="4" t="s">
        <v>815</v>
      </c>
      <c r="AA48" s="4"/>
      <c r="AB48" s="4" t="s">
        <v>822</v>
      </c>
      <c r="AC48" s="4" t="s">
        <v>517</v>
      </c>
    </row>
    <row r="49" spans="1:29" x14ac:dyDescent="0.35">
      <c r="A49" s="4">
        <f t="shared" si="3"/>
        <v>47</v>
      </c>
      <c r="B49" s="4" t="s">
        <v>88</v>
      </c>
      <c r="C49" s="4" t="s">
        <v>167</v>
      </c>
      <c r="D49" s="4">
        <v>2021</v>
      </c>
      <c r="E49" s="12" t="s">
        <v>553</v>
      </c>
      <c r="F49" s="4" t="s">
        <v>978</v>
      </c>
      <c r="G49" s="4" t="s">
        <v>1085</v>
      </c>
      <c r="H49" s="4" t="s">
        <v>1020</v>
      </c>
      <c r="I49" s="14">
        <v>0.68</v>
      </c>
      <c r="J49" s="13">
        <v>44531</v>
      </c>
      <c r="K49" s="25"/>
      <c r="L49" s="14">
        <v>0.68</v>
      </c>
      <c r="M49" s="14">
        <v>4.18</v>
      </c>
      <c r="N49" s="4"/>
      <c r="O49" s="18"/>
      <c r="P49" s="4"/>
      <c r="Q49" s="15">
        <f t="shared" si="0"/>
        <v>0</v>
      </c>
      <c r="R49" s="12" t="s">
        <v>619</v>
      </c>
      <c r="S49" s="16" cm="1">
        <f t="array" ref="S49">IF(R49="",0,COUNTA(_xlfn._xlws.FILTER(_xlfn.TEXTSPLIT(R49,";"), _xlfn.TEXTSPLIT(R49,";")&lt;&gt;"")))</f>
        <v>1</v>
      </c>
      <c r="T49" s="12"/>
      <c r="U49" s="16" cm="1">
        <f t="array" ref="U49">IF(T49="",0,COUNTA(_xlfn._xlws.FILTER(_xlfn.TEXTSPLIT(T49,";"), _xlfn.TEXTSPLIT(T49,";")&lt;&gt;"")))</f>
        <v>0</v>
      </c>
      <c r="V49" s="17">
        <f t="shared" si="1"/>
        <v>0</v>
      </c>
      <c r="W49" s="12" t="str" cm="1">
        <f t="array" ref="W49">IF(T49="",R49,_xlfn.LET(_xlpm.inv, TRIM(_xlfn.TEXTSPLIT(R49,";")),_xlpm.fol, TRIM(_xlfn.TEXTSPLIT(T49,";")),_xlfn.TEXTJOIN("; ", TRUE, _xlfn._xlws.FILTER(_xlpm.inv, ISNA(MATCH(_xlpm.inv, _xlpm.fol, 0)), ""))
  )
)</f>
        <v xml:space="preserve">BPH Energy </v>
      </c>
      <c r="X49" s="16" cm="1">
        <f t="array" ref="X49">IF(W49="","N/A",COUNTA(_xlfn._xlws.FILTER(_xlfn.TEXTSPLIT(W49,";"), _xlfn.TEXTSPLIT(W49,";")&lt;&gt;"")))</f>
        <v>1</v>
      </c>
      <c r="Y49" s="17">
        <f t="shared" si="2"/>
        <v>1</v>
      </c>
      <c r="Z49" s="4" t="s">
        <v>815</v>
      </c>
      <c r="AA49" s="4"/>
      <c r="AB49" s="4" t="s">
        <v>837</v>
      </c>
      <c r="AC49" s="4" t="s">
        <v>517</v>
      </c>
    </row>
    <row r="50" spans="1:29" x14ac:dyDescent="0.35">
      <c r="A50" s="4">
        <f t="shared" si="3"/>
        <v>48</v>
      </c>
      <c r="B50" s="4" t="s">
        <v>88</v>
      </c>
      <c r="C50" s="4" t="s">
        <v>167</v>
      </c>
      <c r="D50" s="4">
        <v>2021</v>
      </c>
      <c r="E50" s="12" t="s">
        <v>553</v>
      </c>
      <c r="F50" s="4" t="s">
        <v>978</v>
      </c>
      <c r="G50" s="4" t="s">
        <v>1085</v>
      </c>
      <c r="H50" s="4" t="s">
        <v>1020</v>
      </c>
      <c r="I50" s="14">
        <v>16.88</v>
      </c>
      <c r="J50" s="13">
        <v>45596</v>
      </c>
      <c r="K50" s="25"/>
      <c r="L50" s="14">
        <v>16.2</v>
      </c>
      <c r="M50" s="14">
        <v>38.880000000000003</v>
      </c>
      <c r="N50" s="4"/>
      <c r="O50" s="18"/>
      <c r="P50" s="4">
        <v>9.7200000000000006</v>
      </c>
      <c r="Q50" s="15">
        <f t="shared" si="0"/>
        <v>0.60000000000000009</v>
      </c>
      <c r="R50" s="12"/>
      <c r="S50" s="16" cm="1">
        <f t="array" ref="S50">IF(R50="",0,COUNTA(_xlfn._xlws.FILTER(_xlfn.TEXTSPLIT(R50,";"), _xlfn.TEXTSPLIT(R50,";")&lt;&gt;"")))</f>
        <v>0</v>
      </c>
      <c r="T50" s="12"/>
      <c r="U50" s="16" cm="1">
        <f t="array" ref="U50">IF(T50="",0,COUNTA(_xlfn._xlws.FILTER(_xlfn.TEXTSPLIT(T50,";"), _xlfn.TEXTSPLIT(T50,";")&lt;&gt;"")))</f>
        <v>0</v>
      </c>
      <c r="V50" s="17" t="str">
        <f t="shared" si="1"/>
        <v>N/A</v>
      </c>
      <c r="W50" s="12" cm="1">
        <f t="array" ref="W50">IF(T50="",R50,_xlfn.LET(_xlpm.inv, TRIM(_xlfn.TEXTSPLIT(R50,";")),_xlpm.fol, TRIM(_xlfn.TEXTSPLIT(T50,";")),_xlfn.TEXTJOIN("; ", TRUE, _xlfn._xlws.FILTER(_xlpm.inv, ISNA(MATCH(_xlpm.inv, _xlpm.fol, 0)), ""))
  )
)</f>
        <v>0</v>
      </c>
      <c r="X50" s="16" cm="1">
        <f t="array" ref="X50">IF(W50="","N/A",COUNTA(_xlfn._xlws.FILTER(_xlfn.TEXTSPLIT(W50,";"), _xlfn.TEXTSPLIT(W50,";")&lt;&gt;"")))</f>
        <v>1</v>
      </c>
      <c r="Y50" s="17" t="str">
        <f t="shared" si="2"/>
        <v>N/A</v>
      </c>
      <c r="Z50" s="4" t="s">
        <v>815</v>
      </c>
      <c r="AA50" s="4"/>
      <c r="AB50" s="4" t="s">
        <v>816</v>
      </c>
      <c r="AC50" s="4" t="s">
        <v>517</v>
      </c>
    </row>
    <row r="51" spans="1:29" ht="29" x14ac:dyDescent="0.35">
      <c r="A51" s="4">
        <f t="shared" si="3"/>
        <v>49</v>
      </c>
      <c r="B51" s="4" t="s">
        <v>219</v>
      </c>
      <c r="C51" s="4" t="s">
        <v>220</v>
      </c>
      <c r="D51" s="4">
        <v>2013</v>
      </c>
      <c r="E51" s="12" t="s">
        <v>900</v>
      </c>
      <c r="F51" s="4" t="s">
        <v>962</v>
      </c>
      <c r="G51" s="4" t="s">
        <v>1068</v>
      </c>
      <c r="H51" s="4" t="s">
        <v>1021</v>
      </c>
      <c r="I51" s="14">
        <v>62.28</v>
      </c>
      <c r="J51" s="13">
        <v>45047</v>
      </c>
      <c r="K51" s="25">
        <v>0.67</v>
      </c>
      <c r="L51" s="14">
        <v>6.7</v>
      </c>
      <c r="M51" s="14">
        <v>33</v>
      </c>
      <c r="N51" s="4"/>
      <c r="O51" s="18"/>
      <c r="P51" s="4"/>
      <c r="Q51" s="15">
        <f t="shared" si="0"/>
        <v>0</v>
      </c>
      <c r="R51" s="12" t="s">
        <v>573</v>
      </c>
      <c r="S51" s="16" cm="1">
        <f t="array" ref="S51">IF(R51="",0,COUNTA(_xlfn._xlws.FILTER(_xlfn.TEXTSPLIT(R51,";"), _xlfn.TEXTSPLIT(R51,";")&lt;&gt;"")))</f>
        <v>1</v>
      </c>
      <c r="T51" s="12" t="s">
        <v>573</v>
      </c>
      <c r="U51" s="16" cm="1">
        <f t="array" ref="U51">IF(T51="",0,COUNTA(_xlfn._xlws.FILTER(_xlfn.TEXTSPLIT(T51,";"), _xlfn.TEXTSPLIT(T51,";")&lt;&gt;"")))</f>
        <v>1</v>
      </c>
      <c r="V51" s="17">
        <f t="shared" si="1"/>
        <v>1</v>
      </c>
      <c r="W51" s="12" t="str" cm="1">
        <f t="array" ref="W51">IF(T51="",R51,_xlfn.LET(_xlpm.inv, TRIM(_xlfn.TEXTSPLIT(R51,";")),_xlpm.fol, TRIM(_xlfn.TEXTSPLIT(T51,";")),_xlfn.TEXTJOIN("; ", TRUE, _xlfn._xlws.FILTER(_xlpm.inv, ISNA(MATCH(_xlpm.inv, _xlpm.fol, 0)), ""))
  )
)</f>
        <v/>
      </c>
      <c r="X51" s="16" t="str" cm="1">
        <f t="array" ref="X51">IF(W51="","N/A",COUNTA(_xlfn._xlws.FILTER(_xlfn.TEXTSPLIT(W51,";"), _xlfn.TEXTSPLIT(W51,";")&lt;&gt;"")))</f>
        <v>N/A</v>
      </c>
      <c r="Y51" s="17" t="str">
        <f t="shared" si="2"/>
        <v>N/A</v>
      </c>
      <c r="Z51" s="4" t="s">
        <v>810</v>
      </c>
      <c r="AA51" s="4" t="s">
        <v>820</v>
      </c>
      <c r="AB51" s="4" t="s">
        <v>838</v>
      </c>
      <c r="AC51" s="4" t="s">
        <v>517</v>
      </c>
    </row>
    <row r="52" spans="1:29" x14ac:dyDescent="0.35">
      <c r="A52" s="4">
        <f t="shared" si="3"/>
        <v>50</v>
      </c>
      <c r="B52" s="4" t="s">
        <v>221</v>
      </c>
      <c r="C52" s="4" t="s">
        <v>222</v>
      </c>
      <c r="D52" s="4">
        <v>2018</v>
      </c>
      <c r="E52" s="12" t="s">
        <v>223</v>
      </c>
      <c r="F52" s="4" t="s">
        <v>557</v>
      </c>
      <c r="G52" s="4" t="s">
        <v>1022</v>
      </c>
      <c r="H52" s="4" t="s">
        <v>1023</v>
      </c>
      <c r="I52" s="14"/>
      <c r="J52" s="13">
        <v>44215</v>
      </c>
      <c r="K52" s="25"/>
      <c r="L52" s="14"/>
      <c r="M52" s="14"/>
      <c r="N52" s="4"/>
      <c r="O52" s="18"/>
      <c r="P52" s="4"/>
      <c r="Q52" s="15" t="str">
        <f t="shared" si="0"/>
        <v>N/A</v>
      </c>
      <c r="R52" s="12" t="s">
        <v>484</v>
      </c>
      <c r="S52" s="16" cm="1">
        <f t="array" ref="S52">IF(R52="",0,COUNTA(_xlfn._xlws.FILTER(_xlfn.TEXTSPLIT(R52,";"), _xlfn.TEXTSPLIT(R52,";")&lt;&gt;"")))</f>
        <v>1</v>
      </c>
      <c r="T52" s="12"/>
      <c r="U52" s="16" cm="1">
        <f t="array" ref="U52">IF(T52="",0,COUNTA(_xlfn._xlws.FILTER(_xlfn.TEXTSPLIT(T52,";"), _xlfn.TEXTSPLIT(T52,";")&lt;&gt;"")))</f>
        <v>0</v>
      </c>
      <c r="V52" s="17">
        <f t="shared" si="1"/>
        <v>0</v>
      </c>
      <c r="W52" s="12" t="str" cm="1">
        <f t="array" ref="W52">IF(T52="",R52,_xlfn.LET(_xlpm.inv, TRIM(_xlfn.TEXTSPLIT(R52,";")),_xlpm.fol, TRIM(_xlfn.TEXTSPLIT(T52,";")),_xlfn.TEXTJOIN("; ", TRUE, _xlfn._xlws.FILTER(_xlpm.inv, ISNA(MATCH(_xlpm.inv, _xlpm.fol, 0)), ""))
  )
)</f>
        <v>Greenbacker Capital Management</v>
      </c>
      <c r="X52" s="16" cm="1">
        <f t="array" ref="X52">IF(W52="","N/A",COUNTA(_xlfn._xlws.FILTER(_xlfn.TEXTSPLIT(W52,";"), _xlfn.TEXTSPLIT(W52,";")&lt;&gt;"")))</f>
        <v>1</v>
      </c>
      <c r="Y52" s="17">
        <f t="shared" si="2"/>
        <v>1</v>
      </c>
      <c r="Z52" s="4" t="s">
        <v>815</v>
      </c>
      <c r="AA52" s="4"/>
      <c r="AB52" s="4" t="s">
        <v>816</v>
      </c>
      <c r="AC52" s="4" t="s">
        <v>517</v>
      </c>
    </row>
    <row r="53" spans="1:29" ht="29" x14ac:dyDescent="0.35">
      <c r="A53" s="4">
        <f t="shared" si="3"/>
        <v>51</v>
      </c>
      <c r="B53" s="4" t="s">
        <v>89</v>
      </c>
      <c r="C53" s="4" t="s">
        <v>224</v>
      </c>
      <c r="D53" s="4">
        <v>2017</v>
      </c>
      <c r="E53" s="12" t="s">
        <v>912</v>
      </c>
      <c r="F53" s="4" t="s">
        <v>960</v>
      </c>
      <c r="G53" s="4" t="s">
        <v>1086</v>
      </c>
      <c r="H53" s="4" t="s">
        <v>1024</v>
      </c>
      <c r="I53" s="14"/>
      <c r="J53" s="13">
        <v>43003</v>
      </c>
      <c r="K53" s="25"/>
      <c r="L53" s="14"/>
      <c r="M53" s="14"/>
      <c r="N53" s="4"/>
      <c r="O53" s="18"/>
      <c r="P53" s="4"/>
      <c r="Q53" s="15" t="str">
        <f t="shared" si="0"/>
        <v>N/A</v>
      </c>
      <c r="R53" s="12" t="s">
        <v>485</v>
      </c>
      <c r="S53" s="16" cm="1">
        <f t="array" ref="S53">IF(R53="",0,COUNTA(_xlfn._xlws.FILTER(_xlfn.TEXTSPLIT(R53,";"), _xlfn.TEXTSPLIT(R53,";")&lt;&gt;"")))</f>
        <v>1</v>
      </c>
      <c r="T53" s="12"/>
      <c r="U53" s="16" cm="1">
        <f t="array" ref="U53">IF(T53="",0,COUNTA(_xlfn._xlws.FILTER(_xlfn.TEXTSPLIT(T53,";"), _xlfn.TEXTSPLIT(T53,";")&lt;&gt;"")))</f>
        <v>0</v>
      </c>
      <c r="V53" s="17">
        <f t="shared" si="1"/>
        <v>0</v>
      </c>
      <c r="W53" s="12" t="str" cm="1">
        <f t="array" ref="W53">IF(T53="",R53,_xlfn.LET(_xlpm.inv, TRIM(_xlfn.TEXTSPLIT(R53,";")),_xlpm.fol, TRIM(_xlfn.TEXTSPLIT(T53,";")),_xlfn.TEXTJOIN("; ", TRUE, _xlfn._xlws.FILTER(_xlpm.inv, ISNA(MATCH(_xlpm.inv, _xlpm.fol, 0)), ""))
  )
)</f>
        <v xml:space="preserve">Castlelake </v>
      </c>
      <c r="X53" s="16" cm="1">
        <f t="array" ref="X53">IF(W53="","N/A",COUNTA(_xlfn._xlws.FILTER(_xlfn.TEXTSPLIT(W53,";"), _xlfn.TEXTSPLIT(W53,";")&lt;&gt;"")))</f>
        <v>1</v>
      </c>
      <c r="Y53" s="17">
        <f t="shared" si="2"/>
        <v>1</v>
      </c>
      <c r="Z53" s="4" t="s">
        <v>815</v>
      </c>
      <c r="AA53" s="4"/>
      <c r="AB53" s="4" t="s">
        <v>839</v>
      </c>
      <c r="AC53" s="4" t="s">
        <v>517</v>
      </c>
    </row>
    <row r="54" spans="1:29" ht="72.5" x14ac:dyDescent="0.35">
      <c r="A54" s="4">
        <f t="shared" si="3"/>
        <v>52</v>
      </c>
      <c r="B54" s="4" t="s">
        <v>225</v>
      </c>
      <c r="C54" s="4" t="s">
        <v>226</v>
      </c>
      <c r="D54" s="4">
        <v>2018</v>
      </c>
      <c r="E54" s="12" t="s">
        <v>897</v>
      </c>
      <c r="F54" s="4" t="s">
        <v>557</v>
      </c>
      <c r="G54" s="4" t="s">
        <v>1069</v>
      </c>
      <c r="H54" s="4" t="s">
        <v>1025</v>
      </c>
      <c r="I54" s="14">
        <v>199</v>
      </c>
      <c r="J54" s="13">
        <v>43977</v>
      </c>
      <c r="K54" s="25">
        <v>0.92</v>
      </c>
      <c r="L54" s="14">
        <v>84</v>
      </c>
      <c r="M54" s="14"/>
      <c r="N54" s="4"/>
      <c r="O54" s="18"/>
      <c r="P54" s="4"/>
      <c r="Q54" s="15">
        <f t="shared" si="0"/>
        <v>0</v>
      </c>
      <c r="R54" s="12" t="s">
        <v>620</v>
      </c>
      <c r="S54" s="16" cm="1">
        <f t="array" ref="S54">IF(R54="",0,COUNTA(_xlfn._xlws.FILTER(_xlfn.TEXTSPLIT(R54,";"), _xlfn.TEXTSPLIT(R54,";")&lt;&gt;"")))</f>
        <v>17</v>
      </c>
      <c r="T54" s="12" t="s">
        <v>593</v>
      </c>
      <c r="U54" s="16" cm="1">
        <f t="array" ref="U54">IF(T54="",0,COUNTA(_xlfn._xlws.FILTER(_xlfn.TEXTSPLIT(T54,";"), _xlfn.TEXTSPLIT(T54,";")&lt;&gt;"")))</f>
        <v>8</v>
      </c>
      <c r="V54" s="17">
        <f t="shared" si="1"/>
        <v>0.47058823529411764</v>
      </c>
      <c r="W54" s="12" t="str" cm="1">
        <f t="array" ref="W54">IF(T54="",R54,_xlfn.LET(_xlpm.inv, TRIM(_xlfn.TEXTSPLIT(R54,";")),_xlpm.fol, TRIM(_xlfn.TEXTSPLIT(T54,";")),_xlfn.TEXTJOIN("; ", TRUE, _xlfn._xlws.FILTER(_xlpm.inv, ISNA(MATCH(_xlpm.inv, _xlpm.fol, 0)), ""))
  )
)</f>
        <v>Artfo Holdings; Beni Venture Capital; Devonshire Investors; Equinor Venturses; Futures Ventures; Hostplus Superannuation Fund; Lowercarbon Capital; Moore Strategic Ventures; Prime Movers Lab; Safar Partners; Temasek Holdings; Yild Capital Partners</v>
      </c>
      <c r="X54" s="16" cm="1">
        <f t="array" ref="X54">IF(W54="","N/A",COUNTA(_xlfn._xlws.FILTER(_xlfn.TEXTSPLIT(W54,";"), _xlfn.TEXTSPLIT(W54,";")&lt;&gt;"")))</f>
        <v>12</v>
      </c>
      <c r="Y54" s="17">
        <f t="shared" si="2"/>
        <v>0.70588235294117652</v>
      </c>
      <c r="Z54" s="4" t="s">
        <v>817</v>
      </c>
      <c r="AA54" s="4" t="s">
        <v>828</v>
      </c>
      <c r="AB54" s="4" t="s">
        <v>840</v>
      </c>
      <c r="AC54" s="4" t="s">
        <v>517</v>
      </c>
    </row>
    <row r="55" spans="1:29" ht="145" x14ac:dyDescent="0.35">
      <c r="A55" s="4">
        <f t="shared" si="3"/>
        <v>53</v>
      </c>
      <c r="B55" s="4" t="s">
        <v>225</v>
      </c>
      <c r="C55" s="4" t="s">
        <v>226</v>
      </c>
      <c r="D55" s="4">
        <v>2018</v>
      </c>
      <c r="E55" s="12" t="s">
        <v>897</v>
      </c>
      <c r="F55" s="4" t="s">
        <v>557</v>
      </c>
      <c r="G55" s="4" t="s">
        <v>1069</v>
      </c>
      <c r="H55" s="4" t="s">
        <v>1025</v>
      </c>
      <c r="I55" s="14">
        <v>2862</v>
      </c>
      <c r="J55" s="13">
        <v>45834</v>
      </c>
      <c r="K55" s="25">
        <v>3.01</v>
      </c>
      <c r="L55" s="14">
        <v>863</v>
      </c>
      <c r="M55" s="14"/>
      <c r="N55" s="4"/>
      <c r="O55" s="18"/>
      <c r="P55" s="4">
        <v>100</v>
      </c>
      <c r="Q55" s="15">
        <f t="shared" si="0"/>
        <v>0.11587485515643106</v>
      </c>
      <c r="R55" s="12" t="s">
        <v>621</v>
      </c>
      <c r="S55" s="16" cm="1">
        <f t="array" ref="S55">IF(R55="",0,COUNTA(_xlfn._xlws.FILTER(_xlfn.TEXTSPLIT(R55,";"), _xlfn.TEXTSPLIT(R55,";")&lt;&gt;"")))</f>
        <v>45</v>
      </c>
      <c r="T55" s="12" t="s">
        <v>594</v>
      </c>
      <c r="U55" s="16" cm="1">
        <f t="array" ref="U55">IF(T55="",0,COUNTA(_xlfn._xlws.FILTER(_xlfn.TEXTSPLIT(T55,";"), _xlfn.TEXTSPLIT(T55,";")&lt;&gt;"")))</f>
        <v>13</v>
      </c>
      <c r="V55" s="17">
        <f t="shared" si="1"/>
        <v>0.28888888888888886</v>
      </c>
      <c r="W55" s="12" t="str" cm="1">
        <f t="array" ref="W55">IF(T55="",R55,_xlfn.LET(_xlpm.inv, TRIM(_xlfn.TEXTSPLIT(R55,";")),_xlpm.fol, TRIM(_xlfn.TEXTSPLIT(T55,";")),_xlfn.TEXTJOIN("; ", TRUE, _xlfn._xlws.FILTER(_xlpm.inv, ISNA(MATCH(_xlpm.inv, _xlpm.fol, 0)), ""))
  )
)</f>
        <v>31Ventures; Brevan Howard Macro Venture Fund; Eni Next, FFA Private Bank Dubai, NTT Docomo Ventures; Mitsui &amp; Company; Mitsubishi Corporation Urban Development; Development Bank of Japan; Fujikura; Jera; NVentures; Mitsui Fudosan; Nvidia; Mitsui O.S.K. Lines; Kansai Electric Power; K4 Ventures; Woori Financial Group; NTT QONOQ; Planet First Partners; HOF Capital; Evolution VC Partners; Standish Spring Investments; Global Brain; Galaxy Interactive; Gates Frontier; Stanley F. Druckenmiller; Eric Schmidt; Sumitomo Mitsui Trust Bank; Sumitomo Mitsui Banking; JGC Holdings; Brightwing Capital; One Madison Group; Ripple Impact Investments; Doorga Capital; Counterpoint Global</v>
      </c>
      <c r="X55" s="16" cm="1">
        <f t="array" ref="X55">IF(W55="","N/A",COUNTA(_xlfn._xlws.FILTER(_xlfn.TEXTSPLIT(W55,";"), _xlfn.TEXTSPLIT(W55,";")&lt;&gt;"")))</f>
        <v>33</v>
      </c>
      <c r="Y55" s="17">
        <f t="shared" si="2"/>
        <v>0.73333333333333328</v>
      </c>
      <c r="Z55" s="4" t="s">
        <v>810</v>
      </c>
      <c r="AA55" s="4" t="s">
        <v>823</v>
      </c>
      <c r="AB55" s="4" t="s">
        <v>816</v>
      </c>
      <c r="AC55" s="4" t="s">
        <v>517</v>
      </c>
    </row>
    <row r="56" spans="1:29" ht="29" x14ac:dyDescent="0.35">
      <c r="A56" s="4">
        <f t="shared" si="3"/>
        <v>54</v>
      </c>
      <c r="B56" s="4" t="s">
        <v>227</v>
      </c>
      <c r="C56" s="4" t="s">
        <v>228</v>
      </c>
      <c r="D56" s="4">
        <v>2014</v>
      </c>
      <c r="E56" s="12" t="s">
        <v>913</v>
      </c>
      <c r="F56" s="4" t="s">
        <v>959</v>
      </c>
      <c r="G56" s="4" t="s">
        <v>1070</v>
      </c>
      <c r="H56" s="4" t="s">
        <v>1026</v>
      </c>
      <c r="I56" s="14">
        <v>10.84</v>
      </c>
      <c r="J56" s="13">
        <v>44524</v>
      </c>
      <c r="K56" s="25">
        <v>0.91</v>
      </c>
      <c r="L56" s="14">
        <v>4</v>
      </c>
      <c r="M56" s="14">
        <v>34</v>
      </c>
      <c r="N56" s="4" t="s">
        <v>471</v>
      </c>
      <c r="O56" s="18">
        <v>1.46</v>
      </c>
      <c r="P56" s="4"/>
      <c r="Q56" s="15">
        <f t="shared" si="0"/>
        <v>0</v>
      </c>
      <c r="R56" s="12" t="s">
        <v>522</v>
      </c>
      <c r="S56" s="16" cm="1">
        <f t="array" ref="S56">IF(R56="",0,COUNTA(_xlfn._xlws.FILTER(_xlfn.TEXTSPLIT(R56,";"), _xlfn.TEXTSPLIT(R56,";")&lt;&gt;"")))</f>
        <v>2</v>
      </c>
      <c r="T56" s="12"/>
      <c r="U56" s="16" cm="1">
        <f t="array" ref="U56">IF(T56="",0,COUNTA(_xlfn._xlws.FILTER(_xlfn.TEXTSPLIT(T56,";"), _xlfn.TEXTSPLIT(T56,";")&lt;&gt;"")))</f>
        <v>0</v>
      </c>
      <c r="V56" s="17">
        <f t="shared" si="1"/>
        <v>0</v>
      </c>
      <c r="W56" s="12" t="str" cm="1">
        <f t="array" ref="W56">IF(T56="",R56,_xlfn.LET(_xlpm.inv, TRIM(_xlfn.TEXTSPLIT(R56,";")),_xlpm.fol, TRIM(_xlfn.TEXTSPLIT(T56,";")),_xlfn.TEXTJOIN("; ", TRUE, _xlfn._xlws.FILTER(_xlpm.inv, ISNA(MATCH(_xlpm.inv, _xlpm.fol, 0)), ""))
  )
)</f>
        <v>Catalus Capital Management (Saif Qazi); Plug and Play Tech Center</v>
      </c>
      <c r="X56" s="16" cm="1">
        <f t="array" ref="X56">IF(W56="","N/A",COUNTA(_xlfn._xlws.FILTER(_xlfn.TEXTSPLIT(W56,";"), _xlfn.TEXTSPLIT(W56,";")&lt;&gt;"")))</f>
        <v>2</v>
      </c>
      <c r="Y56" s="17">
        <f t="shared" si="2"/>
        <v>1</v>
      </c>
      <c r="Z56" s="4" t="s">
        <v>810</v>
      </c>
      <c r="AA56" s="4" t="s">
        <v>830</v>
      </c>
      <c r="AB56" s="4" t="s">
        <v>824</v>
      </c>
      <c r="AC56" s="4" t="s">
        <v>517</v>
      </c>
    </row>
    <row r="57" spans="1:29" x14ac:dyDescent="0.35">
      <c r="A57" s="4">
        <f t="shared" si="3"/>
        <v>55</v>
      </c>
      <c r="B57" s="4" t="s">
        <v>90</v>
      </c>
      <c r="C57" s="4" t="s">
        <v>229</v>
      </c>
      <c r="D57" s="4">
        <v>2006</v>
      </c>
      <c r="E57" s="12" t="s">
        <v>180</v>
      </c>
      <c r="F57" s="4" t="s">
        <v>960</v>
      </c>
      <c r="G57" s="4" t="s">
        <v>1071</v>
      </c>
      <c r="H57" s="4" t="s">
        <v>1027</v>
      </c>
      <c r="I57" s="14">
        <v>2.4700000000000002</v>
      </c>
      <c r="J57" s="13">
        <v>44774</v>
      </c>
      <c r="K57" s="25"/>
      <c r="L57" s="14"/>
      <c r="M57" s="14"/>
      <c r="N57" s="4"/>
      <c r="O57" s="18"/>
      <c r="P57" s="4"/>
      <c r="Q57" s="15" t="str">
        <f t="shared" si="0"/>
        <v>N/A</v>
      </c>
      <c r="R57" s="12" t="s">
        <v>486</v>
      </c>
      <c r="S57" s="16" cm="1">
        <f t="array" ref="S57">IF(R57="",0,COUNTA(_xlfn._xlws.FILTER(_xlfn.TEXTSPLIT(R57,";"), _xlfn.TEXTSPLIT(R57,";")&lt;&gt;"")))</f>
        <v>1</v>
      </c>
      <c r="T57" s="12"/>
      <c r="U57" s="16" cm="1">
        <f t="array" ref="U57">IF(T57="",0,COUNTA(_xlfn._xlws.FILTER(_xlfn.TEXTSPLIT(T57,";"), _xlfn.TEXTSPLIT(T57,";")&lt;&gt;"")))</f>
        <v>0</v>
      </c>
      <c r="V57" s="17">
        <f t="shared" si="1"/>
        <v>0</v>
      </c>
      <c r="W57" s="12" t="str" cm="1">
        <f t="array" ref="W57">IF(T57="",R57,_xlfn.LET(_xlpm.inv, TRIM(_xlfn.TEXTSPLIT(R57,";")),_xlpm.fol, TRIM(_xlfn.TEXTSPLIT(T57,";")),_xlfn.TEXTJOIN("; ", TRUE, _xlfn._xlws.FILTER(_xlpm.inv, ISNA(MATCH(_xlpm.inv, _xlpm.fol, 0)), ""))
  )
)</f>
        <v xml:space="preserve">Highland Ventures Group </v>
      </c>
      <c r="X57" s="16" cm="1">
        <f t="array" ref="X57">IF(W57="","N/A",COUNTA(_xlfn._xlws.FILTER(_xlfn.TEXTSPLIT(W57,";"), _xlfn.TEXTSPLIT(W57,";")&lt;&gt;"")))</f>
        <v>1</v>
      </c>
      <c r="Y57" s="17">
        <f t="shared" si="2"/>
        <v>1</v>
      </c>
      <c r="Z57" s="4" t="s">
        <v>815</v>
      </c>
      <c r="AA57" s="4"/>
      <c r="AB57" s="4" t="s">
        <v>811</v>
      </c>
      <c r="AC57" s="4" t="s">
        <v>517</v>
      </c>
    </row>
    <row r="58" spans="1:29" ht="58" x14ac:dyDescent="0.35">
      <c r="A58" s="4">
        <f t="shared" si="3"/>
        <v>56</v>
      </c>
      <c r="B58" s="4" t="s">
        <v>230</v>
      </c>
      <c r="C58" s="4" t="s">
        <v>231</v>
      </c>
      <c r="D58" s="4">
        <v>2017</v>
      </c>
      <c r="E58" s="12" t="s">
        <v>907</v>
      </c>
      <c r="F58" s="4" t="s">
        <v>962</v>
      </c>
      <c r="G58" s="4" t="s">
        <v>1028</v>
      </c>
      <c r="H58" s="4" t="s">
        <v>1029</v>
      </c>
      <c r="I58" s="14">
        <v>34.96</v>
      </c>
      <c r="J58" s="13">
        <v>43845</v>
      </c>
      <c r="K58" s="25">
        <v>0.92</v>
      </c>
      <c r="L58" s="14">
        <v>12</v>
      </c>
      <c r="M58" s="14">
        <v>109.99</v>
      </c>
      <c r="N58" s="4" t="s">
        <v>471</v>
      </c>
      <c r="O58" s="18">
        <v>1.53</v>
      </c>
      <c r="P58" s="4"/>
      <c r="Q58" s="15">
        <f t="shared" si="0"/>
        <v>0</v>
      </c>
      <c r="R58" s="12" t="s">
        <v>622</v>
      </c>
      <c r="S58" s="16" cm="1">
        <f t="array" ref="S58">IF(R58="",0,COUNTA(_xlfn._xlws.FILTER(_xlfn.TEXTSPLIT(R58,";"), _xlfn.TEXTSPLIT(R58,";")&lt;&gt;"")))</f>
        <v>7</v>
      </c>
      <c r="T58" s="12" t="s">
        <v>574</v>
      </c>
      <c r="U58" s="16" cm="1">
        <f t="array" ref="U58">IF(T58="",0,COUNTA(_xlfn._xlws.FILTER(_xlfn.TEXTSPLIT(T58,";"), _xlfn.TEXTSPLIT(T58,";")&lt;&gt;"")))</f>
        <v>6</v>
      </c>
      <c r="V58" s="17">
        <f t="shared" si="1"/>
        <v>0.8571428571428571</v>
      </c>
      <c r="W58" s="12" t="str" cm="1">
        <f t="array" ref="W58">IF(T58="",R58,_xlfn.LET(_xlpm.inv, TRIM(_xlfn.TEXTSPLIT(R58,";")),_xlpm.fol, TRIM(_xlfn.TEXTSPLIT(T58,";")),_xlfn.TEXTJOIN("; ", TRUE, _xlfn._xlws.FILTER(_xlpm.inv, ISNA(MATCH(_xlpm.inv, _xlpm.fol, 0)), ""))
  )
)</f>
        <v>Catchlight Ventures</v>
      </c>
      <c r="X58" s="16" cm="1">
        <f t="array" ref="X58">IF(W58="","N/A",COUNTA(_xlfn._xlws.FILTER(_xlfn.TEXTSPLIT(W58,";"), _xlfn.TEXTSPLIT(W58,";")&lt;&gt;"")))</f>
        <v>1</v>
      </c>
      <c r="Y58" s="17">
        <f t="shared" si="2"/>
        <v>0.14285714285714285</v>
      </c>
      <c r="Z58" s="4" t="s">
        <v>843</v>
      </c>
      <c r="AA58" s="4" t="s">
        <v>831</v>
      </c>
      <c r="AB58" s="4" t="s">
        <v>811</v>
      </c>
      <c r="AC58" s="4" t="s">
        <v>517</v>
      </c>
    </row>
    <row r="59" spans="1:29" ht="58" x14ac:dyDescent="0.35">
      <c r="A59" s="4">
        <f t="shared" si="3"/>
        <v>57</v>
      </c>
      <c r="B59" s="4" t="s">
        <v>230</v>
      </c>
      <c r="C59" s="4" t="s">
        <v>231</v>
      </c>
      <c r="D59" s="4">
        <v>2017</v>
      </c>
      <c r="E59" s="12" t="s">
        <v>907</v>
      </c>
      <c r="F59" s="4" t="s">
        <v>962</v>
      </c>
      <c r="G59" s="4" t="s">
        <v>1028</v>
      </c>
      <c r="H59" s="4" t="s">
        <v>1029</v>
      </c>
      <c r="I59" s="14">
        <v>135.66</v>
      </c>
      <c r="J59" s="13">
        <v>44880</v>
      </c>
      <c r="K59" s="25">
        <v>1.73</v>
      </c>
      <c r="L59" s="14">
        <v>69.7</v>
      </c>
      <c r="M59" s="14">
        <v>299.7</v>
      </c>
      <c r="N59" s="4" t="s">
        <v>471</v>
      </c>
      <c r="O59" s="18">
        <v>1.2</v>
      </c>
      <c r="P59" s="4"/>
      <c r="Q59" s="15">
        <f t="shared" si="0"/>
        <v>0</v>
      </c>
      <c r="R59" s="12" t="s">
        <v>623</v>
      </c>
      <c r="S59" s="16" cm="1">
        <f t="array" ref="S59">IF(R59="",0,COUNTA(_xlfn._xlws.FILTER(_xlfn.TEXTSPLIT(R59,";"), _xlfn.TEXTSPLIT(R59,";")&lt;&gt;"")))</f>
        <v>15</v>
      </c>
      <c r="T59" s="12" t="s">
        <v>575</v>
      </c>
      <c r="U59" s="16" cm="1">
        <f t="array" ref="U59">IF(T59="",0,COUNTA(_xlfn._xlws.FILTER(_xlfn.TEXTSPLIT(T59,";"), _xlfn.TEXTSPLIT(T59,";")&lt;&gt;"")))</f>
        <v>6</v>
      </c>
      <c r="V59" s="17">
        <f t="shared" si="1"/>
        <v>0.4</v>
      </c>
      <c r="W59" s="12" t="str" cm="1">
        <f t="array" ref="W59">IF(T59="",R59,_xlfn.LET(_xlpm.inv, TRIM(_xlfn.TEXTSPLIT(R59,";")),_xlpm.fol, TRIM(_xlfn.TEXTSPLIT(T59,";")),_xlfn.TEXTJOIN("; ", TRUE, _xlfn._xlws.FILTER(_xlpm.inv, ISNA(MATCH(_xlpm.inv, _xlpm.fol, 0)), ""))
  )
)</f>
        <v>David Stark; HiJoJo Partners; Michael Sachse; NGP Energy Capital Management; NGP Energy Technology Partners; OurCrowd; Sam Landman; Tim Krebs; Travis Connors</v>
      </c>
      <c r="X59" s="16" cm="1">
        <f t="array" ref="X59">IF(W59="","N/A",COUNTA(_xlfn._xlws.FILTER(_xlfn.TEXTSPLIT(W59,";"), _xlfn.TEXTSPLIT(W59,";")&lt;&gt;"")))</f>
        <v>9</v>
      </c>
      <c r="Y59" s="17">
        <f t="shared" si="2"/>
        <v>0.6</v>
      </c>
      <c r="Z59" s="4" t="s">
        <v>810</v>
      </c>
      <c r="AA59" s="4" t="s">
        <v>830</v>
      </c>
      <c r="AB59" s="4" t="s">
        <v>811</v>
      </c>
      <c r="AC59" s="4" t="s">
        <v>517</v>
      </c>
    </row>
    <row r="60" spans="1:29" ht="43.5" x14ac:dyDescent="0.35">
      <c r="A60" s="4">
        <f t="shared" si="3"/>
        <v>58</v>
      </c>
      <c r="B60" s="4" t="s">
        <v>232</v>
      </c>
      <c r="C60" s="4" t="s">
        <v>167</v>
      </c>
      <c r="D60" s="4">
        <v>2020</v>
      </c>
      <c r="E60" s="12" t="s">
        <v>914</v>
      </c>
      <c r="F60" s="4" t="s">
        <v>557</v>
      </c>
      <c r="G60" s="4" t="s">
        <v>1072</v>
      </c>
      <c r="H60" s="4" t="s">
        <v>1030</v>
      </c>
      <c r="I60" s="14">
        <v>0.54</v>
      </c>
      <c r="J60" s="13">
        <v>44223</v>
      </c>
      <c r="K60" s="25"/>
      <c r="L60" s="14">
        <v>0.44</v>
      </c>
      <c r="M60" s="14">
        <v>4</v>
      </c>
      <c r="N60" s="4" t="s">
        <v>471</v>
      </c>
      <c r="O60" s="18">
        <v>7.12</v>
      </c>
      <c r="P60" s="4"/>
      <c r="Q60" s="15">
        <f t="shared" si="0"/>
        <v>0</v>
      </c>
      <c r="R60" s="12" t="s">
        <v>482</v>
      </c>
      <c r="S60" s="16" cm="1">
        <f t="array" ref="S60">IF(R60="",0,COUNTA(_xlfn._xlws.FILTER(_xlfn.TEXTSPLIT(R60,";"), _xlfn.TEXTSPLIT(R60,";")&lt;&gt;"")))</f>
        <v>1</v>
      </c>
      <c r="T60" s="12"/>
      <c r="U60" s="16" cm="1">
        <f t="array" ref="U60">IF(T60="",0,COUNTA(_xlfn._xlws.FILTER(_xlfn.TEXTSPLIT(T60,";"), _xlfn.TEXTSPLIT(T60,";")&lt;&gt;"")))</f>
        <v>0</v>
      </c>
      <c r="V60" s="17">
        <f t="shared" si="1"/>
        <v>0</v>
      </c>
      <c r="W60" s="12" t="str" cm="1">
        <f t="array" ref="W60">IF(T60="",R60,_xlfn.LET(_xlpm.inv, TRIM(_xlfn.TEXTSPLIT(R60,";")),_xlpm.fol, TRIM(_xlfn.TEXTSPLIT(T60,";")),_xlfn.TEXTJOIN("; ", TRUE, _xlfn._xlws.FILTER(_xlpm.inv, ISNA(MATCH(_xlpm.inv, _xlpm.fol, 0)), ""))
  )
)</f>
        <v>Salutem Capital</v>
      </c>
      <c r="X60" s="16" cm="1">
        <f t="array" ref="X60">IF(W60="","N/A",COUNTA(_xlfn._xlws.FILTER(_xlfn.TEXTSPLIT(W60,";"), _xlfn.TEXTSPLIT(W60,";")&lt;&gt;"")))</f>
        <v>1</v>
      </c>
      <c r="Y60" s="17">
        <f t="shared" si="2"/>
        <v>1</v>
      </c>
      <c r="Z60" s="4" t="s">
        <v>812</v>
      </c>
      <c r="AA60" s="4" t="s">
        <v>813</v>
      </c>
      <c r="AB60" s="4" t="s">
        <v>822</v>
      </c>
      <c r="AC60" s="4" t="s">
        <v>517</v>
      </c>
    </row>
    <row r="61" spans="1:29" ht="29" x14ac:dyDescent="0.35">
      <c r="A61" s="4">
        <f t="shared" si="3"/>
        <v>59</v>
      </c>
      <c r="B61" s="4" t="s">
        <v>91</v>
      </c>
      <c r="C61" s="4" t="s">
        <v>228</v>
      </c>
      <c r="D61" s="4">
        <v>2014</v>
      </c>
      <c r="E61" s="12" t="s">
        <v>897</v>
      </c>
      <c r="F61" s="4" t="s">
        <v>961</v>
      </c>
      <c r="G61" s="4" t="s">
        <v>1087</v>
      </c>
      <c r="H61" s="4" t="s">
        <v>1031</v>
      </c>
      <c r="I61" s="14">
        <v>6.3</v>
      </c>
      <c r="J61" s="13">
        <v>44561</v>
      </c>
      <c r="K61" s="25">
        <v>0.27</v>
      </c>
      <c r="L61" s="14"/>
      <c r="M61" s="14"/>
      <c r="N61" s="4"/>
      <c r="O61" s="18"/>
      <c r="P61" s="4"/>
      <c r="Q61" s="15" t="str">
        <f t="shared" si="0"/>
        <v>N/A</v>
      </c>
      <c r="R61" s="12" t="s">
        <v>624</v>
      </c>
      <c r="S61" s="16" cm="1">
        <f t="array" ref="S61">IF(R61="",0,COUNTA(_xlfn._xlws.FILTER(_xlfn.TEXTSPLIT(R61,";"), _xlfn.TEXTSPLIT(R61,";")&lt;&gt;"")))</f>
        <v>6</v>
      </c>
      <c r="T61" s="12" t="s">
        <v>576</v>
      </c>
      <c r="U61" s="16" cm="1">
        <f t="array" ref="U61">IF(T61="",0,COUNTA(_xlfn._xlws.FILTER(_xlfn.TEXTSPLIT(T61,";"), _xlfn.TEXTSPLIT(T61,";")&lt;&gt;"")))</f>
        <v>1</v>
      </c>
      <c r="V61" s="17">
        <f t="shared" si="1"/>
        <v>0.16666666666666666</v>
      </c>
      <c r="W61" s="12" t="str" cm="1">
        <f t="array" ref="W61">IF(T61="",R61,_xlfn.LET(_xlpm.inv, TRIM(_xlfn.TEXTSPLIT(R61,";")),_xlpm.fol, TRIM(_xlfn.TEXTSPLIT(T61,";")),_xlfn.TEXTJOIN("; ", TRUE, _xlfn._xlws.FILTER(_xlpm.inv, ISNA(MATCH(_xlpm.inv, _xlpm.fol, 0)), ""))
  )
)</f>
        <v>Beni Venture Capital; Demos Capital; Ithaca Area Economic Development; New Climate Ventures; United Airlines Ventures</v>
      </c>
      <c r="X61" s="16" cm="1">
        <f t="array" ref="X61">IF(W61="","N/A",COUNTA(_xlfn._xlws.FILTER(_xlfn.TEXTSPLIT(W61,";"), _xlfn.TEXTSPLIT(W61,";")&lt;&gt;"")))</f>
        <v>5</v>
      </c>
      <c r="Y61" s="17">
        <f t="shared" si="2"/>
        <v>0.83333333333333337</v>
      </c>
      <c r="Z61" s="4" t="s">
        <v>810</v>
      </c>
      <c r="AA61" s="4" t="s">
        <v>79</v>
      </c>
      <c r="AB61" s="4" t="s">
        <v>816</v>
      </c>
      <c r="AC61" s="4" t="s">
        <v>517</v>
      </c>
    </row>
    <row r="62" spans="1:29" ht="29" x14ac:dyDescent="0.35">
      <c r="A62" s="4">
        <f t="shared" si="3"/>
        <v>60</v>
      </c>
      <c r="B62" s="4" t="s">
        <v>233</v>
      </c>
      <c r="C62" s="4" t="s">
        <v>234</v>
      </c>
      <c r="D62" s="4"/>
      <c r="E62" s="12" t="s">
        <v>915</v>
      </c>
      <c r="F62" s="4" t="s">
        <v>960</v>
      </c>
      <c r="G62" s="4" t="s">
        <v>1073</v>
      </c>
      <c r="H62" s="4" t="s">
        <v>1032</v>
      </c>
      <c r="I62" s="14">
        <v>49.53</v>
      </c>
      <c r="J62" s="13">
        <v>45845</v>
      </c>
      <c r="K62" s="25">
        <v>1.53</v>
      </c>
      <c r="L62" s="14">
        <v>30</v>
      </c>
      <c r="M62" s="14">
        <v>149</v>
      </c>
      <c r="N62" s="4" t="s">
        <v>471</v>
      </c>
      <c r="O62" s="18">
        <v>1.75</v>
      </c>
      <c r="P62" s="4"/>
      <c r="Q62" s="15">
        <f t="shared" si="0"/>
        <v>0</v>
      </c>
      <c r="R62" s="12" t="s">
        <v>625</v>
      </c>
      <c r="S62" s="16" cm="1">
        <f t="array" ref="S62">IF(R62="",0,COUNTA(_xlfn._xlws.FILTER(_xlfn.TEXTSPLIT(R62,";"), _xlfn.TEXTSPLIT(R62,";")&lt;&gt;"")))</f>
        <v>7</v>
      </c>
      <c r="T62" s="12" t="s">
        <v>577</v>
      </c>
      <c r="U62" s="16" cm="1">
        <f t="array" ref="U62">IF(T62="",0,COUNTA(_xlfn._xlws.FILTER(_xlfn.TEXTSPLIT(T62,";"), _xlfn.TEXTSPLIT(T62,";")&lt;&gt;"")))</f>
        <v>2</v>
      </c>
      <c r="V62" s="17">
        <f t="shared" si="1"/>
        <v>0.2857142857142857</v>
      </c>
      <c r="W62" s="12" t="str" cm="1">
        <f t="array" ref="W62">IF(T62="",R62,_xlfn.LET(_xlpm.inv, TRIM(_xlfn.TEXTSPLIT(R62,";")),_xlpm.fol, TRIM(_xlfn.TEXTSPLIT(T62,";")),_xlfn.TEXTJOIN("; ", TRUE, _xlfn._xlws.FILTER(_xlpm.inv, ISNA(MATCH(_xlpm.inv, _xlpm.fol, 0)), ""))
  )
)</f>
        <v>Bacchus Venture Capital; Constellation Technology Ventures; Halliburton Labs; The Think &amp; Act Differently; Valor Equity Partners; Veriten</v>
      </c>
      <c r="X62" s="16" cm="1">
        <f t="array" ref="X62">IF(W62="","N/A",COUNTA(_xlfn._xlws.FILTER(_xlfn.TEXTSPLIT(W62,";"), _xlfn.TEXTSPLIT(W62,";")&lt;&gt;"")))</f>
        <v>6</v>
      </c>
      <c r="Y62" s="17">
        <f t="shared" si="2"/>
        <v>0.8571428571428571</v>
      </c>
      <c r="Z62" s="4" t="s">
        <v>854</v>
      </c>
      <c r="AA62" s="4" t="s">
        <v>828</v>
      </c>
      <c r="AB62" s="4" t="s">
        <v>853</v>
      </c>
      <c r="AC62" s="4" t="s">
        <v>517</v>
      </c>
    </row>
    <row r="63" spans="1:29" x14ac:dyDescent="0.35">
      <c r="A63" s="4">
        <f t="shared" si="3"/>
        <v>61</v>
      </c>
      <c r="B63" s="4" t="s">
        <v>92</v>
      </c>
      <c r="C63" s="4" t="s">
        <v>235</v>
      </c>
      <c r="D63" s="4">
        <v>1999</v>
      </c>
      <c r="E63" s="12" t="s">
        <v>916</v>
      </c>
      <c r="F63" s="4" t="s">
        <v>960</v>
      </c>
      <c r="G63" s="4" t="s">
        <v>1033</v>
      </c>
      <c r="H63" s="4" t="s">
        <v>1034</v>
      </c>
      <c r="I63" s="14">
        <v>32</v>
      </c>
      <c r="J63" s="13">
        <v>43850</v>
      </c>
      <c r="K63" s="25"/>
      <c r="L63" s="14">
        <v>32</v>
      </c>
      <c r="M63" s="14"/>
      <c r="N63" s="4"/>
      <c r="O63" s="18"/>
      <c r="P63" s="4"/>
      <c r="Q63" s="15">
        <f t="shared" si="0"/>
        <v>0</v>
      </c>
      <c r="R63" s="12" t="s">
        <v>626</v>
      </c>
      <c r="S63" s="16" cm="1">
        <f t="array" ref="S63">IF(R63="",0,COUNTA(_xlfn._xlws.FILTER(_xlfn.TEXTSPLIT(R63,";"), _xlfn.TEXTSPLIT(R63,";")&lt;&gt;"")))</f>
        <v>1</v>
      </c>
      <c r="T63" s="12"/>
      <c r="U63" s="16" cm="1">
        <f t="array" ref="U63">IF(T63="",0,COUNTA(_xlfn._xlws.FILTER(_xlfn.TEXTSPLIT(T63,";"), _xlfn.TEXTSPLIT(T63,";")&lt;&gt;"")))</f>
        <v>0</v>
      </c>
      <c r="V63" s="17">
        <f t="shared" si="1"/>
        <v>0</v>
      </c>
      <c r="W63" s="12" t="str" cm="1">
        <f t="array" ref="W63">IF(T63="",R63,_xlfn.LET(_xlpm.inv, TRIM(_xlfn.TEXTSPLIT(R63,";")),_xlpm.fol, TRIM(_xlfn.TEXTSPLIT(T63,";")),_xlfn.TEXTJOIN("; ", TRUE, _xlfn._xlws.FILTER(_xlpm.inv, ISNA(MATCH(_xlpm.inv, _xlpm.fol, 0)), ""))
  )
)</f>
        <v xml:space="preserve">Clair-vest Group </v>
      </c>
      <c r="X63" s="16" cm="1">
        <f t="array" ref="X63">IF(W63="","N/A",COUNTA(_xlfn._xlws.FILTER(_xlfn.TEXTSPLIT(W63,";"), _xlfn.TEXTSPLIT(W63,";")&lt;&gt;"")))</f>
        <v>1</v>
      </c>
      <c r="Y63" s="17">
        <f t="shared" si="2"/>
        <v>1</v>
      </c>
      <c r="Z63" s="4" t="s">
        <v>815</v>
      </c>
      <c r="AA63" s="4"/>
      <c r="AB63" s="4" t="s">
        <v>825</v>
      </c>
      <c r="AC63" s="4" t="s">
        <v>517</v>
      </c>
    </row>
    <row r="64" spans="1:29" ht="43.5" x14ac:dyDescent="0.35">
      <c r="A64" s="4">
        <f t="shared" si="3"/>
        <v>62</v>
      </c>
      <c r="B64" s="4" t="s">
        <v>93</v>
      </c>
      <c r="C64" s="4" t="s">
        <v>236</v>
      </c>
      <c r="D64" s="4">
        <v>2019</v>
      </c>
      <c r="E64" s="12" t="s">
        <v>913</v>
      </c>
      <c r="F64" s="4" t="s">
        <v>959</v>
      </c>
      <c r="G64" s="4" t="s">
        <v>1074</v>
      </c>
      <c r="H64" s="4" t="s">
        <v>1035</v>
      </c>
      <c r="I64" s="14">
        <v>1.1599999999999999</v>
      </c>
      <c r="J64" s="13">
        <v>44769</v>
      </c>
      <c r="K64" s="25"/>
      <c r="L64" s="14">
        <v>1</v>
      </c>
      <c r="M64" s="14">
        <v>5.5</v>
      </c>
      <c r="N64" s="4" t="s">
        <v>471</v>
      </c>
      <c r="O64" s="18"/>
      <c r="P64" s="4"/>
      <c r="Q64" s="15">
        <f t="shared" si="0"/>
        <v>0</v>
      </c>
      <c r="R64" s="12" t="s">
        <v>627</v>
      </c>
      <c r="S64" s="16" cm="1">
        <f t="array" ref="S64">IF(R64="",0,COUNTA(_xlfn._xlws.FILTER(_xlfn.TEXTSPLIT(R64,";"), _xlfn.TEXTSPLIT(R64,";")&lt;&gt;"")))</f>
        <v>8</v>
      </c>
      <c r="T64" s="12" t="s">
        <v>578</v>
      </c>
      <c r="U64" s="16" cm="1">
        <f t="array" ref="U64">IF(T64="",0,COUNTA(_xlfn._xlws.FILTER(_xlfn.TEXTSPLIT(T64,";"), _xlfn.TEXTSPLIT(T64,";")&lt;&gt;"")))</f>
        <v>1</v>
      </c>
      <c r="V64" s="17">
        <f t="shared" si="1"/>
        <v>0.125</v>
      </c>
      <c r="W64" s="12" t="str" cm="1">
        <f t="array" ref="W64">IF(T64="",R64,_xlfn.LET(_xlpm.inv, TRIM(_xlfn.TEXTSPLIT(R64,";")),_xlpm.fol, TRIM(_xlfn.TEXTSPLIT(T64,";")),_xlfn.TEXTJOIN("; ", TRUE, _xlfn._xlws.FILTER(_xlpm.inv, ISNA(MATCH(_xlpm.inv, _xlpm.fol, 0)), ""))
  )
)</f>
        <v>Beresford Ventures; Ecosphere Ventures; Globalive Capital; Murchison Capital Partners; Murchison Ventures; Threshold Impact; William Tunstall-Pedoe</v>
      </c>
      <c r="X64" s="16" cm="1">
        <f t="array" ref="X64">IF(W64="","N/A",COUNTA(_xlfn._xlws.FILTER(_xlfn.TEXTSPLIT(W64,";"), _xlfn.TEXTSPLIT(W64,";")&lt;&gt;"")))</f>
        <v>7</v>
      </c>
      <c r="Y64" s="17">
        <f t="shared" si="2"/>
        <v>0.875</v>
      </c>
      <c r="Z64" s="4" t="s">
        <v>812</v>
      </c>
      <c r="AA64" s="4" t="s">
        <v>79</v>
      </c>
      <c r="AB64" s="4" t="s">
        <v>824</v>
      </c>
      <c r="AC64" s="4" t="s">
        <v>517</v>
      </c>
    </row>
    <row r="65" spans="1:29" ht="29" x14ac:dyDescent="0.35">
      <c r="A65" s="4">
        <f t="shared" si="3"/>
        <v>63</v>
      </c>
      <c r="B65" s="4" t="s">
        <v>237</v>
      </c>
      <c r="C65" s="4" t="s">
        <v>238</v>
      </c>
      <c r="D65" s="4">
        <v>2012</v>
      </c>
      <c r="E65" s="12" t="s">
        <v>211</v>
      </c>
      <c r="F65" s="4" t="s">
        <v>959</v>
      </c>
      <c r="G65" s="4" t="s">
        <v>1075</v>
      </c>
      <c r="H65" s="4" t="s">
        <v>1036</v>
      </c>
      <c r="I65" s="14">
        <v>27.73</v>
      </c>
      <c r="J65" s="13">
        <v>44974</v>
      </c>
      <c r="K65" s="25">
        <v>2.08</v>
      </c>
      <c r="L65" s="14">
        <v>10</v>
      </c>
      <c r="M65" s="14"/>
      <c r="N65" s="4"/>
      <c r="O65" s="18"/>
      <c r="P65" s="4"/>
      <c r="Q65" s="15">
        <f t="shared" si="0"/>
        <v>0</v>
      </c>
      <c r="R65" s="12" t="s">
        <v>628</v>
      </c>
      <c r="S65" s="16" cm="1">
        <f t="array" ref="S65">IF(R65="",0,COUNTA(_xlfn._xlws.FILTER(_xlfn.TEXTSPLIT(R65,";"), _xlfn.TEXTSPLIT(R65,";")&lt;&gt;"")))</f>
        <v>5</v>
      </c>
      <c r="T65" s="12"/>
      <c r="U65" s="16" cm="1">
        <f t="array" ref="U65">IF(T65="",0,COUNTA(_xlfn._xlws.FILTER(_xlfn.TEXTSPLIT(T65,";"), _xlfn.TEXTSPLIT(T65,";")&lt;&gt;"")))</f>
        <v>0</v>
      </c>
      <c r="V65" s="17">
        <f t="shared" si="1"/>
        <v>0</v>
      </c>
      <c r="W65" s="12" t="str" cm="1">
        <f t="array" ref="W65">IF(T65="",R65,_xlfn.LET(_xlpm.inv, TRIM(_xlfn.TEXTSPLIT(R65,";")),_xlpm.fol, TRIM(_xlfn.TEXTSPLIT(T65,";")),_xlfn.TEXTJOIN("; ", TRUE, _xlfn._xlws.FILTER(_xlpm.inv, ISNA(MATCH(_xlpm.inv, _xlpm.fol, 0)), ""))
  )
)</f>
        <v>EDC Investments; Evok Innovations; Graphite Ventures; Mitsubishi Heavy Industries; Ultratech Capital Partners</v>
      </c>
      <c r="X65" s="16" cm="1">
        <f t="array" ref="X65">IF(W65="","N/A",COUNTA(_xlfn._xlws.FILTER(_xlfn.TEXTSPLIT(W65,";"), _xlfn.TEXTSPLIT(W65,";")&lt;&gt;"")))</f>
        <v>5</v>
      </c>
      <c r="Y65" s="17">
        <f t="shared" si="2"/>
        <v>1</v>
      </c>
      <c r="Z65" s="4" t="s">
        <v>810</v>
      </c>
      <c r="AA65" s="4" t="s">
        <v>828</v>
      </c>
      <c r="AB65" s="4" t="s">
        <v>844</v>
      </c>
      <c r="AC65" s="4" t="s">
        <v>517</v>
      </c>
    </row>
    <row r="66" spans="1:29" ht="29" x14ac:dyDescent="0.35">
      <c r="A66" s="4">
        <f t="shared" si="3"/>
        <v>64</v>
      </c>
      <c r="B66" s="4" t="s">
        <v>239</v>
      </c>
      <c r="C66" s="4" t="s">
        <v>240</v>
      </c>
      <c r="D66" s="4">
        <v>2016</v>
      </c>
      <c r="E66" s="12" t="s">
        <v>917</v>
      </c>
      <c r="F66" s="4" t="s">
        <v>557</v>
      </c>
      <c r="G66" s="4" t="s">
        <v>1076</v>
      </c>
      <c r="H66" s="4" t="s">
        <v>1037</v>
      </c>
      <c r="I66" s="14">
        <v>63</v>
      </c>
      <c r="J66" s="13">
        <v>44196</v>
      </c>
      <c r="K66" s="25"/>
      <c r="L66" s="14">
        <v>63</v>
      </c>
      <c r="M66" s="14">
        <v>90</v>
      </c>
      <c r="N66" s="4"/>
      <c r="O66" s="18"/>
      <c r="P66" s="4"/>
      <c r="Q66" s="15">
        <f t="shared" si="0"/>
        <v>0</v>
      </c>
      <c r="R66" s="12" t="s">
        <v>483</v>
      </c>
      <c r="S66" s="16" cm="1">
        <f t="array" ref="S66">IF(R66="",0,COUNTA(_xlfn._xlws.FILTER(_xlfn.TEXTSPLIT(R66,";"), _xlfn.TEXTSPLIT(R66,";")&lt;&gt;"")))</f>
        <v>1</v>
      </c>
      <c r="T66" s="12"/>
      <c r="U66" s="16" cm="1">
        <f t="array" ref="U66">IF(T66="",0,COUNTA(_xlfn._xlws.FILTER(_xlfn.TEXTSPLIT(T66,";"), _xlfn.TEXTSPLIT(T66,";")&lt;&gt;"")))</f>
        <v>0</v>
      </c>
      <c r="V66" s="17">
        <f t="shared" si="1"/>
        <v>0</v>
      </c>
      <c r="W66" s="12" t="str" cm="1">
        <f t="array" ref="W66">IF(T66="",R66,_xlfn.LET(_xlpm.inv, TRIM(_xlfn.TEXTSPLIT(R66,";")),_xlpm.fol, TRIM(_xlfn.TEXTSPLIT(T66,";")),_xlfn.TEXTJOIN("; ", TRUE, _xlfn._xlws.FILTER(_xlpm.inv, ISNA(MATCH(_xlpm.inv, _xlpm.fol, 0)), ""))
  )
)</f>
        <v>Green Reach</v>
      </c>
      <c r="X66" s="16" cm="1">
        <f t="array" ref="X66">IF(W66="","N/A",COUNTA(_xlfn._xlws.FILTER(_xlfn.TEXTSPLIT(W66,";"), _xlfn.TEXTSPLIT(W66,";")&lt;&gt;"")))</f>
        <v>1</v>
      </c>
      <c r="Y66" s="17">
        <f t="shared" si="2"/>
        <v>1</v>
      </c>
      <c r="Z66" s="4" t="s">
        <v>843</v>
      </c>
      <c r="AA66" s="4" t="s">
        <v>79</v>
      </c>
      <c r="AB66" s="4" t="s">
        <v>845</v>
      </c>
      <c r="AC66" s="4" t="s">
        <v>517</v>
      </c>
    </row>
    <row r="67" spans="1:29" ht="58" x14ac:dyDescent="0.35">
      <c r="A67" s="4">
        <f t="shared" si="3"/>
        <v>65</v>
      </c>
      <c r="B67" s="4" t="s">
        <v>241</v>
      </c>
      <c r="C67" s="4" t="s">
        <v>242</v>
      </c>
      <c r="D67" s="4">
        <v>2021</v>
      </c>
      <c r="E67" s="12" t="s">
        <v>897</v>
      </c>
      <c r="F67" s="4" t="s">
        <v>963</v>
      </c>
      <c r="G67" s="4" t="s">
        <v>1077</v>
      </c>
      <c r="H67" s="4" t="s">
        <v>1038</v>
      </c>
      <c r="I67" s="14">
        <v>24.75</v>
      </c>
      <c r="J67" s="13">
        <v>45595</v>
      </c>
      <c r="K67" s="25">
        <v>2.02</v>
      </c>
      <c r="L67" s="14">
        <v>11</v>
      </c>
      <c r="M67" s="14">
        <v>85</v>
      </c>
      <c r="N67" s="4" t="s">
        <v>471</v>
      </c>
      <c r="O67" s="18"/>
      <c r="P67" s="4"/>
      <c r="Q67" s="15">
        <f t="shared" si="0"/>
        <v>0</v>
      </c>
      <c r="R67" s="12" t="s">
        <v>629</v>
      </c>
      <c r="S67" s="16" cm="1">
        <f t="array" ref="S67">IF(R67="",0,COUNTA(_xlfn._xlws.FILTER(_xlfn.TEXTSPLIT(R67,";"), _xlfn.TEXTSPLIT(R67,";")&lt;&gt;"")))</f>
        <v>11</v>
      </c>
      <c r="T67" s="12" t="s">
        <v>595</v>
      </c>
      <c r="U67" s="16" cm="1">
        <f t="array" ref="U67">IF(T67="",0,COUNTA(_xlfn._xlws.FILTER(_xlfn.TEXTSPLIT(T67,";"), _xlfn.TEXTSPLIT(T67,";")&lt;&gt;"")))</f>
        <v>5</v>
      </c>
      <c r="V67" s="17">
        <f>IF(S67=0,"N/A",U67/$S67)</f>
        <v>0.45454545454545453</v>
      </c>
      <c r="W67" s="12" t="str" cm="1">
        <f t="array" ref="W67">IF(T67="",R67,_xlfn.LET(_xlpm.inv, TRIM(_xlfn.TEXTSPLIT(R67,";")),_xlpm.fol, TRIM(_xlfn.TEXTSPLIT(T67,";")),_xlfn.TEXTJOIN("; ", TRUE, _xlfn._xlws.FILTER(_xlpm.inv, ISNA(MATCH(_xlpm.inv, _xlpm.fol, 0)), ""))
  )
)</f>
        <v>Chan Zuckerberg Initiative; Cisco Foundation; Course Correction Capital; Elemental Impact; PRIME Coalition; Propeller; The Grantham Foundation</v>
      </c>
      <c r="X67" s="16" cm="1">
        <f t="array" ref="X67">IF(W67="","N/A",COUNTA(_xlfn._xlws.FILTER(_xlfn.TEXTSPLIT(W67,";"), _xlfn.TEXTSPLIT(W67,";")&lt;&gt;"")))</f>
        <v>7</v>
      </c>
      <c r="Y67" s="17">
        <f t="shared" si="2"/>
        <v>0.63636363636363635</v>
      </c>
      <c r="Z67" s="4" t="s">
        <v>817</v>
      </c>
      <c r="AA67" s="4" t="s">
        <v>831</v>
      </c>
      <c r="AB67" s="4" t="s">
        <v>825</v>
      </c>
      <c r="AC67" s="4" t="s">
        <v>517</v>
      </c>
    </row>
    <row r="68" spans="1:29" x14ac:dyDescent="0.35">
      <c r="A68" s="4">
        <f t="shared" si="3"/>
        <v>66</v>
      </c>
      <c r="B68" s="4" t="s">
        <v>243</v>
      </c>
      <c r="C68" s="4" t="s">
        <v>244</v>
      </c>
      <c r="D68" s="4">
        <v>2022</v>
      </c>
      <c r="E68" s="12" t="s">
        <v>553</v>
      </c>
      <c r="F68" s="4" t="s">
        <v>960</v>
      </c>
      <c r="G68" s="4" t="s">
        <v>1078</v>
      </c>
      <c r="H68" s="4" t="s">
        <v>1039</v>
      </c>
      <c r="I68" s="14">
        <v>1.32</v>
      </c>
      <c r="J68" s="13">
        <v>45292</v>
      </c>
      <c r="K68" s="25"/>
      <c r="L68" s="14">
        <v>1.32</v>
      </c>
      <c r="M68" s="14">
        <v>10</v>
      </c>
      <c r="N68" s="4"/>
      <c r="O68" s="18"/>
      <c r="P68" s="4"/>
      <c r="Q68" s="15">
        <f t="shared" ref="Q68:Q130" si="4">IF(L68&gt;0,P68/L68,"N/A")</f>
        <v>0</v>
      </c>
      <c r="R68" s="12"/>
      <c r="S68" s="16" cm="1">
        <f t="array" ref="S68">IF(R68="",0,COUNTA(_xlfn._xlws.FILTER(_xlfn.TEXTSPLIT(R68,";"), _xlfn.TEXTSPLIT(R68,";")&lt;&gt;"")))</f>
        <v>0</v>
      </c>
      <c r="T68" s="12"/>
      <c r="U68" s="16" cm="1">
        <f t="array" ref="U68">IF(T68="",0,COUNTA(_xlfn._xlws.FILTER(_xlfn.TEXTSPLIT(T68,";"), _xlfn.TEXTSPLIT(T68,";")&lt;&gt;"")))</f>
        <v>0</v>
      </c>
      <c r="V68" s="17" t="str">
        <f t="shared" ref="V68:V131" si="5">IF(S68=0,"N/A",U68/$S68)</f>
        <v>N/A</v>
      </c>
      <c r="W68" s="12" cm="1">
        <f t="array" ref="W68">IF(T68="",R68,_xlfn.LET(_xlpm.inv, TRIM(_xlfn.TEXTSPLIT(R68,";")),_xlpm.fol, TRIM(_xlfn.TEXTSPLIT(T68,";")),_xlfn.TEXTJOIN("; ", TRUE, _xlfn._xlws.FILTER(_xlpm.inv, ISNA(MATCH(_xlpm.inv, _xlpm.fol, 0)), ""))
  )
)</f>
        <v>0</v>
      </c>
      <c r="X68" s="16" cm="1">
        <f t="array" ref="X68">IF(W68="","N/A",COUNTA(_xlfn._xlws.FILTER(_xlfn.TEXTSPLIT(W68,";"), _xlfn.TEXTSPLIT(W68,";")&lt;&gt;"")))</f>
        <v>1</v>
      </c>
      <c r="Y68" s="17" t="str">
        <f t="shared" ref="Y68:Y131" si="6">IF(S68&gt;0,IF(X68="N/A","N/A",X68/$S68),"N/A")</f>
        <v>N/A</v>
      </c>
      <c r="Z68" s="4" t="s">
        <v>846</v>
      </c>
      <c r="AA68" s="4" t="s">
        <v>79</v>
      </c>
      <c r="AB68" s="4" t="s">
        <v>826</v>
      </c>
      <c r="AC68" s="4" t="s">
        <v>517</v>
      </c>
    </row>
    <row r="69" spans="1:29" ht="29" x14ac:dyDescent="0.35">
      <c r="A69" s="4">
        <f t="shared" ref="A69:A132" si="7">A68+1</f>
        <v>67</v>
      </c>
      <c r="B69" s="4" t="s">
        <v>245</v>
      </c>
      <c r="C69" s="4" t="s">
        <v>246</v>
      </c>
      <c r="D69" s="4">
        <v>2012</v>
      </c>
      <c r="E69" s="12" t="s">
        <v>897</v>
      </c>
      <c r="F69" s="4" t="s">
        <v>959</v>
      </c>
      <c r="G69" s="4" t="s">
        <v>1079</v>
      </c>
      <c r="H69" s="4" t="s">
        <v>1040</v>
      </c>
      <c r="I69" s="14">
        <v>50.72</v>
      </c>
      <c r="J69" s="13">
        <v>44749</v>
      </c>
      <c r="K69" s="25">
        <v>0.41</v>
      </c>
      <c r="L69" s="14">
        <v>35</v>
      </c>
      <c r="M69" s="14"/>
      <c r="N69" s="4"/>
      <c r="O69" s="18"/>
      <c r="P69" s="4"/>
      <c r="Q69" s="15">
        <f t="shared" si="4"/>
        <v>0</v>
      </c>
      <c r="R69" s="12" t="s">
        <v>630</v>
      </c>
      <c r="S69" s="16" cm="1">
        <f t="array" ref="S69">IF(R69="",0,COUNTA(_xlfn._xlws.FILTER(_xlfn.TEXTSPLIT(R69,";"), _xlfn.TEXTSPLIT(R69,";")&lt;&gt;"")))</f>
        <v>8</v>
      </c>
      <c r="T69" s="12" t="s">
        <v>596</v>
      </c>
      <c r="U69" s="16" cm="1">
        <f t="array" ref="U69">IF(T69="",0,COUNTA(_xlfn._xlws.FILTER(_xlfn.TEXTSPLIT(T69,";"), _xlfn.TEXTSPLIT(T69,";")&lt;&gt;"")))</f>
        <v>1</v>
      </c>
      <c r="V69" s="17">
        <f t="shared" si="5"/>
        <v>0.125</v>
      </c>
      <c r="W69" s="12" t="str" cm="1">
        <f t="array" ref="W69">IF(T69="",R69,_xlfn.LET(_xlpm.inv, TRIM(_xlfn.TEXTSPLIT(R69,";")),_xlpm.fol, TRIM(_xlfn.TEXTSPLIT(T69,";")),_xlfn.TEXTJOIN("; ", TRUE, _xlfn._xlws.FILTER(_xlpm.inv, ISNA(MATCH(_xlpm.inv, _xlpm.fol, 0)), ""))
  )
)</f>
        <v>Borun Capital (Xiamen); BR Capital; Dayone Capital; GAC Capital; Hongshan Capital Group; Niuli Venture; Tianqi Capital; Unreasonable Impact</v>
      </c>
      <c r="X69" s="16" cm="1">
        <f t="array" ref="X69">IF(W69="","N/A",COUNTA(_xlfn._xlws.FILTER(_xlfn.TEXTSPLIT(W69,";"), _xlfn.TEXTSPLIT(W69,";")&lt;&gt;"")))</f>
        <v>8</v>
      </c>
      <c r="Y69" s="17">
        <f t="shared" si="6"/>
        <v>1</v>
      </c>
      <c r="Z69" s="4" t="s">
        <v>810</v>
      </c>
      <c r="AA69" s="4" t="s">
        <v>831</v>
      </c>
      <c r="AB69" s="4" t="s">
        <v>824</v>
      </c>
      <c r="AC69" s="4" t="s">
        <v>517</v>
      </c>
    </row>
    <row r="70" spans="1:29" ht="29" x14ac:dyDescent="0.35">
      <c r="A70" s="4">
        <f t="shared" si="7"/>
        <v>68</v>
      </c>
      <c r="B70" s="4" t="s">
        <v>247</v>
      </c>
      <c r="C70" s="4" t="s">
        <v>248</v>
      </c>
      <c r="D70" s="4">
        <v>2022</v>
      </c>
      <c r="E70" s="12" t="s">
        <v>900</v>
      </c>
      <c r="F70" s="4" t="s">
        <v>978</v>
      </c>
      <c r="G70" s="4" t="s">
        <v>1080</v>
      </c>
      <c r="H70" s="4" t="s">
        <v>1041</v>
      </c>
      <c r="I70" s="14">
        <v>0.43</v>
      </c>
      <c r="J70" s="13">
        <v>45473</v>
      </c>
      <c r="K70" s="25"/>
      <c r="L70" s="14">
        <v>0.18</v>
      </c>
      <c r="M70" s="14"/>
      <c r="N70" s="4"/>
      <c r="O70" s="18"/>
      <c r="P70" s="4"/>
      <c r="Q70" s="15">
        <f t="shared" si="4"/>
        <v>0</v>
      </c>
      <c r="R70" s="12"/>
      <c r="S70" s="16" cm="1">
        <f t="array" ref="S70">IF(R70="",0,COUNTA(_xlfn._xlws.FILTER(_xlfn.TEXTSPLIT(R70,";"), _xlfn.TEXTSPLIT(R70,";")&lt;&gt;"")))</f>
        <v>0</v>
      </c>
      <c r="T70" s="12"/>
      <c r="U70" s="16" cm="1">
        <f t="array" ref="U70">IF(T70="",0,COUNTA(_xlfn._xlws.FILTER(_xlfn.TEXTSPLIT(T70,";"), _xlfn.TEXTSPLIT(T70,";")&lt;&gt;"")))</f>
        <v>0</v>
      </c>
      <c r="V70" s="17" t="str">
        <f t="shared" si="5"/>
        <v>N/A</v>
      </c>
      <c r="W70" s="12" cm="1">
        <f t="array" ref="W70">IF(T70="",R70,_xlfn.LET(_xlpm.inv, TRIM(_xlfn.TEXTSPLIT(R70,";")),_xlpm.fol, TRIM(_xlfn.TEXTSPLIT(T70,";")),_xlfn.TEXTJOIN("; ", TRUE, _xlfn._xlws.FILTER(_xlpm.inv, ISNA(MATCH(_xlpm.inv, _xlpm.fol, 0)), ""))
  )
)</f>
        <v>0</v>
      </c>
      <c r="X70" s="16" cm="1">
        <f t="array" ref="X70">IF(W70="","N/A",COUNTA(_xlfn._xlws.FILTER(_xlfn.TEXTSPLIT(W70,";"), _xlfn.TEXTSPLIT(W70,";")&lt;&gt;"")))</f>
        <v>1</v>
      </c>
      <c r="Y70" s="17" t="str">
        <f t="shared" si="6"/>
        <v>N/A</v>
      </c>
      <c r="Z70" s="4" t="s">
        <v>817</v>
      </c>
      <c r="AA70" s="4" t="s">
        <v>813</v>
      </c>
      <c r="AB70" s="4" t="s">
        <v>811</v>
      </c>
      <c r="AC70" s="4" t="s">
        <v>517</v>
      </c>
    </row>
    <row r="71" spans="1:29" ht="29" x14ac:dyDescent="0.35">
      <c r="A71" s="4">
        <f t="shared" si="7"/>
        <v>69</v>
      </c>
      <c r="B71" s="4" t="s">
        <v>96</v>
      </c>
      <c r="C71" s="4" t="s">
        <v>249</v>
      </c>
      <c r="D71" s="4">
        <v>2014</v>
      </c>
      <c r="E71" s="12" t="s">
        <v>900</v>
      </c>
      <c r="F71" s="4" t="s">
        <v>557</v>
      </c>
      <c r="G71" s="4" t="s">
        <v>1081</v>
      </c>
      <c r="H71" s="4" t="s">
        <v>1042</v>
      </c>
      <c r="I71" s="14">
        <v>36.67</v>
      </c>
      <c r="J71" s="13">
        <v>45261</v>
      </c>
      <c r="K71" s="25"/>
      <c r="L71" s="14"/>
      <c r="M71" s="14"/>
      <c r="N71" s="4"/>
      <c r="O71" s="18"/>
      <c r="P71" s="4"/>
      <c r="Q71" s="15" t="str">
        <f t="shared" si="4"/>
        <v>N/A</v>
      </c>
      <c r="R71" s="12" t="s">
        <v>491</v>
      </c>
      <c r="S71" s="16" cm="1">
        <f t="array" ref="S71">IF(R71="",0,COUNTA(_xlfn._xlws.FILTER(_xlfn.TEXTSPLIT(R71,";"), _xlfn.TEXTSPLIT(R71,";")&lt;&gt;"")))</f>
        <v>1</v>
      </c>
      <c r="T71" s="12"/>
      <c r="U71" s="16" cm="1">
        <f t="array" ref="U71">IF(T71="",0,COUNTA(_xlfn._xlws.FILTER(_xlfn.TEXTSPLIT(T71,";"), _xlfn.TEXTSPLIT(T71,";")&lt;&gt;"")))</f>
        <v>0</v>
      </c>
      <c r="V71" s="17">
        <f t="shared" si="5"/>
        <v>0</v>
      </c>
      <c r="W71" s="12" t="str" cm="1">
        <f t="array" ref="W71">IF(T71="",R71,_xlfn.LET(_xlpm.inv, TRIM(_xlfn.TEXTSPLIT(R71,";")),_xlpm.fol, TRIM(_xlfn.TEXTSPLIT(T71,";")),_xlfn.TEXTJOIN("; ", TRUE, _xlfn._xlws.FILTER(_xlpm.inv, ISNA(MATCH(_xlpm.inv, _xlpm.fol, 0)), ""))
  )
)</f>
        <v xml:space="preserve">KRF capital </v>
      </c>
      <c r="X71" s="16" cm="1">
        <f t="array" ref="X71">IF(W71="","N/A",COUNTA(_xlfn._xlws.FILTER(_xlfn.TEXTSPLIT(W71,";"), _xlfn.TEXTSPLIT(W71,";")&lt;&gt;"")))</f>
        <v>1</v>
      </c>
      <c r="Y71" s="17">
        <f t="shared" si="6"/>
        <v>1</v>
      </c>
      <c r="Z71" s="4" t="s">
        <v>815</v>
      </c>
      <c r="AA71" s="4"/>
      <c r="AB71" s="4" t="s">
        <v>811</v>
      </c>
      <c r="AC71" s="4" t="s">
        <v>517</v>
      </c>
    </row>
    <row r="72" spans="1:29" ht="29" x14ac:dyDescent="0.35">
      <c r="A72" s="4">
        <f t="shared" si="7"/>
        <v>70</v>
      </c>
      <c r="B72" s="4" t="s">
        <v>96</v>
      </c>
      <c r="C72" s="4" t="s">
        <v>249</v>
      </c>
      <c r="D72" s="4">
        <v>2014</v>
      </c>
      <c r="E72" s="12" t="s">
        <v>900</v>
      </c>
      <c r="F72" s="4" t="s">
        <v>557</v>
      </c>
      <c r="G72" s="4" t="s">
        <v>1081</v>
      </c>
      <c r="H72" s="4" t="s">
        <v>1042</v>
      </c>
      <c r="I72" s="14">
        <v>3771</v>
      </c>
      <c r="J72" s="13">
        <v>45657</v>
      </c>
      <c r="K72" s="25"/>
      <c r="L72" s="14">
        <v>1.04</v>
      </c>
      <c r="M72" s="14"/>
      <c r="N72" s="4"/>
      <c r="O72" s="18"/>
      <c r="P72" s="4"/>
      <c r="Q72" s="15">
        <f t="shared" si="4"/>
        <v>0</v>
      </c>
      <c r="R72" s="12" t="s">
        <v>490</v>
      </c>
      <c r="S72" s="16" cm="1">
        <f t="array" ref="S72">IF(R72="",0,COUNTA(_xlfn._xlws.FILTER(_xlfn.TEXTSPLIT(R72,";"), _xlfn.TEXTSPLIT(R72,";")&lt;&gt;"")))</f>
        <v>1</v>
      </c>
      <c r="T72" s="12"/>
      <c r="U72" s="16" cm="1">
        <f t="array" ref="U72">IF(T72="",0,COUNTA(_xlfn._xlws.FILTER(_xlfn.TEXTSPLIT(T72,";"), _xlfn.TEXTSPLIT(T72,";")&lt;&gt;"")))</f>
        <v>0</v>
      </c>
      <c r="V72" s="17">
        <f t="shared" si="5"/>
        <v>0</v>
      </c>
      <c r="W72" s="12" t="str" cm="1">
        <f t="array" ref="W72">IF(T72="",R72,_xlfn.LET(_xlpm.inv, TRIM(_xlfn.TEXTSPLIT(R72,";")),_xlpm.fol, TRIM(_xlfn.TEXTSPLIT(T72,";")),_xlfn.TEXTJOIN("; ", TRUE, _xlfn._xlws.FILTER(_xlpm.inv, ISNA(MATCH(_xlpm.inv, _xlpm.fol, 0)), ""))
  )
)</f>
        <v>Treehouse Investments</v>
      </c>
      <c r="X72" s="16" cm="1">
        <f t="array" ref="X72">IF(W72="","N/A",COUNTA(_xlfn._xlws.FILTER(_xlfn.TEXTSPLIT(W72,";"), _xlfn.TEXTSPLIT(W72,";")&lt;&gt;"")))</f>
        <v>1</v>
      </c>
      <c r="Y72" s="17">
        <f t="shared" si="6"/>
        <v>1</v>
      </c>
      <c r="Z72" s="4" t="s">
        <v>815</v>
      </c>
      <c r="AA72" s="4"/>
      <c r="AB72" s="4" t="s">
        <v>811</v>
      </c>
      <c r="AC72" s="4" t="s">
        <v>517</v>
      </c>
    </row>
    <row r="73" spans="1:29" x14ac:dyDescent="0.35">
      <c r="A73" s="4">
        <f t="shared" si="7"/>
        <v>71</v>
      </c>
      <c r="B73" s="4" t="s">
        <v>97</v>
      </c>
      <c r="C73" s="4" t="s">
        <v>250</v>
      </c>
      <c r="D73" s="4">
        <v>2019</v>
      </c>
      <c r="E73" s="12" t="s">
        <v>897</v>
      </c>
      <c r="F73" s="4" t="s">
        <v>959</v>
      </c>
      <c r="G73" s="4" t="s">
        <v>1088</v>
      </c>
      <c r="H73" s="4" t="s">
        <v>1043</v>
      </c>
      <c r="I73" s="14">
        <v>120.86</v>
      </c>
      <c r="J73" s="13">
        <v>45866</v>
      </c>
      <c r="K73" s="25">
        <v>1.84</v>
      </c>
      <c r="L73" s="14"/>
      <c r="M73" s="14"/>
      <c r="N73" s="4"/>
      <c r="O73" s="18"/>
      <c r="P73" s="4">
        <v>19</v>
      </c>
      <c r="Q73" s="15" t="str">
        <f t="shared" si="4"/>
        <v>N/A</v>
      </c>
      <c r="R73" s="12" t="s">
        <v>631</v>
      </c>
      <c r="S73" s="16" cm="1">
        <f t="array" ref="S73">IF(R73="",0,COUNTA(_xlfn._xlws.FILTER(_xlfn.TEXTSPLIT(R73,";"), _xlfn.TEXTSPLIT(R73,";")&lt;&gt;"")))</f>
        <v>1</v>
      </c>
      <c r="T73" s="12"/>
      <c r="U73" s="16" cm="1">
        <f t="array" ref="U73">IF(T73="",0,COUNTA(_xlfn._xlws.FILTER(_xlfn.TEXTSPLIT(T73,";"), _xlfn.TEXTSPLIT(T73,";")&lt;&gt;"")))</f>
        <v>0</v>
      </c>
      <c r="V73" s="17">
        <f t="shared" si="5"/>
        <v>0</v>
      </c>
      <c r="W73" s="12" t="str" cm="1">
        <f t="array" ref="W73">IF(T73="",R73,_xlfn.LET(_xlpm.inv, TRIM(_xlfn.TEXTSPLIT(R73,";")),_xlpm.fol, TRIM(_xlfn.TEXTSPLIT(T73,";")),_xlfn.TEXTJOIN("; ", TRUE, _xlfn._xlws.FILTER(_xlpm.inv, ISNA(MATCH(_xlpm.inv, _xlpm.fol, 0)), ""))
  )
)</f>
        <v xml:space="preserve">Alphabet </v>
      </c>
      <c r="X73" s="16" cm="1">
        <f t="array" ref="X73">IF(W73="","N/A",COUNTA(_xlfn._xlws.FILTER(_xlfn.TEXTSPLIT(W73,";"), _xlfn.TEXTSPLIT(W73,";")&lt;&gt;"")))</f>
        <v>1</v>
      </c>
      <c r="Y73" s="17">
        <f t="shared" si="6"/>
        <v>1</v>
      </c>
      <c r="Z73" s="4" t="s">
        <v>810</v>
      </c>
      <c r="AA73" s="4"/>
      <c r="AB73" s="4" t="s">
        <v>844</v>
      </c>
      <c r="AC73" s="4" t="s">
        <v>517</v>
      </c>
    </row>
    <row r="74" spans="1:29" x14ac:dyDescent="0.35">
      <c r="A74" s="4">
        <f t="shared" si="7"/>
        <v>72</v>
      </c>
      <c r="B74" s="4" t="s">
        <v>251</v>
      </c>
      <c r="C74" s="4" t="s">
        <v>193</v>
      </c>
      <c r="D74" s="4">
        <v>2019</v>
      </c>
      <c r="E74" s="12" t="s">
        <v>899</v>
      </c>
      <c r="F74" s="4" t="s">
        <v>557</v>
      </c>
      <c r="G74" s="4" t="s">
        <v>1082</v>
      </c>
      <c r="H74" s="4" t="s">
        <v>1044</v>
      </c>
      <c r="I74" s="14"/>
      <c r="J74" s="13">
        <v>45536</v>
      </c>
      <c r="K74" s="25"/>
      <c r="L74" s="14"/>
      <c r="M74" s="14"/>
      <c r="N74" s="4"/>
      <c r="O74" s="18"/>
      <c r="P74" s="4"/>
      <c r="Q74" s="15" t="str">
        <f t="shared" si="4"/>
        <v>N/A</v>
      </c>
      <c r="R74" s="12" t="s">
        <v>492</v>
      </c>
      <c r="S74" s="16" cm="1">
        <f t="array" ref="S74">IF(R74="",0,COUNTA(_xlfn._xlws.FILTER(_xlfn.TEXTSPLIT(R74,";"), _xlfn.TEXTSPLIT(R74,";")&lt;&gt;"")))</f>
        <v>1</v>
      </c>
      <c r="T74" s="12"/>
      <c r="U74" s="16" cm="1">
        <f t="array" ref="U74">IF(T74="",0,COUNTA(_xlfn._xlws.FILTER(_xlfn.TEXTSPLIT(T74,";"), _xlfn.TEXTSPLIT(T74,";")&lt;&gt;"")))</f>
        <v>0</v>
      </c>
      <c r="V74" s="17">
        <f t="shared" si="5"/>
        <v>0</v>
      </c>
      <c r="W74" s="12" t="str" cm="1">
        <f t="array" ref="W74">IF(T74="",R74,_xlfn.LET(_xlpm.inv, TRIM(_xlfn.TEXTSPLIT(R74,";")),_xlpm.fol, TRIM(_xlfn.TEXTSPLIT(T74,";")),_xlfn.TEXTJOIN("; ", TRUE, _xlfn._xlws.FILTER(_xlpm.inv, ISNA(MATCH(_xlpm.inv, _xlpm.fol, 0)), ""))
  )
)</f>
        <v xml:space="preserve">Longmont Capital </v>
      </c>
      <c r="X74" s="16" cm="1">
        <f t="array" ref="X74">IF(W74="","N/A",COUNTA(_xlfn._xlws.FILTER(_xlfn.TEXTSPLIT(W74,";"), _xlfn.TEXTSPLIT(W74,";")&lt;&gt;"")))</f>
        <v>1</v>
      </c>
      <c r="Y74" s="17">
        <f t="shared" si="6"/>
        <v>1</v>
      </c>
      <c r="Z74" s="4" t="s">
        <v>815</v>
      </c>
      <c r="AA74" s="4"/>
      <c r="AB74" s="4" t="s">
        <v>811</v>
      </c>
      <c r="AC74" s="4" t="s">
        <v>517</v>
      </c>
    </row>
    <row r="75" spans="1:29" x14ac:dyDescent="0.35">
      <c r="A75" s="4">
        <f t="shared" si="7"/>
        <v>73</v>
      </c>
      <c r="B75" s="4" t="s">
        <v>100</v>
      </c>
      <c r="C75" s="4" t="s">
        <v>252</v>
      </c>
      <c r="D75" s="4">
        <v>1993</v>
      </c>
      <c r="E75" s="12" t="s">
        <v>916</v>
      </c>
      <c r="F75" s="4" t="s">
        <v>962</v>
      </c>
      <c r="G75" s="4" t="s">
        <v>1045</v>
      </c>
      <c r="H75" s="4" t="s">
        <v>1046</v>
      </c>
      <c r="I75" s="14">
        <v>24</v>
      </c>
      <c r="J75" s="13">
        <v>42641</v>
      </c>
      <c r="K75" s="25"/>
      <c r="L75" s="14"/>
      <c r="M75" s="14"/>
      <c r="N75" s="4"/>
      <c r="O75" s="18"/>
      <c r="P75" s="4"/>
      <c r="Q75" s="15" t="str">
        <f t="shared" si="4"/>
        <v>N/A</v>
      </c>
      <c r="R75" s="12" t="s">
        <v>632</v>
      </c>
      <c r="S75" s="16" cm="1">
        <f t="array" ref="S75">IF(R75="",0,COUNTA(_xlfn._xlws.FILTER(_xlfn.TEXTSPLIT(R75,";"), _xlfn.TEXTSPLIT(R75,";")&lt;&gt;"")))</f>
        <v>3</v>
      </c>
      <c r="T75" s="12" t="s">
        <v>579</v>
      </c>
      <c r="U75" s="16" cm="1">
        <f t="array" ref="U75">IF(T75="",0,COUNTA(_xlfn._xlws.FILTER(_xlfn.TEXTSPLIT(T75,";"), _xlfn.TEXTSPLIT(T75,";")&lt;&gt;"")))</f>
        <v>1</v>
      </c>
      <c r="V75" s="17">
        <f t="shared" si="5"/>
        <v>0.33333333333333331</v>
      </c>
      <c r="W75" s="12" t="str" cm="1">
        <f t="array" ref="W75">IF(T75="",R75,_xlfn.LET(_xlpm.inv, TRIM(_xlfn.TEXTSPLIT(R75,";")),_xlpm.fol, TRIM(_xlfn.TEXTSPLIT(T75,";")),_xlfn.TEXTJOIN("; ", TRUE, _xlfn._xlws.FILTER(_xlpm.inv, ISNA(MATCH(_xlpm.inv, _xlpm.fol, 0)), ""))
  )
)</f>
        <v>Capital Southwest; DFW Capital Partners</v>
      </c>
      <c r="X75" s="16" cm="1">
        <f t="array" ref="X75">IF(W75="","N/A",COUNTA(_xlfn._xlws.FILTER(_xlfn.TEXTSPLIT(W75,";"), _xlfn.TEXTSPLIT(W75,";")&lt;&gt;"")))</f>
        <v>2</v>
      </c>
      <c r="Y75" s="17">
        <f t="shared" si="6"/>
        <v>0.66666666666666663</v>
      </c>
      <c r="Z75" s="4" t="s">
        <v>815</v>
      </c>
      <c r="AA75" s="4" t="s">
        <v>847</v>
      </c>
      <c r="AB75" s="4" t="s">
        <v>845</v>
      </c>
      <c r="AC75" s="4" t="s">
        <v>517</v>
      </c>
    </row>
    <row r="76" spans="1:29" x14ac:dyDescent="0.35">
      <c r="A76" s="4">
        <f t="shared" si="7"/>
        <v>74</v>
      </c>
      <c r="B76" s="4" t="s">
        <v>100</v>
      </c>
      <c r="C76" s="4" t="s">
        <v>252</v>
      </c>
      <c r="D76" s="4">
        <v>1993</v>
      </c>
      <c r="E76" s="12" t="s">
        <v>916</v>
      </c>
      <c r="F76" s="4" t="s">
        <v>962</v>
      </c>
      <c r="G76" s="4" t="s">
        <v>1045</v>
      </c>
      <c r="H76" s="4" t="s">
        <v>1046</v>
      </c>
      <c r="I76" s="14">
        <v>83.33</v>
      </c>
      <c r="J76" s="13">
        <v>43368</v>
      </c>
      <c r="K76" s="25"/>
      <c r="L76" s="14">
        <v>8</v>
      </c>
      <c r="M76" s="14"/>
      <c r="N76" s="4"/>
      <c r="O76" s="18"/>
      <c r="P76" s="4">
        <v>3.88</v>
      </c>
      <c r="Q76" s="15">
        <f t="shared" si="4"/>
        <v>0.48499999999999999</v>
      </c>
      <c r="R76" s="12" t="s">
        <v>633</v>
      </c>
      <c r="S76" s="16" cm="1">
        <f t="array" ref="S76">IF(R76="",0,COUNTA(_xlfn._xlws.FILTER(_xlfn.TEXTSPLIT(R76,";"), _xlfn.TEXTSPLIT(R76,";")&lt;&gt;"")))</f>
        <v>1</v>
      </c>
      <c r="T76" s="12" t="s">
        <v>580</v>
      </c>
      <c r="U76" s="16" cm="1">
        <f t="array" ref="U76">IF(T76="",0,COUNTA(_xlfn._xlws.FILTER(_xlfn.TEXTSPLIT(T76,";"), _xlfn.TEXTSPLIT(T76,";")&lt;&gt;"")))</f>
        <v>1</v>
      </c>
      <c r="V76" s="17">
        <f t="shared" si="5"/>
        <v>1</v>
      </c>
      <c r="W76" s="12" t="str" cm="1">
        <f t="array" ref="W76">IF(T76="",R76,_xlfn.LET(_xlpm.inv, TRIM(_xlfn.TEXTSPLIT(R76,";")),_xlpm.fol, TRIM(_xlfn.TEXTSPLIT(T76,";")),_xlfn.TEXTJOIN("; ", TRUE, _xlfn._xlws.FILTER(_xlpm.inv, ISNA(MATCH(_xlpm.inv, _xlpm.fol, 0)), ""))
  )
)</f>
        <v/>
      </c>
      <c r="X76" s="16" t="str" cm="1">
        <f t="array" ref="X76">IF(W76="","N/A",COUNTA(_xlfn._xlws.FILTER(_xlfn.TEXTSPLIT(W76,";"), _xlfn.TEXTSPLIT(W76,";")&lt;&gt;"")))</f>
        <v>N/A</v>
      </c>
      <c r="Y76" s="17" t="str">
        <f t="shared" si="6"/>
        <v>N/A</v>
      </c>
      <c r="Z76" s="4" t="s">
        <v>815</v>
      </c>
      <c r="AA76" s="4"/>
      <c r="AB76" s="4" t="s">
        <v>845</v>
      </c>
      <c r="AC76" s="4" t="s">
        <v>517</v>
      </c>
    </row>
    <row r="77" spans="1:29" x14ac:dyDescent="0.35">
      <c r="A77" s="4">
        <f t="shared" si="7"/>
        <v>75</v>
      </c>
      <c r="B77" s="4" t="s">
        <v>101</v>
      </c>
      <c r="C77" s="4" t="s">
        <v>253</v>
      </c>
      <c r="D77" s="4">
        <v>2010</v>
      </c>
      <c r="E77" s="12" t="s">
        <v>899</v>
      </c>
      <c r="F77" s="4" t="s">
        <v>557</v>
      </c>
      <c r="G77" s="4" t="s">
        <v>1083</v>
      </c>
      <c r="H77" s="4" t="s">
        <v>1047</v>
      </c>
      <c r="I77" s="14">
        <v>4</v>
      </c>
      <c r="J77" s="13">
        <v>44197</v>
      </c>
      <c r="K77" s="25"/>
      <c r="L77" s="14"/>
      <c r="M77" s="14"/>
      <c r="N77" s="4"/>
      <c r="O77" s="18"/>
      <c r="P77" s="4"/>
      <c r="Q77" s="15" t="str">
        <f t="shared" si="4"/>
        <v>N/A</v>
      </c>
      <c r="R77" s="12" t="s">
        <v>523</v>
      </c>
      <c r="S77" s="16" cm="1">
        <f t="array" ref="S77">IF(R77="",0,COUNTA(_xlfn._xlws.FILTER(_xlfn.TEXTSPLIT(R77,";"), _xlfn.TEXTSPLIT(R77,";")&lt;&gt;"")))</f>
        <v>3</v>
      </c>
      <c r="T77" s="12"/>
      <c r="U77" s="16" cm="1">
        <f t="array" ref="U77">IF(T77="",0,COUNTA(_xlfn._xlws.FILTER(_xlfn.TEXTSPLIT(T77,";"), _xlfn.TEXTSPLIT(T77,";")&lt;&gt;"")))</f>
        <v>0</v>
      </c>
      <c r="V77" s="17">
        <f t="shared" si="5"/>
        <v>0</v>
      </c>
      <c r="W77" s="12" t="str" cm="1">
        <f t="array" ref="W77">IF(T77="",R77,_xlfn.LET(_xlpm.inv, TRIM(_xlfn.TEXTSPLIT(R77,";")),_xlpm.fol, TRIM(_xlfn.TEXTSPLIT(T77,";")),_xlfn.TEXTJOIN("; ", TRUE, _xlfn._xlws.FILTER(_xlpm.inv, ISNA(MATCH(_xlpm.inv, _xlpm.fol, 0)), ""))
  )
)</f>
        <v>13Capital; Cleanhill Partners; Goldman Sachs Asset Management</v>
      </c>
      <c r="X77" s="16" cm="1">
        <f t="array" ref="X77">IF(W77="","N/A",COUNTA(_xlfn._xlws.FILTER(_xlfn.TEXTSPLIT(W77,";"), _xlfn.TEXTSPLIT(W77,";")&lt;&gt;"")))</f>
        <v>3</v>
      </c>
      <c r="Y77" s="17">
        <f t="shared" si="6"/>
        <v>1</v>
      </c>
      <c r="Z77" s="4" t="s">
        <v>848</v>
      </c>
      <c r="AA77" s="4"/>
      <c r="AB77" s="4" t="s">
        <v>824</v>
      </c>
      <c r="AC77" s="4" t="s">
        <v>517</v>
      </c>
    </row>
    <row r="78" spans="1:29" x14ac:dyDescent="0.35">
      <c r="A78" s="4">
        <f t="shared" si="7"/>
        <v>76</v>
      </c>
      <c r="B78" s="4" t="s">
        <v>254</v>
      </c>
      <c r="C78" s="4" t="s">
        <v>255</v>
      </c>
      <c r="D78" s="4">
        <v>1998</v>
      </c>
      <c r="E78" s="12" t="s">
        <v>899</v>
      </c>
      <c r="F78" s="4" t="s">
        <v>960</v>
      </c>
      <c r="G78" s="4" t="s">
        <v>1091</v>
      </c>
      <c r="H78" s="4" t="s">
        <v>1092</v>
      </c>
      <c r="I78" s="14">
        <v>5</v>
      </c>
      <c r="J78" s="13">
        <v>44621</v>
      </c>
      <c r="K78" s="25"/>
      <c r="L78" s="14"/>
      <c r="M78" s="14"/>
      <c r="N78" s="4"/>
      <c r="O78" s="18"/>
      <c r="P78" s="4"/>
      <c r="Q78" s="15" t="str">
        <f t="shared" si="4"/>
        <v>N/A</v>
      </c>
      <c r="R78" s="12" t="s">
        <v>493</v>
      </c>
      <c r="S78" s="16" cm="1">
        <f t="array" ref="S78">IF(R78="",0,COUNTA(_xlfn._xlws.FILTER(_xlfn.TEXTSPLIT(R78,";"), _xlfn.TEXTSPLIT(R78,";")&lt;&gt;"")))</f>
        <v>1</v>
      </c>
      <c r="T78" s="12"/>
      <c r="U78" s="16" cm="1">
        <f t="array" ref="U78">IF(T78="",0,COUNTA(_xlfn._xlws.FILTER(_xlfn.TEXTSPLIT(T78,";"), _xlfn.TEXTSPLIT(T78,";")&lt;&gt;"")))</f>
        <v>0</v>
      </c>
      <c r="V78" s="17">
        <f t="shared" si="5"/>
        <v>0</v>
      </c>
      <c r="W78" s="12" t="str" cm="1">
        <f t="array" ref="W78">IF(T78="",R78,_xlfn.LET(_xlpm.inv, TRIM(_xlfn.TEXTSPLIT(R78,";")),_xlpm.fol, TRIM(_xlfn.TEXTSPLIT(T78,";")),_xlfn.TEXTJOIN("; ", TRUE, _xlfn._xlws.FILTER(_xlpm.inv, ISNA(MATCH(_xlpm.inv, _xlpm.fol, 0)), ""))
  )
)</f>
        <v xml:space="preserve">The Sterling Group </v>
      </c>
      <c r="X78" s="16" cm="1">
        <f t="array" ref="X78">IF(W78="","N/A",COUNTA(_xlfn._xlws.FILTER(_xlfn.TEXTSPLIT(W78,";"), _xlfn.TEXTSPLIT(W78,";")&lt;&gt;"")))</f>
        <v>1</v>
      </c>
      <c r="Y78" s="17">
        <f t="shared" si="6"/>
        <v>1</v>
      </c>
      <c r="Z78" s="4" t="s">
        <v>815</v>
      </c>
      <c r="AA78" s="4"/>
      <c r="AB78" s="4" t="s">
        <v>814</v>
      </c>
      <c r="AC78" s="4" t="s">
        <v>517</v>
      </c>
    </row>
    <row r="79" spans="1:29" ht="72.5" x14ac:dyDescent="0.35">
      <c r="A79" s="4">
        <f t="shared" si="7"/>
        <v>77</v>
      </c>
      <c r="B79" s="4" t="s">
        <v>256</v>
      </c>
      <c r="C79" s="4" t="s">
        <v>257</v>
      </c>
      <c r="D79" s="4">
        <v>2023</v>
      </c>
      <c r="E79" s="12" t="s">
        <v>918</v>
      </c>
      <c r="F79" s="4" t="s">
        <v>959</v>
      </c>
      <c r="G79" s="4" t="s">
        <v>1093</v>
      </c>
      <c r="H79" s="4" t="s">
        <v>1094</v>
      </c>
      <c r="I79" s="14">
        <v>140</v>
      </c>
      <c r="J79" s="13">
        <v>45974</v>
      </c>
      <c r="K79" s="25">
        <v>0.81</v>
      </c>
      <c r="L79" s="14">
        <v>120</v>
      </c>
      <c r="M79" s="14"/>
      <c r="N79" s="4"/>
      <c r="O79" s="18"/>
      <c r="P79" s="4"/>
      <c r="Q79" s="15">
        <f t="shared" si="4"/>
        <v>0</v>
      </c>
      <c r="R79" s="12" t="s">
        <v>634</v>
      </c>
      <c r="S79" s="16" cm="1">
        <f t="array" ref="S79">IF(R79="",0,COUNTA(_xlfn._xlws.FILTER(_xlfn.TEXTSPLIT(R79,";"), _xlfn.TEXTSPLIT(R79,";")&lt;&gt;"")))</f>
        <v>22</v>
      </c>
      <c r="T79" s="12" t="s">
        <v>597</v>
      </c>
      <c r="U79" s="16" cm="1">
        <f t="array" ref="U79">IF(T79="",0,COUNTA(_xlfn._xlws.FILTER(_xlfn.TEXTSPLIT(T79,";"), _xlfn.TEXTSPLIT(T79,";")&lt;&gt;"")))</f>
        <v>10</v>
      </c>
      <c r="V79" s="17">
        <f t="shared" si="5"/>
        <v>0.45454545454545453</v>
      </c>
      <c r="W79" s="12" t="str" cm="1">
        <f t="array" ref="W79">IF(T79="",R79,_xlfn.LET(_xlpm.inv, TRIM(_xlfn.TEXTSPLIT(R79,";")),_xlpm.fol, TRIM(_xlfn.TEXTSPLIT(T79,";")),_xlfn.TEXTJOIN("; ", TRUE, _xlfn._xlws.FILTER(_xlpm.inv, ISNA(MATCH(_xlpm.inv, _xlpm.fol, 0)), ""))
  )
)</f>
        <v>Dragon Global; New Atlas Capital; Brex Asset Management; Bay Bridge Ventures; Florida Opportunity Fund; Deepwork Capital; Thrive Capital; Goat Ventures; Massive Capital Partners; Leonardo DiCaprio; Upsher Management Company; Alpen Capital; StepStone Group</v>
      </c>
      <c r="X79" s="16" cm="1">
        <f t="array" ref="X79">IF(W79="","N/A",COUNTA(_xlfn._xlws.FILTER(_xlfn.TEXTSPLIT(W79,";"), _xlfn.TEXTSPLIT(W79,";")&lt;&gt;"")))</f>
        <v>13</v>
      </c>
      <c r="Y79" s="17">
        <f t="shared" si="6"/>
        <v>0.59090909090909094</v>
      </c>
      <c r="Z79" s="4" t="s">
        <v>817</v>
      </c>
      <c r="AA79" s="4" t="s">
        <v>831</v>
      </c>
      <c r="AB79" s="4" t="s">
        <v>816</v>
      </c>
      <c r="AC79" s="4" t="s">
        <v>517</v>
      </c>
    </row>
    <row r="80" spans="1:29" ht="58" x14ac:dyDescent="0.35">
      <c r="A80" s="4">
        <f t="shared" si="7"/>
        <v>78</v>
      </c>
      <c r="B80" s="4" t="s">
        <v>540</v>
      </c>
      <c r="C80" s="4" t="s">
        <v>258</v>
      </c>
      <c r="D80" s="4">
        <v>2014</v>
      </c>
      <c r="E80" s="12" t="s">
        <v>919</v>
      </c>
      <c r="F80" s="4" t="s">
        <v>961</v>
      </c>
      <c r="G80" s="4" t="s">
        <v>1095</v>
      </c>
      <c r="H80" s="4" t="s">
        <v>1096</v>
      </c>
      <c r="I80" s="14">
        <v>4361</v>
      </c>
      <c r="J80" s="13">
        <v>43584</v>
      </c>
      <c r="K80" s="25">
        <v>0.84</v>
      </c>
      <c r="L80" s="14">
        <v>1250</v>
      </c>
      <c r="M80" s="14"/>
      <c r="N80" s="4"/>
      <c r="O80" s="18"/>
      <c r="P80" s="4">
        <v>225</v>
      </c>
      <c r="Q80" s="15">
        <f t="shared" si="4"/>
        <v>0.18</v>
      </c>
      <c r="R80" s="12"/>
      <c r="S80" s="16" cm="1">
        <f t="array" ref="S80">IF(R80="",0,COUNTA(_xlfn._xlws.FILTER(_xlfn.TEXTSPLIT(R80,";"), _xlfn.TEXTSPLIT(R80,";")&lt;&gt;"")))</f>
        <v>0</v>
      </c>
      <c r="T80" s="12"/>
      <c r="U80" s="16" cm="1">
        <f t="array" ref="U80">IF(T80="",0,COUNTA(_xlfn._xlws.FILTER(_xlfn.TEXTSPLIT(T80,";"), _xlfn.TEXTSPLIT(T80,";")&lt;&gt;"")))</f>
        <v>0</v>
      </c>
      <c r="V80" s="17" t="str">
        <f t="shared" si="5"/>
        <v>N/A</v>
      </c>
      <c r="W80" s="12" cm="1">
        <f t="array" ref="W80">IF(T80="",R80,_xlfn.LET(_xlpm.inv, TRIM(_xlfn.TEXTSPLIT(R80,";")),_xlpm.fol, TRIM(_xlfn.TEXTSPLIT(T80,";")),_xlfn.TEXTJOIN("; ", TRUE, _xlfn._xlws.FILTER(_xlpm.inv, ISNA(MATCH(_xlpm.inv, _xlpm.fol, 0)), ""))
  )
)</f>
        <v>0</v>
      </c>
      <c r="X80" s="16" cm="1">
        <f t="array" ref="X80">IF(W80="","N/A",COUNTA(_xlfn._xlws.FILTER(_xlfn.TEXTSPLIT(W80,";"), _xlfn.TEXTSPLIT(W80,";")&lt;&gt;"")))</f>
        <v>1</v>
      </c>
      <c r="Y80" s="17" t="str">
        <f t="shared" si="6"/>
        <v>N/A</v>
      </c>
      <c r="Z80" s="4" t="s">
        <v>810</v>
      </c>
      <c r="AA80" s="4" t="s">
        <v>1467</v>
      </c>
      <c r="AB80" s="4" t="s">
        <v>849</v>
      </c>
      <c r="AC80" s="4" t="s">
        <v>517</v>
      </c>
    </row>
    <row r="81" spans="1:29" ht="29" x14ac:dyDescent="0.35">
      <c r="A81" s="4">
        <f t="shared" si="7"/>
        <v>79</v>
      </c>
      <c r="B81" s="4" t="s">
        <v>259</v>
      </c>
      <c r="C81" s="4" t="s">
        <v>200</v>
      </c>
      <c r="D81" s="4">
        <v>2010</v>
      </c>
      <c r="E81" s="12" t="s">
        <v>920</v>
      </c>
      <c r="F81" s="4" t="s">
        <v>961</v>
      </c>
      <c r="G81" s="4" t="s">
        <v>1097</v>
      </c>
      <c r="H81" s="4" t="s">
        <v>1098</v>
      </c>
      <c r="I81" s="14">
        <v>7.92</v>
      </c>
      <c r="J81" s="13">
        <v>43069</v>
      </c>
      <c r="K81" s="25"/>
      <c r="L81" s="14">
        <v>3.92</v>
      </c>
      <c r="M81" s="14"/>
      <c r="N81" s="4"/>
      <c r="O81" s="18"/>
      <c r="P81" s="4"/>
      <c r="Q81" s="15">
        <f t="shared" si="4"/>
        <v>0</v>
      </c>
      <c r="R81" s="12"/>
      <c r="S81" s="16" cm="1">
        <f t="array" ref="S81">IF(R81="",0,COUNTA(_xlfn._xlws.FILTER(_xlfn.TEXTSPLIT(R81,";"), _xlfn.TEXTSPLIT(R81,";")&lt;&gt;"")))</f>
        <v>0</v>
      </c>
      <c r="T81" s="12"/>
      <c r="U81" s="16" cm="1">
        <f t="array" ref="U81">IF(T81="",0,COUNTA(_xlfn._xlws.FILTER(_xlfn.TEXTSPLIT(T81,";"), _xlfn.TEXTSPLIT(T81,";")&lt;&gt;"")))</f>
        <v>0</v>
      </c>
      <c r="V81" s="17" t="str">
        <f t="shared" si="5"/>
        <v>N/A</v>
      </c>
      <c r="W81" s="12" cm="1">
        <f t="array" ref="W81">IF(T81="",R81,_xlfn.LET(_xlpm.inv, TRIM(_xlfn.TEXTSPLIT(R81,";")),_xlpm.fol, TRIM(_xlfn.TEXTSPLIT(T81,";")),_xlfn.TEXTJOIN("; ", TRUE, _xlfn._xlws.FILTER(_xlpm.inv, ISNA(MATCH(_xlpm.inv, _xlpm.fol, 0)), ""))
  )
)</f>
        <v>0</v>
      </c>
      <c r="X81" s="16" cm="1">
        <f t="array" ref="X81">IF(W81="","N/A",COUNTA(_xlfn._xlws.FILTER(_xlfn.TEXTSPLIT(W81,";"), _xlfn.TEXTSPLIT(W81,";")&lt;&gt;"")))</f>
        <v>1</v>
      </c>
      <c r="Y81" s="17" t="str">
        <f t="shared" si="6"/>
        <v>N/A</v>
      </c>
      <c r="Z81" s="4" t="s">
        <v>810</v>
      </c>
      <c r="AA81" s="4" t="s">
        <v>828</v>
      </c>
      <c r="AB81" s="4" t="s">
        <v>850</v>
      </c>
      <c r="AC81" s="4" t="s">
        <v>517</v>
      </c>
    </row>
    <row r="82" spans="1:29" x14ac:dyDescent="0.35">
      <c r="A82" s="4">
        <f t="shared" si="7"/>
        <v>80</v>
      </c>
      <c r="B82" s="4" t="s">
        <v>260</v>
      </c>
      <c r="C82" s="4" t="s">
        <v>193</v>
      </c>
      <c r="D82" s="4">
        <v>2017</v>
      </c>
      <c r="E82" s="12" t="s">
        <v>897</v>
      </c>
      <c r="F82" s="4" t="s">
        <v>557</v>
      </c>
      <c r="G82" s="4" t="s">
        <v>1099</v>
      </c>
      <c r="H82" s="4" t="s">
        <v>1100</v>
      </c>
      <c r="I82" s="14">
        <v>521.47</v>
      </c>
      <c r="J82" s="13">
        <v>45545</v>
      </c>
      <c r="K82" s="25"/>
      <c r="L82" s="14">
        <v>100</v>
      </c>
      <c r="M82" s="14"/>
      <c r="N82" s="4"/>
      <c r="O82" s="18"/>
      <c r="P82" s="4">
        <v>100</v>
      </c>
      <c r="Q82" s="15">
        <f t="shared" si="4"/>
        <v>1</v>
      </c>
      <c r="R82" s="12"/>
      <c r="S82" s="16" cm="1">
        <f t="array" ref="S82">IF(R82="",0,COUNTA(_xlfn._xlws.FILTER(_xlfn.TEXTSPLIT(R82,";"), _xlfn.TEXTSPLIT(R82,";")&lt;&gt;"")))</f>
        <v>0</v>
      </c>
      <c r="T82" s="12"/>
      <c r="U82" s="16" cm="1">
        <f t="array" ref="U82">IF(T82="",0,COUNTA(_xlfn._xlws.FILTER(_xlfn.TEXTSPLIT(T82,";"), _xlfn.TEXTSPLIT(T82,";")&lt;&gt;"")))</f>
        <v>0</v>
      </c>
      <c r="V82" s="17" t="str">
        <f t="shared" si="5"/>
        <v>N/A</v>
      </c>
      <c r="W82" s="12" cm="1">
        <f t="array" ref="W82">IF(T82="",R82,_xlfn.LET(_xlpm.inv, TRIM(_xlfn.TEXTSPLIT(R82,";")),_xlpm.fol, TRIM(_xlfn.TEXTSPLIT(T82,";")),_xlfn.TEXTJOIN("; ", TRUE, _xlfn._xlws.FILTER(_xlpm.inv, ISNA(MATCH(_xlpm.inv, _xlpm.fol, 0)), ""))
  )
)</f>
        <v>0</v>
      </c>
      <c r="X82" s="16" cm="1">
        <f t="array" ref="X82">IF(W82="","N/A",COUNTA(_xlfn._xlws.FILTER(_xlfn.TEXTSPLIT(W82,";"), _xlfn.TEXTSPLIT(W82,";")&lt;&gt;"")))</f>
        <v>1</v>
      </c>
      <c r="Y82" s="17" t="str">
        <f t="shared" si="6"/>
        <v>N/A</v>
      </c>
      <c r="Z82" s="4" t="s">
        <v>851</v>
      </c>
      <c r="AA82" s="4"/>
      <c r="AB82" s="4" t="s">
        <v>822</v>
      </c>
      <c r="AC82" s="4" t="s">
        <v>517</v>
      </c>
    </row>
    <row r="83" spans="1:29" ht="58" x14ac:dyDescent="0.35">
      <c r="A83" s="4">
        <f t="shared" si="7"/>
        <v>81</v>
      </c>
      <c r="B83" s="4" t="s">
        <v>40</v>
      </c>
      <c r="C83" s="4" t="s">
        <v>261</v>
      </c>
      <c r="D83" s="4">
        <v>2017</v>
      </c>
      <c r="E83" s="12" t="s">
        <v>907</v>
      </c>
      <c r="F83" s="4" t="s">
        <v>958</v>
      </c>
      <c r="G83" s="4" t="s">
        <v>1101</v>
      </c>
      <c r="H83" s="4" t="s">
        <v>1102</v>
      </c>
      <c r="I83" s="14">
        <v>14</v>
      </c>
      <c r="J83" s="13">
        <v>44085</v>
      </c>
      <c r="K83" s="25">
        <v>2.23</v>
      </c>
      <c r="L83" s="14">
        <v>10.23</v>
      </c>
      <c r="M83" s="14">
        <v>30.23</v>
      </c>
      <c r="N83" s="4" t="s">
        <v>471</v>
      </c>
      <c r="O83" s="18">
        <v>1.69</v>
      </c>
      <c r="P83" s="4"/>
      <c r="Q83" s="15">
        <f t="shared" si="4"/>
        <v>0</v>
      </c>
      <c r="R83" s="12" t="s">
        <v>635</v>
      </c>
      <c r="S83" s="16" cm="1">
        <f t="array" ref="S83">IF(R83="",0,COUNTA(_xlfn._xlws.FILTER(_xlfn.TEXTSPLIT(R83,";"), _xlfn.TEXTSPLIT(R83,";")&lt;&gt;"")))</f>
        <v>18</v>
      </c>
      <c r="T83" s="12" t="s">
        <v>581</v>
      </c>
      <c r="U83" s="16" cm="1">
        <f t="array" ref="U83">IF(T83="",0,COUNTA(_xlfn._xlws.FILTER(_xlfn.TEXTSPLIT(T83,";"), _xlfn.TEXTSPLIT(T83,";")&lt;&gt;"")))</f>
        <v>3</v>
      </c>
      <c r="V83" s="17">
        <f t="shared" si="5"/>
        <v>0.16666666666666666</v>
      </c>
      <c r="W83" s="12" t="str" cm="1">
        <f t="array" ref="W83">IF(T83="",R83,_xlfn.LET(_xlpm.inv, TRIM(_xlfn.TEXTSPLIT(R83,";")),_xlpm.fol, TRIM(_xlfn.TEXTSPLIT(T83,";")),_xlfn.TEXTJOIN("; ", TRUE, _xlfn._xlws.FILTER(_xlpm.inv, ISNA(MATCH(_xlpm.inv, _xlpm.fol, 0)), ""))
  )
)</f>
        <v>AiiM Partners; Alecla7; At One Ventures; Cognic Capital; Emergence Industries; Endurance28; Gaingels; Good Seed Ventures; JKS Ventures; Joyance Partners; Magic Hour; Rise Together; Seabird Ventures; Samsarik Capital; SOSV; Synergeticl VU enture Partners</v>
      </c>
      <c r="X83" s="16" cm="1">
        <f t="array" ref="X83">IF(W83="","N/A",COUNTA(_xlfn._xlws.FILTER(_xlfn.TEXTSPLIT(W83,";"), _xlfn.TEXTSPLIT(W83,";")&lt;&gt;"")))</f>
        <v>16</v>
      </c>
      <c r="Y83" s="17">
        <f t="shared" si="6"/>
        <v>0.88888888888888884</v>
      </c>
      <c r="Z83" s="4" t="s">
        <v>817</v>
      </c>
      <c r="AA83" s="4" t="s">
        <v>831</v>
      </c>
      <c r="AB83" s="4" t="s">
        <v>856</v>
      </c>
      <c r="AC83" s="4" t="s">
        <v>517</v>
      </c>
    </row>
    <row r="84" spans="1:29" ht="29" x14ac:dyDescent="0.35">
      <c r="A84" s="4">
        <f t="shared" si="7"/>
        <v>82</v>
      </c>
      <c r="B84" s="4" t="s">
        <v>40</v>
      </c>
      <c r="C84" s="4" t="s">
        <v>198</v>
      </c>
      <c r="D84" s="4">
        <v>2017</v>
      </c>
      <c r="E84" s="12" t="s">
        <v>907</v>
      </c>
      <c r="F84" s="4" t="s">
        <v>958</v>
      </c>
      <c r="G84" s="4" t="s">
        <v>1101</v>
      </c>
      <c r="H84" s="4" t="s">
        <v>1102</v>
      </c>
      <c r="I84" s="14">
        <v>14</v>
      </c>
      <c r="J84" s="13">
        <v>44505</v>
      </c>
      <c r="K84" s="25">
        <v>1.1499999999999999</v>
      </c>
      <c r="L84" s="14"/>
      <c r="M84" s="14"/>
      <c r="N84" s="4"/>
      <c r="O84" s="18"/>
      <c r="P84" s="4"/>
      <c r="Q84" s="15" t="str">
        <f t="shared" si="4"/>
        <v>N/A</v>
      </c>
      <c r="R84" s="12" t="s">
        <v>494</v>
      </c>
      <c r="S84" s="16" cm="1">
        <f t="array" ref="S84">IF(R84="",0,COUNTA(_xlfn._xlws.FILTER(_xlfn.TEXTSPLIT(R84,";"), _xlfn.TEXTSPLIT(R84,";")&lt;&gt;"")))</f>
        <v>1</v>
      </c>
      <c r="T84" s="12" t="s">
        <v>494</v>
      </c>
      <c r="U84" s="16" cm="1">
        <f t="array" ref="U84">IF(T84="",0,COUNTA(_xlfn._xlws.FILTER(_xlfn.TEXTSPLIT(T84,";"), _xlfn.TEXTSPLIT(T84,";")&lt;&gt;"")))</f>
        <v>1</v>
      </c>
      <c r="V84" s="17">
        <f t="shared" si="5"/>
        <v>1</v>
      </c>
      <c r="W84" s="12" t="str" cm="1">
        <f t="array" ref="W84">IF(T84="",R84,_xlfn.LET(_xlpm.inv, TRIM(_xlfn.TEXTSPLIT(R84,";")),_xlpm.fol, TRIM(_xlfn.TEXTSPLIT(T84,";")),_xlfn.TEXTJOIN("; ", TRUE, _xlfn._xlws.FILTER(_xlpm.inv, ISNA(MATCH(_xlpm.inv, _xlpm.fol, 0)), ""))
  )
)</f>
        <v/>
      </c>
      <c r="X84" s="16" t="str" cm="1">
        <f t="array" ref="X84">IF(W84="","N/A",COUNTA(_xlfn._xlws.FILTER(_xlfn.TEXTSPLIT(W84,";"), _xlfn.TEXTSPLIT(W84,";")&lt;&gt;"")))</f>
        <v>N/A</v>
      </c>
      <c r="Y84" s="17" t="str">
        <f t="shared" si="6"/>
        <v>N/A</v>
      </c>
      <c r="Z84" s="4" t="s">
        <v>843</v>
      </c>
      <c r="AA84" s="4" t="s">
        <v>823</v>
      </c>
      <c r="AB84" s="4" t="s">
        <v>856</v>
      </c>
      <c r="AC84" s="4" t="s">
        <v>517</v>
      </c>
    </row>
    <row r="85" spans="1:29" ht="29" x14ac:dyDescent="0.35">
      <c r="A85" s="4">
        <f t="shared" si="7"/>
        <v>83</v>
      </c>
      <c r="B85" s="4" t="s">
        <v>262</v>
      </c>
      <c r="C85" s="4" t="s">
        <v>263</v>
      </c>
      <c r="D85" s="4">
        <v>2021</v>
      </c>
      <c r="E85" s="12" t="s">
        <v>900</v>
      </c>
      <c r="F85" s="4" t="s">
        <v>962</v>
      </c>
      <c r="G85" s="4" t="s">
        <v>1103</v>
      </c>
      <c r="H85" s="4"/>
      <c r="I85" s="14">
        <v>3.1</v>
      </c>
      <c r="J85" s="13">
        <v>45961</v>
      </c>
      <c r="K85" s="25"/>
      <c r="L85" s="14">
        <v>3.1</v>
      </c>
      <c r="M85" s="14"/>
      <c r="N85" s="4"/>
      <c r="O85" s="18"/>
      <c r="P85" s="4"/>
      <c r="Q85" s="15">
        <f t="shared" si="4"/>
        <v>0</v>
      </c>
      <c r="R85" s="12"/>
      <c r="S85" s="16" cm="1">
        <f t="array" ref="S85">IF(R85="",0,COUNTA(_xlfn._xlws.FILTER(_xlfn.TEXTSPLIT(R85,";"), _xlfn.TEXTSPLIT(R85,";")&lt;&gt;"")))</f>
        <v>0</v>
      </c>
      <c r="T85" s="12"/>
      <c r="U85" s="16" cm="1">
        <f t="array" ref="U85">IF(T85="",0,COUNTA(_xlfn._xlws.FILTER(_xlfn.TEXTSPLIT(T85,";"), _xlfn.TEXTSPLIT(T85,";")&lt;&gt;"")))</f>
        <v>0</v>
      </c>
      <c r="V85" s="17" t="str">
        <f t="shared" si="5"/>
        <v>N/A</v>
      </c>
      <c r="W85" s="12" cm="1">
        <f t="array" ref="W85">IF(T85="",R85,_xlfn.LET(_xlpm.inv, TRIM(_xlfn.TEXTSPLIT(R85,";")),_xlpm.fol, TRIM(_xlfn.TEXTSPLIT(T85,";")),_xlfn.TEXTJOIN("; ", TRUE, _xlfn._xlws.FILTER(_xlpm.inv, ISNA(MATCH(_xlpm.inv, _xlpm.fol, 0)), ""))
  )
)</f>
        <v>0</v>
      </c>
      <c r="X85" s="16" cm="1">
        <f t="array" ref="X85">IF(W85="","N/A",COUNTA(_xlfn._xlws.FILTER(_xlfn.TEXTSPLIT(W85,";"), _xlfn.TEXTSPLIT(W85,";")&lt;&gt;"")))</f>
        <v>1</v>
      </c>
      <c r="Y85" s="17" t="str">
        <f t="shared" si="6"/>
        <v>N/A</v>
      </c>
      <c r="Z85" s="4" t="s">
        <v>812</v>
      </c>
      <c r="AA85" s="4" t="s">
        <v>813</v>
      </c>
      <c r="AB85" s="4" t="s">
        <v>852</v>
      </c>
      <c r="AC85" s="4" t="s">
        <v>517</v>
      </c>
    </row>
    <row r="86" spans="1:29" x14ac:dyDescent="0.35">
      <c r="A86" s="4">
        <f t="shared" si="7"/>
        <v>84</v>
      </c>
      <c r="B86" s="4" t="s">
        <v>103</v>
      </c>
      <c r="C86" s="4" t="s">
        <v>264</v>
      </c>
      <c r="D86" s="4">
        <v>2009</v>
      </c>
      <c r="E86" s="12" t="s">
        <v>553</v>
      </c>
      <c r="F86" s="4" t="s">
        <v>557</v>
      </c>
      <c r="G86" s="4" t="s">
        <v>1104</v>
      </c>
      <c r="H86" s="4" t="s">
        <v>1105</v>
      </c>
      <c r="I86" s="14">
        <v>337</v>
      </c>
      <c r="J86" s="13">
        <v>42013</v>
      </c>
      <c r="K86" s="25"/>
      <c r="L86" s="14">
        <v>337</v>
      </c>
      <c r="M86" s="14"/>
      <c r="N86" s="4"/>
      <c r="O86" s="18"/>
      <c r="P86" s="4"/>
      <c r="Q86" s="15">
        <f t="shared" si="4"/>
        <v>0</v>
      </c>
      <c r="R86" s="12" t="s">
        <v>636</v>
      </c>
      <c r="S86" s="16" cm="1">
        <f t="array" ref="S86">IF(R86="",0,COUNTA(_xlfn._xlws.FILTER(_xlfn.TEXTSPLIT(R86,";"), _xlfn.TEXTSPLIT(R86,";")&lt;&gt;"")))</f>
        <v>2</v>
      </c>
      <c r="T86" s="12"/>
      <c r="U86" s="16" cm="1">
        <f t="array" ref="U86">IF(T86="",0,COUNTA(_xlfn._xlws.FILTER(_xlfn.TEXTSPLIT(T86,";"), _xlfn.TEXTSPLIT(T86,";")&lt;&gt;"")))</f>
        <v>0</v>
      </c>
      <c r="V86" s="17">
        <f t="shared" si="5"/>
        <v>0</v>
      </c>
      <c r="W86" s="12" t="str" cm="1">
        <f t="array" ref="W86">IF(T86="",R86,_xlfn.LET(_xlpm.inv, TRIM(_xlfn.TEXTSPLIT(R86,";")),_xlpm.fol, TRIM(_xlfn.TEXTSPLIT(T86,";")),_xlfn.TEXTJOIN("; ", TRUE, _xlfn._xlws.FILTER(_xlpm.inv, ISNA(MATCH(_xlpm.inv, _xlpm.fol, 0)), ""))
  )
)</f>
        <v>Oaktree Capital Management; Toyota Tsusho</v>
      </c>
      <c r="X86" s="16" cm="1">
        <f t="array" ref="X86">IF(W86="","N/A",COUNTA(_xlfn._xlws.FILTER(_xlfn.TEXTSPLIT(W86,";"), _xlfn.TEXTSPLIT(W86,";")&lt;&gt;"")))</f>
        <v>2</v>
      </c>
      <c r="Y86" s="17">
        <f t="shared" si="6"/>
        <v>1</v>
      </c>
      <c r="Z86" s="4" t="s">
        <v>815</v>
      </c>
      <c r="AA86" s="4"/>
      <c r="AB86" s="4" t="s">
        <v>822</v>
      </c>
      <c r="AC86" s="4" t="s">
        <v>517</v>
      </c>
    </row>
    <row r="87" spans="1:29" ht="43.5" x14ac:dyDescent="0.35">
      <c r="A87" s="4">
        <f t="shared" si="7"/>
        <v>85</v>
      </c>
      <c r="B87" s="4" t="s">
        <v>41</v>
      </c>
      <c r="C87" s="4" t="s">
        <v>265</v>
      </c>
      <c r="D87" s="4">
        <v>2014</v>
      </c>
      <c r="E87" s="12" t="s">
        <v>921</v>
      </c>
      <c r="F87" s="4" t="s">
        <v>958</v>
      </c>
      <c r="G87" s="4" t="s">
        <v>1106</v>
      </c>
      <c r="H87" s="4" t="s">
        <v>1107</v>
      </c>
      <c r="I87" s="14">
        <v>9.99</v>
      </c>
      <c r="J87" s="13">
        <v>43279</v>
      </c>
      <c r="K87" s="25">
        <v>3.11</v>
      </c>
      <c r="L87" s="14">
        <v>9.89</v>
      </c>
      <c r="M87" s="14">
        <v>38.9</v>
      </c>
      <c r="N87" s="4"/>
      <c r="O87" s="18"/>
      <c r="P87" s="4"/>
      <c r="Q87" s="15">
        <f t="shared" si="4"/>
        <v>0</v>
      </c>
      <c r="R87" s="12" t="s">
        <v>637</v>
      </c>
      <c r="S87" s="16" cm="1">
        <f t="array" ref="S87">IF(R87="",0,COUNTA(_xlfn._xlws.FILTER(_xlfn.TEXTSPLIT(R87,";"), _xlfn.TEXTSPLIT(R87,";")&lt;&gt;"")))</f>
        <v>4</v>
      </c>
      <c r="T87" s="12" t="s">
        <v>598</v>
      </c>
      <c r="U87" s="16" cm="1">
        <f t="array" ref="U87">IF(T87="",0,COUNTA(_xlfn._xlws.FILTER(_xlfn.TEXTSPLIT(T87,";"), _xlfn.TEXTSPLIT(T87,";")&lt;&gt;"")))</f>
        <v>2</v>
      </c>
      <c r="V87" s="17">
        <f t="shared" si="5"/>
        <v>0.5</v>
      </c>
      <c r="W87" s="12" t="str" cm="1">
        <f t="array" ref="W87">IF(T87="",R87,_xlfn.LET(_xlpm.inv, TRIM(_xlfn.TEXTSPLIT(R87,";")),_xlpm.fol, TRIM(_xlfn.TEXTSPLIT(T87,";")),_xlfn.TEXTJOIN("; ", TRUE, _xlfn._xlws.FILTER(_xlpm.inv, ISNA(MATCH(_xlpm.inv, _xlpm.fol, 0)), ""))
  )
)</f>
        <v>Bessemer Venture Partners; Palapa Ventures</v>
      </c>
      <c r="X87" s="16" cm="1">
        <f t="array" ref="X87">IF(W87="","N/A",COUNTA(_xlfn._xlws.FILTER(_xlfn.TEXTSPLIT(W87,";"), _xlfn.TEXTSPLIT(W87,";")&lt;&gt;"")))</f>
        <v>2</v>
      </c>
      <c r="Y87" s="17">
        <f t="shared" si="6"/>
        <v>0.5</v>
      </c>
      <c r="Z87" s="4" t="s">
        <v>817</v>
      </c>
      <c r="AA87" s="4" t="s">
        <v>831</v>
      </c>
      <c r="AB87" s="4" t="s">
        <v>857</v>
      </c>
      <c r="AC87" s="4" t="s">
        <v>517</v>
      </c>
    </row>
    <row r="88" spans="1:29" x14ac:dyDescent="0.35">
      <c r="A88" s="4">
        <f t="shared" si="7"/>
        <v>86</v>
      </c>
      <c r="B88" s="4" t="s">
        <v>266</v>
      </c>
      <c r="C88" s="4" t="s">
        <v>267</v>
      </c>
      <c r="D88" s="4">
        <v>2017</v>
      </c>
      <c r="E88" s="12" t="s">
        <v>897</v>
      </c>
      <c r="F88" s="4" t="s">
        <v>959</v>
      </c>
      <c r="G88" s="4" t="s">
        <v>1108</v>
      </c>
      <c r="H88" s="4" t="s">
        <v>1109</v>
      </c>
      <c r="I88" s="14">
        <v>1433</v>
      </c>
      <c r="J88" s="13">
        <v>45642</v>
      </c>
      <c r="K88" s="25"/>
      <c r="L88" s="14">
        <v>50</v>
      </c>
      <c r="M88" s="14"/>
      <c r="N88" s="4"/>
      <c r="O88" s="18"/>
      <c r="P88" s="4">
        <v>50</v>
      </c>
      <c r="Q88" s="15">
        <f t="shared" si="4"/>
        <v>1</v>
      </c>
      <c r="R88" s="12"/>
      <c r="S88" s="16" cm="1">
        <f t="array" ref="S88">IF(R88="",0,COUNTA(_xlfn._xlws.FILTER(_xlfn.TEXTSPLIT(R88,";"), _xlfn.TEXTSPLIT(R88,";")&lt;&gt;"")))</f>
        <v>0</v>
      </c>
      <c r="T88" s="12"/>
      <c r="U88" s="16" cm="1">
        <f t="array" ref="U88">IF(T88="",0,COUNTA(_xlfn._xlws.FILTER(_xlfn.TEXTSPLIT(T88,";"), _xlfn.TEXTSPLIT(T88,";")&lt;&gt;"")))</f>
        <v>0</v>
      </c>
      <c r="V88" s="17" t="str">
        <f t="shared" si="5"/>
        <v>N/A</v>
      </c>
      <c r="W88" s="12" cm="1">
        <f t="array" ref="W88">IF(T88="",R88,_xlfn.LET(_xlpm.inv, TRIM(_xlfn.TEXTSPLIT(R88,";")),_xlpm.fol, TRIM(_xlfn.TEXTSPLIT(T88,";")),_xlfn.TEXTJOIN("; ", TRUE, _xlfn._xlws.FILTER(_xlpm.inv, ISNA(MATCH(_xlpm.inv, _xlpm.fol, 0)), ""))
  )
)</f>
        <v>0</v>
      </c>
      <c r="X88" s="16" cm="1">
        <f t="array" ref="X88">IF(W88="","N/A",COUNTA(_xlfn._xlws.FILTER(_xlfn.TEXTSPLIT(W88,";"), _xlfn.TEXTSPLIT(W88,";")&lt;&gt;"")))</f>
        <v>1</v>
      </c>
      <c r="Y88" s="17" t="str">
        <f t="shared" si="6"/>
        <v>N/A</v>
      </c>
      <c r="Z88" s="4" t="s">
        <v>858</v>
      </c>
      <c r="AA88" s="4" t="s">
        <v>859</v>
      </c>
      <c r="AB88" s="4" t="s">
        <v>824</v>
      </c>
      <c r="AC88" s="4" t="s">
        <v>517</v>
      </c>
    </row>
    <row r="89" spans="1:29" x14ac:dyDescent="0.35">
      <c r="A89" s="4">
        <f t="shared" si="7"/>
        <v>87</v>
      </c>
      <c r="B89" s="4" t="s">
        <v>104</v>
      </c>
      <c r="C89" s="4" t="s">
        <v>224</v>
      </c>
      <c r="D89" s="4">
        <v>2021</v>
      </c>
      <c r="E89" s="12" t="s">
        <v>922</v>
      </c>
      <c r="F89" s="4" t="s">
        <v>963</v>
      </c>
      <c r="G89" s="4" t="s">
        <v>1110</v>
      </c>
      <c r="H89" s="4" t="s">
        <v>1111</v>
      </c>
      <c r="I89" s="14"/>
      <c r="J89" s="13">
        <v>44470</v>
      </c>
      <c r="K89" s="25"/>
      <c r="L89" s="14"/>
      <c r="M89" s="14"/>
      <c r="N89" s="4"/>
      <c r="O89" s="18"/>
      <c r="P89" s="4"/>
      <c r="Q89" s="15" t="str">
        <f t="shared" si="4"/>
        <v>N/A</v>
      </c>
      <c r="R89" s="12" t="s">
        <v>495</v>
      </c>
      <c r="S89" s="16" cm="1">
        <f t="array" ref="S89">IF(R89="",0,COUNTA(_xlfn._xlws.FILTER(_xlfn.TEXTSPLIT(R89,";"), _xlfn.TEXTSPLIT(R89,";")&lt;&gt;"")))</f>
        <v>1</v>
      </c>
      <c r="T89" s="12"/>
      <c r="U89" s="16" cm="1">
        <f t="array" ref="U89">IF(T89="",0,COUNTA(_xlfn._xlws.FILTER(_xlfn.TEXTSPLIT(T89,";"), _xlfn.TEXTSPLIT(T89,";")&lt;&gt;"")))</f>
        <v>0</v>
      </c>
      <c r="V89" s="17">
        <f t="shared" si="5"/>
        <v>0</v>
      </c>
      <c r="W89" s="12" t="str" cm="1">
        <f t="array" ref="W89">IF(T89="",R89,_xlfn.LET(_xlpm.inv, TRIM(_xlfn.TEXTSPLIT(R89,";")),_xlpm.fol, TRIM(_xlfn.TEXTSPLIT(T89,";")),_xlfn.TEXTJOIN("; ", TRUE, _xlfn._xlws.FILTER(_xlpm.inv, ISNA(MATCH(_xlpm.inv, _xlpm.fol, 0)), ""))
  )
)</f>
        <v xml:space="preserve">Tailwater Capital (Edward Herring) </v>
      </c>
      <c r="X89" s="16" cm="1">
        <f t="array" ref="X89">IF(W89="","N/A",COUNTA(_xlfn._xlws.FILTER(_xlfn.TEXTSPLIT(W89,";"), _xlfn.TEXTSPLIT(W89,";")&lt;&gt;"")))</f>
        <v>1</v>
      </c>
      <c r="Y89" s="17">
        <f t="shared" si="6"/>
        <v>1</v>
      </c>
      <c r="Z89" s="4" t="s">
        <v>815</v>
      </c>
      <c r="AA89" s="4"/>
      <c r="AB89" s="4" t="s">
        <v>825</v>
      </c>
      <c r="AC89" s="4" t="s">
        <v>517</v>
      </c>
    </row>
    <row r="90" spans="1:29" ht="29" x14ac:dyDescent="0.35">
      <c r="A90" s="4">
        <f t="shared" si="7"/>
        <v>88</v>
      </c>
      <c r="B90" s="4" t="s">
        <v>268</v>
      </c>
      <c r="C90" s="4" t="s">
        <v>182</v>
      </c>
      <c r="D90" s="4">
        <v>2014</v>
      </c>
      <c r="E90" s="12" t="s">
        <v>923</v>
      </c>
      <c r="F90" s="4" t="s">
        <v>958</v>
      </c>
      <c r="G90" s="4" t="s">
        <v>1112</v>
      </c>
      <c r="H90" s="4" t="s">
        <v>1113</v>
      </c>
      <c r="I90" s="14">
        <v>2.0499999999999998</v>
      </c>
      <c r="J90" s="13">
        <v>43040</v>
      </c>
      <c r="K90" s="25">
        <v>0.94</v>
      </c>
      <c r="L90" s="14"/>
      <c r="M90" s="14"/>
      <c r="N90" s="4"/>
      <c r="O90" s="18"/>
      <c r="P90" s="4"/>
      <c r="Q90" s="15" t="str">
        <f t="shared" si="4"/>
        <v>N/A</v>
      </c>
      <c r="R90" s="12" t="s">
        <v>496</v>
      </c>
      <c r="S90" s="16" cm="1">
        <f t="array" ref="S90">IF(R90="",0,COUNTA(_xlfn._xlws.FILTER(_xlfn.TEXTSPLIT(R90,";"), _xlfn.TEXTSPLIT(R90,";")&lt;&gt;"")))</f>
        <v>1</v>
      </c>
      <c r="T90" s="12"/>
      <c r="U90" s="16" cm="1">
        <f t="array" ref="U90">IF(T90="",0,COUNTA(_xlfn._xlws.FILTER(_xlfn.TEXTSPLIT(T90,";"), _xlfn.TEXTSPLIT(T90,";")&lt;&gt;"")))</f>
        <v>0</v>
      </c>
      <c r="V90" s="17">
        <f t="shared" si="5"/>
        <v>0</v>
      </c>
      <c r="W90" s="12" t="str" cm="1">
        <f t="array" ref="W90">IF(T90="",R90,_xlfn.LET(_xlpm.inv, TRIM(_xlfn.TEXTSPLIT(R90,";")),_xlpm.fol, TRIM(_xlfn.TEXTSPLIT(T90,";")),_xlfn.TEXTJOIN("; ", TRUE, _xlfn._xlws.FILTER(_xlpm.inv, ISNA(MATCH(_xlpm.inv, _xlpm.fol, 0)), ""))
  )
)</f>
        <v xml:space="preserve">Giant Leap </v>
      </c>
      <c r="X90" s="16" cm="1">
        <f t="array" ref="X90">IF(W90="","N/A",COUNTA(_xlfn._xlws.FILTER(_xlfn.TEXTSPLIT(W90,";"), _xlfn.TEXTSPLIT(W90,";")&lt;&gt;"")))</f>
        <v>1</v>
      </c>
      <c r="Y90" s="17">
        <f t="shared" si="6"/>
        <v>1</v>
      </c>
      <c r="Z90" s="4" t="s">
        <v>817</v>
      </c>
      <c r="AA90" s="4" t="s">
        <v>79</v>
      </c>
      <c r="AB90" s="4" t="s">
        <v>825</v>
      </c>
      <c r="AC90" s="4" t="s">
        <v>517</v>
      </c>
    </row>
    <row r="91" spans="1:29" x14ac:dyDescent="0.35">
      <c r="A91" s="4">
        <f t="shared" si="7"/>
        <v>89</v>
      </c>
      <c r="B91" s="4" t="s">
        <v>541</v>
      </c>
      <c r="C91" s="4" t="s">
        <v>269</v>
      </c>
      <c r="D91" s="4">
        <v>2006</v>
      </c>
      <c r="E91" s="12" t="s">
        <v>553</v>
      </c>
      <c r="F91" s="4" t="s">
        <v>978</v>
      </c>
      <c r="G91" s="4" t="s">
        <v>1114</v>
      </c>
      <c r="H91" s="4" t="s">
        <v>1115</v>
      </c>
      <c r="I91" s="14"/>
      <c r="J91" s="13">
        <v>43465</v>
      </c>
      <c r="K91" s="25"/>
      <c r="L91" s="14"/>
      <c r="M91" s="14"/>
      <c r="N91" s="4"/>
      <c r="O91" s="18"/>
      <c r="P91" s="4"/>
      <c r="Q91" s="15" t="str">
        <f t="shared" si="4"/>
        <v>N/A</v>
      </c>
      <c r="R91" s="12" t="s">
        <v>638</v>
      </c>
      <c r="S91" s="16" cm="1">
        <f t="array" ref="S91">IF(R91="",0,COUNTA(_xlfn._xlws.FILTER(_xlfn.TEXTSPLIT(R91,";"), _xlfn.TEXTSPLIT(R91,";")&lt;&gt;"")))</f>
        <v>1</v>
      </c>
      <c r="T91" s="12"/>
      <c r="U91" s="16" cm="1">
        <f t="array" ref="U91">IF(T91="",0,COUNTA(_xlfn._xlws.FILTER(_xlfn.TEXTSPLIT(T91,";"), _xlfn.TEXTSPLIT(T91,";")&lt;&gt;"")))</f>
        <v>0</v>
      </c>
      <c r="V91" s="17">
        <f t="shared" si="5"/>
        <v>0</v>
      </c>
      <c r="W91" s="12" t="str" cm="1">
        <f t="array" ref="W91">IF(T91="",R91,_xlfn.LET(_xlpm.inv, TRIM(_xlfn.TEXTSPLIT(R91,";")),_xlpm.fol, TRIM(_xlfn.TEXTSPLIT(T91,";")),_xlfn.TEXTJOIN("; ", TRUE, _xlfn._xlws.FILTER(_xlpm.inv, ISNA(MATCH(_xlpm.inv, _xlpm.fol, 0)), ""))
  )
)</f>
        <v>TPG</v>
      </c>
      <c r="X91" s="16" cm="1">
        <f t="array" ref="X91">IF(W91="","N/A",COUNTA(_xlfn._xlws.FILTER(_xlfn.TEXTSPLIT(W91,";"), _xlfn.TEXTSPLIT(W91,";")&lt;&gt;"")))</f>
        <v>1</v>
      </c>
      <c r="Y91" s="17">
        <f t="shared" si="6"/>
        <v>1</v>
      </c>
      <c r="Z91" s="4" t="s">
        <v>815</v>
      </c>
      <c r="AA91" s="4"/>
      <c r="AB91" s="4" t="s">
        <v>860</v>
      </c>
      <c r="AC91" s="4" t="s">
        <v>517</v>
      </c>
    </row>
    <row r="92" spans="1:29" ht="29" x14ac:dyDescent="0.35">
      <c r="A92" s="4">
        <f t="shared" si="7"/>
        <v>90</v>
      </c>
      <c r="B92" s="4" t="s">
        <v>270</v>
      </c>
      <c r="C92" s="4" t="s">
        <v>182</v>
      </c>
      <c r="D92" s="4">
        <v>2017</v>
      </c>
      <c r="E92" s="12" t="s">
        <v>900</v>
      </c>
      <c r="F92" s="4" t="s">
        <v>960</v>
      </c>
      <c r="G92" s="4" t="s">
        <v>1116</v>
      </c>
      <c r="H92" s="4" t="s">
        <v>1117</v>
      </c>
      <c r="I92" s="14">
        <v>19.95</v>
      </c>
      <c r="J92" s="13">
        <v>45015</v>
      </c>
      <c r="K92" s="25"/>
      <c r="L92" s="14">
        <v>9</v>
      </c>
      <c r="M92" s="14">
        <v>120</v>
      </c>
      <c r="N92" s="4" t="s">
        <v>471</v>
      </c>
      <c r="O92" s="18">
        <v>3.83</v>
      </c>
      <c r="P92" s="4"/>
      <c r="Q92" s="15">
        <f t="shared" si="4"/>
        <v>0</v>
      </c>
      <c r="R92" s="12" t="s">
        <v>639</v>
      </c>
      <c r="S92" s="16" cm="1">
        <f t="array" ref="S92">IF(R92="",0,COUNTA(_xlfn._xlws.FILTER(_xlfn.TEXTSPLIT(R92,";"), _xlfn.TEXTSPLIT(R92,";")&lt;&gt;"")))</f>
        <v>8</v>
      </c>
      <c r="T92" s="12"/>
      <c r="U92" s="16" cm="1">
        <f t="array" ref="U92">IF(T92="",0,COUNTA(_xlfn._xlws.FILTER(_xlfn.TEXTSPLIT(T92,";"), _xlfn.TEXTSPLIT(T92,";")&lt;&gt;"")))</f>
        <v>0</v>
      </c>
      <c r="V92" s="17">
        <f t="shared" si="5"/>
        <v>0</v>
      </c>
      <c r="W92" s="12" t="str" cm="1">
        <f t="array" ref="W92">IF(T92="",R92,_xlfn.LET(_xlpm.inv, TRIM(_xlfn.TEXTSPLIT(R92,";")),_xlpm.fol, TRIM(_xlfn.TEXTSPLIT(T92,";")),_xlfn.TEXTJOIN("; ", TRUE, _xlfn._xlws.FILTER(_xlpm.inv, ISNA(MATCH(_xlpm.inv, _xlpm.fol, 0)), ""))
  )
)</f>
        <v xml:space="preserve">5Y Capital; AimTop Ventures; Baidu Ventures; Foothill Ventures; Heda Ventures; Rockets Capital; Yiyuan Capital; Yu Galaxy </v>
      </c>
      <c r="X92" s="16" cm="1">
        <f t="array" ref="X92">IF(W92="","N/A",COUNTA(_xlfn._xlws.FILTER(_xlfn.TEXTSPLIT(W92,";"), _xlfn.TEXTSPLIT(W92,";")&lt;&gt;"")))</f>
        <v>8</v>
      </c>
      <c r="Y92" s="17">
        <f t="shared" si="6"/>
        <v>1</v>
      </c>
      <c r="Z92" s="4" t="s">
        <v>810</v>
      </c>
      <c r="AA92" s="4" t="s">
        <v>820</v>
      </c>
      <c r="AB92" s="4" t="s">
        <v>824</v>
      </c>
      <c r="AC92" s="4" t="s">
        <v>517</v>
      </c>
    </row>
    <row r="93" spans="1:29" ht="29" x14ac:dyDescent="0.35">
      <c r="A93" s="4">
        <f t="shared" si="7"/>
        <v>91</v>
      </c>
      <c r="B93" s="4" t="s">
        <v>106</v>
      </c>
      <c r="C93" s="4" t="s">
        <v>271</v>
      </c>
      <c r="D93" s="4">
        <v>2022</v>
      </c>
      <c r="E93" s="12" t="s">
        <v>924</v>
      </c>
      <c r="F93" s="4" t="s">
        <v>978</v>
      </c>
      <c r="G93" s="4" t="s">
        <v>1118</v>
      </c>
      <c r="H93" s="4" t="s">
        <v>1119</v>
      </c>
      <c r="I93" s="14"/>
      <c r="J93" s="13">
        <v>45170</v>
      </c>
      <c r="K93" s="25"/>
      <c r="L93" s="14"/>
      <c r="M93" s="14"/>
      <c r="N93" s="4"/>
      <c r="O93" s="18"/>
      <c r="P93" s="4"/>
      <c r="Q93" s="15" t="str">
        <f t="shared" si="4"/>
        <v>N/A</v>
      </c>
      <c r="R93" s="12" t="s">
        <v>497</v>
      </c>
      <c r="S93" s="16" cm="1">
        <f t="array" ref="S93">IF(R93="",0,COUNTA(_xlfn._xlws.FILTER(_xlfn.TEXTSPLIT(R93,";"), _xlfn.TEXTSPLIT(R93,";")&lt;&gt;"")))</f>
        <v>1</v>
      </c>
      <c r="T93" s="12"/>
      <c r="U93" s="16" cm="1">
        <f t="array" ref="U93">IF(T93="",0,COUNTA(_xlfn._xlws.FILTER(_xlfn.TEXTSPLIT(T93,";"), _xlfn.TEXTSPLIT(T93,";")&lt;&gt;"")))</f>
        <v>0</v>
      </c>
      <c r="V93" s="17">
        <f t="shared" si="5"/>
        <v>0</v>
      </c>
      <c r="W93" s="12" t="str" cm="1">
        <f t="array" ref="W93">IF(T93="",R93,_xlfn.LET(_xlpm.inv, TRIM(_xlfn.TEXTSPLIT(R93,";")),_xlpm.fol, TRIM(_xlfn.TEXTSPLIT(T93,";")),_xlfn.TEXTJOIN("; ", TRUE, _xlfn._xlws.FILTER(_xlpm.inv, ISNA(MATCH(_xlpm.inv, _xlpm.fol, 0)), ""))
  )
)</f>
        <v xml:space="preserve">Revonence Technologies </v>
      </c>
      <c r="X93" s="16" cm="1">
        <f t="array" ref="X93">IF(W93="","N/A",COUNTA(_xlfn._xlws.FILTER(_xlfn.TEXTSPLIT(W93,";"), _xlfn.TEXTSPLIT(W93,";")&lt;&gt;"")))</f>
        <v>1</v>
      </c>
      <c r="Y93" s="17">
        <f t="shared" si="6"/>
        <v>1</v>
      </c>
      <c r="Z93" s="4" t="s">
        <v>815</v>
      </c>
      <c r="AA93" s="4"/>
      <c r="AB93" s="4" t="s">
        <v>844</v>
      </c>
      <c r="AC93" s="4" t="s">
        <v>517</v>
      </c>
    </row>
    <row r="94" spans="1:29" x14ac:dyDescent="0.35">
      <c r="A94" s="4">
        <f t="shared" si="7"/>
        <v>92</v>
      </c>
      <c r="B94" s="4" t="s">
        <v>107</v>
      </c>
      <c r="C94" s="4" t="s">
        <v>272</v>
      </c>
      <c r="D94" s="4">
        <v>2022</v>
      </c>
      <c r="E94" s="12" t="s">
        <v>273</v>
      </c>
      <c r="F94" s="4" t="s">
        <v>960</v>
      </c>
      <c r="G94" s="4" t="s">
        <v>1120</v>
      </c>
      <c r="H94" s="4" t="s">
        <v>1121</v>
      </c>
      <c r="I94" s="14"/>
      <c r="J94" s="13">
        <v>45106</v>
      </c>
      <c r="K94" s="25"/>
      <c r="L94" s="14"/>
      <c r="M94" s="14"/>
      <c r="N94" s="4"/>
      <c r="O94" s="18"/>
      <c r="P94" s="4"/>
      <c r="Q94" s="15" t="str">
        <f t="shared" si="4"/>
        <v>N/A</v>
      </c>
      <c r="R94" s="12" t="s">
        <v>640</v>
      </c>
      <c r="S94" s="16" cm="1">
        <f t="array" ref="S94">IF(R94="",0,COUNTA(_xlfn._xlws.FILTER(_xlfn.TEXTSPLIT(R94,";"), _xlfn.TEXTSPLIT(R94,";")&lt;&gt;"")))</f>
        <v>3</v>
      </c>
      <c r="T94" s="12"/>
      <c r="U94" s="16" cm="1">
        <f t="array" ref="U94">IF(T94="",0,COUNTA(_xlfn._xlws.FILTER(_xlfn.TEXTSPLIT(T94,";"), _xlfn.TEXTSPLIT(T94,";")&lt;&gt;"")))</f>
        <v>0</v>
      </c>
      <c r="V94" s="17">
        <f t="shared" si="5"/>
        <v>0</v>
      </c>
      <c r="W94" s="12" t="str" cm="1">
        <f t="array" ref="W94">IF(T94="",R94,_xlfn.LET(_xlpm.inv, TRIM(_xlfn.TEXTSPLIT(R94,";")),_xlpm.fol, TRIM(_xlfn.TEXTSPLIT(T94,";")),_xlfn.TEXTJOIN("; ", TRUE, _xlfn._xlws.FILTER(_xlpm.inv, ISNA(MATCH(_xlpm.inv, _xlpm.fol, 0)), ""))
  )
)</f>
        <v xml:space="preserve">Archaea Energy; Coppermine Capital; Saltonstall &amp; Co. </v>
      </c>
      <c r="X94" s="16" cm="1">
        <f t="array" ref="X94">IF(W94="","N/A",COUNTA(_xlfn._xlws.FILTER(_xlfn.TEXTSPLIT(W94,";"), _xlfn.TEXTSPLIT(W94,";")&lt;&gt;"")))</f>
        <v>3</v>
      </c>
      <c r="Y94" s="17">
        <f t="shared" si="6"/>
        <v>1</v>
      </c>
      <c r="Z94" s="4" t="s">
        <v>815</v>
      </c>
      <c r="AA94" s="4"/>
      <c r="AB94" s="4" t="s">
        <v>819</v>
      </c>
      <c r="AC94" s="4" t="s">
        <v>517</v>
      </c>
    </row>
    <row r="95" spans="1:29" ht="72.5" x14ac:dyDescent="0.35">
      <c r="A95" s="4">
        <f t="shared" si="7"/>
        <v>93</v>
      </c>
      <c r="B95" s="4" t="s">
        <v>274</v>
      </c>
      <c r="C95" s="4" t="s">
        <v>275</v>
      </c>
      <c r="D95" s="4">
        <v>2020</v>
      </c>
      <c r="E95" s="12" t="s">
        <v>907</v>
      </c>
      <c r="F95" s="4" t="s">
        <v>963</v>
      </c>
      <c r="G95" s="4" t="s">
        <v>1122</v>
      </c>
      <c r="H95" s="4" t="s">
        <v>1123</v>
      </c>
      <c r="I95" s="14">
        <v>207.6</v>
      </c>
      <c r="J95" s="13">
        <v>45630</v>
      </c>
      <c r="K95" s="25">
        <v>2.89</v>
      </c>
      <c r="L95" s="14">
        <v>150</v>
      </c>
      <c r="M95" s="14">
        <v>650</v>
      </c>
      <c r="N95" s="4" t="s">
        <v>471</v>
      </c>
      <c r="O95" s="18"/>
      <c r="P95" s="4"/>
      <c r="Q95" s="15">
        <f t="shared" si="4"/>
        <v>0</v>
      </c>
      <c r="R95" s="12" t="s">
        <v>642</v>
      </c>
      <c r="S95" s="16" cm="1">
        <f t="array" ref="S95">IF(R95="",0,COUNTA(_xlfn._xlws.FILTER(_xlfn.TEXTSPLIT(R95,";"), _xlfn.TEXTSPLIT(R95,";")&lt;&gt;"")))</f>
        <v>20</v>
      </c>
      <c r="T95" s="12" t="s">
        <v>641</v>
      </c>
      <c r="U95" s="16" cm="1">
        <f t="array" ref="U95">IF(T95="",0,COUNTA(_xlfn._xlws.FILTER(_xlfn.TEXTSPLIT(T95,";"), _xlfn.TEXTSPLIT(T95,";")&lt;&gt;"")))</f>
        <v>7</v>
      </c>
      <c r="V95" s="17">
        <f t="shared" si="5"/>
        <v>0.35</v>
      </c>
      <c r="W95" s="12" t="str" cm="1">
        <f t="array" ref="W95">IF(T95="",R95,_xlfn.LET(_xlpm.inv, TRIM(_xlfn.TEXTSPLIT(R95,";")),_xlpm.fol, TRIM(_xlfn.TEXTSPLIT(T95,";")),_xlfn.TEXTJOIN("; ", TRUE, _xlfn._xlws.FILTER(_xlpm.inv, ISNA(MATCH(_xlpm.inv, _xlpm.fol, 0)), ""))
  )
)</f>
        <v>Lowercarbon Capital; Future Positive Capital; Japan Airlines Company; Mitsubishi Corporation; Mitsui &amp; Company; United Airlines Ventures; H&amp;M Group Ventures; Pledge Ventures; Chiyoda; Development Bank of Japan; Ahren Innovation Capital; Floating Point; Quantum Innovation Fund; The Grantham Foundation; Siemens Financial Services</v>
      </c>
      <c r="X95" s="16" cm="1">
        <f t="array" ref="X95">IF(W95="","N/A",COUNTA(_xlfn._xlws.FILTER(_xlfn.TEXTSPLIT(W95,";"), _xlfn.TEXTSPLIT(W95,";")&lt;&gt;"")))</f>
        <v>15</v>
      </c>
      <c r="Y95" s="17">
        <f t="shared" si="6"/>
        <v>0.75</v>
      </c>
      <c r="Z95" s="4" t="s">
        <v>817</v>
      </c>
      <c r="AA95" s="4" t="s">
        <v>823</v>
      </c>
      <c r="AB95" s="4" t="s">
        <v>825</v>
      </c>
      <c r="AC95" s="4" t="s">
        <v>517</v>
      </c>
    </row>
    <row r="96" spans="1:29" x14ac:dyDescent="0.35">
      <c r="A96" s="4">
        <f t="shared" si="7"/>
        <v>94</v>
      </c>
      <c r="B96" s="4" t="s">
        <v>276</v>
      </c>
      <c r="C96" s="4" t="s">
        <v>224</v>
      </c>
      <c r="D96" s="4">
        <v>2012</v>
      </c>
      <c r="E96" s="12" t="s">
        <v>897</v>
      </c>
      <c r="F96" s="4" t="s">
        <v>557</v>
      </c>
      <c r="G96" s="4" t="s">
        <v>1124</v>
      </c>
      <c r="H96" s="4" t="s">
        <v>1125</v>
      </c>
      <c r="I96" s="14">
        <v>4.8099999999999996</v>
      </c>
      <c r="J96" s="13">
        <v>44270</v>
      </c>
      <c r="K96" s="25"/>
      <c r="L96" s="14">
        <v>4.0999999999999996</v>
      </c>
      <c r="M96" s="14"/>
      <c r="N96" s="4"/>
      <c r="O96" s="18"/>
      <c r="P96" s="4"/>
      <c r="Q96" s="15">
        <f t="shared" si="4"/>
        <v>0</v>
      </c>
      <c r="R96" s="12"/>
      <c r="S96" s="16" cm="1">
        <f t="array" ref="S96">IF(R96="",0,COUNTA(_xlfn._xlws.FILTER(_xlfn.TEXTSPLIT(R96,";"), _xlfn.TEXTSPLIT(R96,";")&lt;&gt;"")))</f>
        <v>0</v>
      </c>
      <c r="T96" s="12"/>
      <c r="U96" s="16" cm="1">
        <f t="array" ref="U96">IF(T96="",0,COUNTA(_xlfn._xlws.FILTER(_xlfn.TEXTSPLIT(T96,";"), _xlfn.TEXTSPLIT(T96,";")&lt;&gt;"")))</f>
        <v>0</v>
      </c>
      <c r="V96" s="17" t="str">
        <f t="shared" si="5"/>
        <v>N/A</v>
      </c>
      <c r="W96" s="12" cm="1">
        <f t="array" ref="W96">IF(T96="",R96,_xlfn.LET(_xlpm.inv, TRIM(_xlfn.TEXTSPLIT(R96,";")),_xlpm.fol, TRIM(_xlfn.TEXTSPLIT(T96,";")),_xlfn.TEXTJOIN("; ", TRUE, _xlfn._xlws.FILTER(_xlpm.inv, ISNA(MATCH(_xlpm.inv, _xlpm.fol, 0)), ""))
  )
)</f>
        <v>0</v>
      </c>
      <c r="X96" s="16" cm="1">
        <f t="array" ref="X96">IF(W96="","N/A",COUNTA(_xlfn._xlws.FILTER(_xlfn.TEXTSPLIT(W96,";"), _xlfn.TEXTSPLIT(W96,";")&lt;&gt;"")))</f>
        <v>1</v>
      </c>
      <c r="Y96" s="17" t="str">
        <f t="shared" si="6"/>
        <v>N/A</v>
      </c>
      <c r="Z96" s="4" t="s">
        <v>810</v>
      </c>
      <c r="AA96" s="4" t="s">
        <v>831</v>
      </c>
      <c r="AB96" s="4" t="s">
        <v>811</v>
      </c>
      <c r="AC96" s="4" t="s">
        <v>517</v>
      </c>
    </row>
    <row r="97" spans="1:29" x14ac:dyDescent="0.35">
      <c r="A97" s="4">
        <f t="shared" si="7"/>
        <v>95</v>
      </c>
      <c r="B97" s="4" t="s">
        <v>276</v>
      </c>
      <c r="C97" s="4" t="s">
        <v>224</v>
      </c>
      <c r="D97" s="4">
        <v>2012</v>
      </c>
      <c r="E97" s="12" t="s">
        <v>897</v>
      </c>
      <c r="F97" s="4" t="s">
        <v>557</v>
      </c>
      <c r="G97" s="4" t="s">
        <v>1124</v>
      </c>
      <c r="H97" s="4" t="s">
        <v>1125</v>
      </c>
      <c r="I97" s="14">
        <v>8.51</v>
      </c>
      <c r="J97" s="13">
        <v>44561</v>
      </c>
      <c r="K97" s="25">
        <v>0.8</v>
      </c>
      <c r="L97" s="14">
        <v>3.7</v>
      </c>
      <c r="M97" s="14">
        <v>22.9</v>
      </c>
      <c r="N97" s="4"/>
      <c r="O97" s="18"/>
      <c r="P97" s="4"/>
      <c r="Q97" s="15">
        <f t="shared" si="4"/>
        <v>0</v>
      </c>
      <c r="R97" s="12"/>
      <c r="S97" s="16" cm="1">
        <f t="array" ref="S97">IF(R97="",0,COUNTA(_xlfn._xlws.FILTER(_xlfn.TEXTSPLIT(R97,";"), _xlfn.TEXTSPLIT(R97,";")&lt;&gt;"")))</f>
        <v>0</v>
      </c>
      <c r="T97" s="12"/>
      <c r="U97" s="16" cm="1">
        <f t="array" ref="U97">IF(T97="",0,COUNTA(_xlfn._xlws.FILTER(_xlfn.TEXTSPLIT(T97,";"), _xlfn.TEXTSPLIT(T97,";")&lt;&gt;"")))</f>
        <v>0</v>
      </c>
      <c r="V97" s="17" t="str">
        <f t="shared" si="5"/>
        <v>N/A</v>
      </c>
      <c r="W97" s="12" cm="1">
        <f t="array" ref="W97">IF(T97="",R97,_xlfn.LET(_xlpm.inv, TRIM(_xlfn.TEXTSPLIT(R97,";")),_xlpm.fol, TRIM(_xlfn.TEXTSPLIT(T97,";")),_xlfn.TEXTJOIN("; ", TRUE, _xlfn._xlws.FILTER(_xlpm.inv, ISNA(MATCH(_xlpm.inv, _xlpm.fol, 0)), ""))
  )
)</f>
        <v>0</v>
      </c>
      <c r="X97" s="16" cm="1">
        <f t="array" ref="X97">IF(W97="","N/A",COUNTA(_xlfn._xlws.FILTER(_xlfn.TEXTSPLIT(W97,";"), _xlfn.TEXTSPLIT(W97,";")&lt;&gt;"")))</f>
        <v>1</v>
      </c>
      <c r="Y97" s="17" t="str">
        <f t="shared" si="6"/>
        <v>N/A</v>
      </c>
      <c r="Z97" s="4" t="s">
        <v>810</v>
      </c>
      <c r="AA97" s="4" t="s">
        <v>830</v>
      </c>
      <c r="AB97" s="4" t="s">
        <v>811</v>
      </c>
      <c r="AC97" s="4" t="s">
        <v>517</v>
      </c>
    </row>
    <row r="98" spans="1:29" x14ac:dyDescent="0.35">
      <c r="A98" s="4">
        <f t="shared" si="7"/>
        <v>96</v>
      </c>
      <c r="B98" s="4" t="s">
        <v>276</v>
      </c>
      <c r="C98" s="4" t="s">
        <v>224</v>
      </c>
      <c r="D98" s="4">
        <v>2012</v>
      </c>
      <c r="E98" s="12" t="s">
        <v>897</v>
      </c>
      <c r="F98" s="4" t="s">
        <v>557</v>
      </c>
      <c r="G98" s="4" t="s">
        <v>1124</v>
      </c>
      <c r="H98" s="4" t="s">
        <v>1125</v>
      </c>
      <c r="I98" s="14">
        <v>9.09</v>
      </c>
      <c r="J98" s="13">
        <v>44673</v>
      </c>
      <c r="K98" s="25">
        <v>0.31</v>
      </c>
      <c r="L98" s="14">
        <v>0.57999999999999996</v>
      </c>
      <c r="M98" s="14">
        <v>19.78</v>
      </c>
      <c r="N98" s="4" t="s">
        <v>474</v>
      </c>
      <c r="O98" s="18">
        <v>0.84</v>
      </c>
      <c r="P98" s="4"/>
      <c r="Q98" s="15">
        <f t="shared" si="4"/>
        <v>0</v>
      </c>
      <c r="R98" s="12" t="s">
        <v>488</v>
      </c>
      <c r="S98" s="16" cm="1">
        <f t="array" ref="S98">IF(R98="",0,COUNTA(_xlfn._xlws.FILTER(_xlfn.TEXTSPLIT(R98,";"), _xlfn.TEXTSPLIT(R98,";")&lt;&gt;"")))</f>
        <v>1</v>
      </c>
      <c r="T98" s="12"/>
      <c r="U98" s="16" cm="1">
        <f t="array" ref="U98">IF(T98="",0,COUNTA(_xlfn._xlws.FILTER(_xlfn.TEXTSPLIT(T98,";"), _xlfn.TEXTSPLIT(T98,";")&lt;&gt;"")))</f>
        <v>0</v>
      </c>
      <c r="V98" s="17">
        <f t="shared" si="5"/>
        <v>0</v>
      </c>
      <c r="W98" s="12" t="str" cm="1">
        <f t="array" ref="W98">IF(T98="",R98,_xlfn.LET(_xlpm.inv, TRIM(_xlfn.TEXTSPLIT(R98,";")),_xlpm.fol, TRIM(_xlfn.TEXTSPLIT(T98,";")),_xlfn.TEXTJOIN("; ", TRUE, _xlfn._xlws.FILTER(_xlpm.inv, ISNA(MATCH(_xlpm.inv, _xlpm.fol, 0)), ""))
  )
)</f>
        <v>Sana Sano Capital</v>
      </c>
      <c r="X98" s="16" cm="1">
        <f t="array" ref="X98">IF(W98="","N/A",COUNTA(_xlfn._xlws.FILTER(_xlfn.TEXTSPLIT(W98,";"), _xlfn.TEXTSPLIT(W98,";")&lt;&gt;"")))</f>
        <v>1</v>
      </c>
      <c r="Y98" s="17">
        <f t="shared" si="6"/>
        <v>1</v>
      </c>
      <c r="Z98" s="4" t="s">
        <v>810</v>
      </c>
      <c r="AA98" s="4" t="s">
        <v>823</v>
      </c>
      <c r="AB98" s="4" t="s">
        <v>811</v>
      </c>
      <c r="AC98" s="4" t="s">
        <v>517</v>
      </c>
    </row>
    <row r="99" spans="1:29" x14ac:dyDescent="0.35">
      <c r="A99" s="4">
        <f t="shared" si="7"/>
        <v>97</v>
      </c>
      <c r="B99" s="4" t="s">
        <v>277</v>
      </c>
      <c r="C99" s="4" t="s">
        <v>278</v>
      </c>
      <c r="D99" s="4">
        <v>2018</v>
      </c>
      <c r="E99" s="12" t="s">
        <v>553</v>
      </c>
      <c r="F99" s="4" t="s">
        <v>960</v>
      </c>
      <c r="G99" s="4" t="s">
        <v>1126</v>
      </c>
      <c r="H99" s="4" t="s">
        <v>1127</v>
      </c>
      <c r="I99" s="14">
        <v>3.79</v>
      </c>
      <c r="J99" s="13">
        <v>44249</v>
      </c>
      <c r="K99" s="25"/>
      <c r="L99" s="14">
        <v>1</v>
      </c>
      <c r="M99" s="14">
        <v>14</v>
      </c>
      <c r="N99" s="4" t="s">
        <v>471</v>
      </c>
      <c r="O99" s="18"/>
      <c r="P99" s="4"/>
      <c r="Q99" s="15">
        <f t="shared" si="4"/>
        <v>0</v>
      </c>
      <c r="R99" s="12" t="s">
        <v>489</v>
      </c>
      <c r="S99" s="16" cm="1">
        <f t="array" ref="S99">IF(R99="",0,COUNTA(_xlfn._xlws.FILTER(_xlfn.TEXTSPLIT(R99,";"), _xlfn.TEXTSPLIT(R99,";")&lt;&gt;"")))</f>
        <v>1</v>
      </c>
      <c r="T99" s="12" t="s">
        <v>489</v>
      </c>
      <c r="U99" s="16" cm="1">
        <f t="array" ref="U99">IF(T99="",0,COUNTA(_xlfn._xlws.FILTER(_xlfn.TEXTSPLIT(T99,";"), _xlfn.TEXTSPLIT(T99,";")&lt;&gt;"")))</f>
        <v>1</v>
      </c>
      <c r="V99" s="17">
        <f t="shared" si="5"/>
        <v>1</v>
      </c>
      <c r="W99" s="12" t="str" cm="1">
        <f t="array" ref="W99">IF(T99="",R99,_xlfn.LET(_xlpm.inv, TRIM(_xlfn.TEXTSPLIT(R99,";")),_xlpm.fol, TRIM(_xlfn.TEXTSPLIT(T99,";")),_xlfn.TEXTJOIN("; ", TRUE, _xlfn._xlws.FILTER(_xlpm.inv, ISNA(MATCH(_xlpm.inv, _xlpm.fol, 0)), ""))
  )
)</f>
        <v/>
      </c>
      <c r="X99" s="16" t="str" cm="1">
        <f t="array" ref="X99">IF(W99="","N/A",COUNTA(_xlfn._xlws.FILTER(_xlfn.TEXTSPLIT(W99,";"), _xlfn.TEXTSPLIT(W99,";")&lt;&gt;"")))</f>
        <v>N/A</v>
      </c>
      <c r="Y99" s="17" t="str">
        <f t="shared" si="6"/>
        <v>N/A</v>
      </c>
      <c r="Z99" s="4" t="s">
        <v>843</v>
      </c>
      <c r="AA99" s="4" t="s">
        <v>831</v>
      </c>
      <c r="AB99" s="4" t="s">
        <v>862</v>
      </c>
      <c r="AC99" s="4" t="s">
        <v>517</v>
      </c>
    </row>
    <row r="100" spans="1:29" x14ac:dyDescent="0.35">
      <c r="A100" s="4">
        <f t="shared" si="7"/>
        <v>98</v>
      </c>
      <c r="B100" s="4" t="s">
        <v>279</v>
      </c>
      <c r="C100" s="4" t="s">
        <v>280</v>
      </c>
      <c r="D100" s="4">
        <v>2014</v>
      </c>
      <c r="E100" s="12" t="s">
        <v>925</v>
      </c>
      <c r="F100" s="4" t="s">
        <v>960</v>
      </c>
      <c r="G100" s="4" t="s">
        <v>1128</v>
      </c>
      <c r="H100" s="4" t="s">
        <v>1129</v>
      </c>
      <c r="I100" s="14">
        <v>27.39</v>
      </c>
      <c r="J100" s="13">
        <v>44949</v>
      </c>
      <c r="K100" s="25">
        <v>2.54</v>
      </c>
      <c r="L100" s="14">
        <v>0.55000000000000004</v>
      </c>
      <c r="M100" s="14"/>
      <c r="N100" s="4"/>
      <c r="O100" s="18"/>
      <c r="P100" s="14"/>
      <c r="Q100" s="15">
        <f t="shared" si="4"/>
        <v>0</v>
      </c>
      <c r="R100" s="12" t="s">
        <v>524</v>
      </c>
      <c r="S100" s="16" cm="1">
        <f t="array" ref="S100">IF(R100="",0,COUNTA(_xlfn._xlws.FILTER(_xlfn.TEXTSPLIT(R100,";"), _xlfn.TEXTSPLIT(R100,";")&lt;&gt;"")))</f>
        <v>3</v>
      </c>
      <c r="T100" s="12" t="s">
        <v>582</v>
      </c>
      <c r="U100" s="16" cm="1">
        <f t="array" ref="U100">IF(T100="",0,COUNTA(_xlfn._xlws.FILTER(_xlfn.TEXTSPLIT(T100,";"), _xlfn.TEXTSPLIT(T100,";")&lt;&gt;"")))</f>
        <v>1</v>
      </c>
      <c r="V100" s="17">
        <f t="shared" si="5"/>
        <v>0.33333333333333331</v>
      </c>
      <c r="W100" s="12" t="str" cm="1">
        <f t="array" ref="W100">IF(T100="",R100,_xlfn.LET(_xlpm.inv, TRIM(_xlfn.TEXTSPLIT(R100,";")),_xlpm.fol, TRIM(_xlfn.TEXTSPLIT(T100,";")),_xlfn.TEXTJOIN("; ", TRUE, _xlfn._xlws.FILTER(_xlpm.inv, ISNA(MATCH(_xlpm.inv, _xlpm.fol, 0)), ""))
  )
)</f>
        <v>Checkmate Capital; Milkbox Partners</v>
      </c>
      <c r="X100" s="16" cm="1">
        <f t="array" ref="X100">IF(W100="","N/A",COUNTA(_xlfn._xlws.FILTER(_xlfn.TEXTSPLIT(W100,";"), _xlfn.TEXTSPLIT(W100,";")&lt;&gt;"")))</f>
        <v>2</v>
      </c>
      <c r="Y100" s="17">
        <f t="shared" si="6"/>
        <v>0.66666666666666663</v>
      </c>
      <c r="Z100" s="4" t="s">
        <v>810</v>
      </c>
      <c r="AA100" s="4" t="s">
        <v>823</v>
      </c>
      <c r="AB100" s="4" t="s">
        <v>861</v>
      </c>
      <c r="AC100" s="4" t="s">
        <v>517</v>
      </c>
    </row>
    <row r="101" spans="1:29" ht="116" x14ac:dyDescent="0.35">
      <c r="A101" s="4">
        <f t="shared" si="7"/>
        <v>99</v>
      </c>
      <c r="B101" s="4" t="s">
        <v>281</v>
      </c>
      <c r="C101" s="4" t="s">
        <v>282</v>
      </c>
      <c r="D101" s="4">
        <v>2011</v>
      </c>
      <c r="E101" s="12" t="s">
        <v>902</v>
      </c>
      <c r="F101" s="4" t="s">
        <v>958</v>
      </c>
      <c r="G101" s="4" t="s">
        <v>1130</v>
      </c>
      <c r="H101" s="4" t="s">
        <v>1131</v>
      </c>
      <c r="I101" s="14">
        <v>807</v>
      </c>
      <c r="J101" s="13">
        <v>43599</v>
      </c>
      <c r="K101" s="25">
        <v>1.1100000000000001</v>
      </c>
      <c r="L101" s="14">
        <v>300</v>
      </c>
      <c r="M101" s="14">
        <v>1000</v>
      </c>
      <c r="N101" s="4"/>
      <c r="O101" s="18"/>
      <c r="P101" s="14"/>
      <c r="Q101" s="15">
        <f t="shared" si="4"/>
        <v>0</v>
      </c>
      <c r="R101" s="12" t="s">
        <v>643</v>
      </c>
      <c r="S101" s="16" cm="1">
        <f t="array" ref="S101">IF(R101="",0,COUNTA(_xlfn._xlws.FILTER(_xlfn.TEXTSPLIT(R101,";"), _xlfn.TEXTSPLIT(R101,";")&lt;&gt;"")))</f>
        <v>43</v>
      </c>
      <c r="T101" s="12" t="s">
        <v>583</v>
      </c>
      <c r="U101" s="16" cm="1">
        <f t="array" ref="U101">IF(T101="",0,COUNTA(_xlfn._xlws.FILTER(_xlfn.TEXTSPLIT(T101,";"), _xlfn.TEXTSPLIT(T101,";")&lt;&gt;"")))</f>
        <v>11</v>
      </c>
      <c r="V101" s="17">
        <f t="shared" si="5"/>
        <v>0.2558139534883721</v>
      </c>
      <c r="W101" s="12" t="str" cm="1">
        <f t="array" ref="W101">IF(T101="",R101,_xlfn.LET(_xlpm.inv, TRIM(_xlfn.TEXTSPLIT(R101,";")),_xlpm.fol, TRIM(_xlfn.TEXTSPLIT(T101,";")),_xlfn.TEXTJOIN("; ", TRUE, _xlfn._xlws.FILTER(_xlpm.inv, ISNA(MATCH(_xlpm.inv, _xlpm.fol, 0)), ""))
  )
)</f>
        <v>Xandex Ventures; Conti Ventures; Neman Ventures; Lenox Partners; Ericsenz Capital; G Squared; CPT Capital; Five Seasons Ventures; Proioxis Ventures; Ben Jen Holdings; K2 Global; Pario Ventures; Mirae Asset Venture Investment; Bracket Capital; Toy Ventures; London Impact Ventures; Purav Patel; Christian Herrera; Katy Perry; Jaden Smith; Julien Machot; Taslimm Quraishi; Vikas Sabnani; Randy Almaguer; Serena Williams; Jay Brown; Shawn Carter; Alexis Ohanian; The Spaventa Group; Bridge Capital Holding; Buttonwood Group Advisors; Verso Holdings</v>
      </c>
      <c r="X101" s="16" cm="1">
        <f t="array" ref="X101">IF(W101="","N/A",COUNTA(_xlfn._xlws.FILTER(_xlfn.TEXTSPLIT(W101,";"), _xlfn.TEXTSPLIT(W101,";")&lt;&gt;"")))</f>
        <v>32</v>
      </c>
      <c r="Y101" s="17">
        <f t="shared" si="6"/>
        <v>0.7441860465116279</v>
      </c>
      <c r="Z101" s="4" t="s">
        <v>810</v>
      </c>
      <c r="AA101" s="4" t="s">
        <v>863</v>
      </c>
      <c r="AB101" s="4" t="s">
        <v>821</v>
      </c>
      <c r="AC101" s="4" t="s">
        <v>517</v>
      </c>
    </row>
    <row r="102" spans="1:29" x14ac:dyDescent="0.35">
      <c r="A102" s="4">
        <f>A101+1</f>
        <v>100</v>
      </c>
      <c r="B102" s="4" t="s">
        <v>283</v>
      </c>
      <c r="C102" s="4" t="s">
        <v>284</v>
      </c>
      <c r="D102" s="4">
        <v>2017</v>
      </c>
      <c r="E102" s="12" t="s">
        <v>897</v>
      </c>
      <c r="F102" s="4" t="s">
        <v>978</v>
      </c>
      <c r="G102" s="4" t="s">
        <v>1132</v>
      </c>
      <c r="H102" s="4" t="s">
        <v>1133</v>
      </c>
      <c r="I102" s="14">
        <v>7</v>
      </c>
      <c r="J102" s="13">
        <v>44517</v>
      </c>
      <c r="K102" s="25"/>
      <c r="L102" s="14">
        <v>7</v>
      </c>
      <c r="M102" s="14">
        <v>35</v>
      </c>
      <c r="N102" s="4"/>
      <c r="O102" s="18"/>
      <c r="P102" s="14"/>
      <c r="Q102" s="15">
        <f t="shared" si="4"/>
        <v>0</v>
      </c>
      <c r="R102" s="12" t="s">
        <v>525</v>
      </c>
      <c r="S102" s="16" cm="1">
        <f t="array" ref="S102">IF(R102="",0,COUNTA(_xlfn._xlws.FILTER(_xlfn.TEXTSPLIT(R102,";"), _xlfn.TEXTSPLIT(R102,";")&lt;&gt;"")))</f>
        <v>2</v>
      </c>
      <c r="T102" s="12"/>
      <c r="U102" s="16" cm="1">
        <f t="array" ref="U102">IF(T102="",0,COUNTA(_xlfn._xlws.FILTER(_xlfn.TEXTSPLIT(T102,";"), _xlfn.TEXTSPLIT(T102,";")&lt;&gt;"")))</f>
        <v>0</v>
      </c>
      <c r="V102" s="17">
        <f t="shared" si="5"/>
        <v>0</v>
      </c>
      <c r="W102" s="12" t="str" cm="1">
        <f t="array" ref="W102">IF(T102="",R102,_xlfn.LET(_xlpm.inv, TRIM(_xlfn.TEXTSPLIT(R102,";")),_xlpm.fol, TRIM(_xlfn.TEXTSPLIT(T102,";")),_xlfn.TEXTJOIN("; ", TRUE, _xlfn._xlws.FILTER(_xlpm.inv, ISNA(MATCH(_xlpm.inv, _xlpm.fol, 0)), ""))
  )
)</f>
        <v>Hivers &amp; Strivers (Rachel Hobert); Smart City' Works - Infrastructure Actuator</v>
      </c>
      <c r="X102" s="16" cm="1">
        <f t="array" ref="X102">IF(W102="","N/A",COUNTA(_xlfn._xlws.FILTER(_xlfn.TEXTSPLIT(W102,";"), _xlfn.TEXTSPLIT(W102,";")&lt;&gt;"")))</f>
        <v>2</v>
      </c>
      <c r="Y102" s="17">
        <f t="shared" si="6"/>
        <v>1</v>
      </c>
      <c r="Z102" s="4" t="s">
        <v>812</v>
      </c>
      <c r="AA102" s="4" t="s">
        <v>813</v>
      </c>
      <c r="AB102" s="4" t="s">
        <v>816</v>
      </c>
      <c r="AC102" s="4" t="s">
        <v>517</v>
      </c>
    </row>
    <row r="103" spans="1:29" ht="29" x14ac:dyDescent="0.35">
      <c r="A103" s="4">
        <f t="shared" si="7"/>
        <v>101</v>
      </c>
      <c r="B103" s="4" t="s">
        <v>285</v>
      </c>
      <c r="C103" s="4" t="s">
        <v>286</v>
      </c>
      <c r="D103" s="4">
        <v>2010</v>
      </c>
      <c r="E103" s="12" t="s">
        <v>926</v>
      </c>
      <c r="F103" s="4" t="s">
        <v>961</v>
      </c>
      <c r="G103" s="4" t="s">
        <v>1134</v>
      </c>
      <c r="H103" s="4" t="s">
        <v>1135</v>
      </c>
      <c r="I103" s="14">
        <v>90.16</v>
      </c>
      <c r="J103" s="13">
        <v>44340</v>
      </c>
      <c r="K103" s="25">
        <v>4.2</v>
      </c>
      <c r="L103" s="14">
        <v>14.3</v>
      </c>
      <c r="M103" s="14">
        <v>47</v>
      </c>
      <c r="N103" s="4" t="s">
        <v>474</v>
      </c>
      <c r="O103" s="18">
        <v>0.13</v>
      </c>
      <c r="P103" s="14"/>
      <c r="Q103" s="15">
        <f t="shared" si="4"/>
        <v>0</v>
      </c>
      <c r="R103" s="12" t="s">
        <v>644</v>
      </c>
      <c r="S103" s="16" cm="1">
        <f t="array" ref="S103">IF(R103="",0,COUNTA(_xlfn._xlws.FILTER(_xlfn.TEXTSPLIT(R103,";"), _xlfn.TEXTSPLIT(R103,";")&lt;&gt;"")))</f>
        <v>2</v>
      </c>
      <c r="T103" s="12"/>
      <c r="U103" s="16" cm="1">
        <f t="array" ref="U103">IF(T103="",0,COUNTA(_xlfn._xlws.FILTER(_xlfn.TEXTSPLIT(T103,";"), _xlfn.TEXTSPLIT(T103,";")&lt;&gt;"")))</f>
        <v>0</v>
      </c>
      <c r="V103" s="17">
        <f t="shared" si="5"/>
        <v>0</v>
      </c>
      <c r="W103" s="12" t="str" cm="1">
        <f t="array" ref="W103">IF(T103="",R103,_xlfn.LET(_xlpm.inv, TRIM(_xlfn.TEXTSPLIT(R103,";")),_xlpm.fol, TRIM(_xlfn.TEXTSPLIT(T103,";")),_xlfn.TEXTJOIN("; ", TRUE, _xlfn._xlws.FILTER(_xlpm.inv, ISNA(MATCH(_xlpm.inv, _xlpm.fol, 0)), ""))
  )
)</f>
        <v>FM Capital; PBJ Capital</v>
      </c>
      <c r="X103" s="16" cm="1">
        <f t="array" ref="X103">IF(W103="","N/A",COUNTA(_xlfn._xlws.FILTER(_xlfn.TEXTSPLIT(W103,";"), _xlfn.TEXTSPLIT(W103,";")&lt;&gt;"")))</f>
        <v>2</v>
      </c>
      <c r="Y103" s="17">
        <f t="shared" si="6"/>
        <v>1</v>
      </c>
      <c r="Z103" s="4" t="s">
        <v>810</v>
      </c>
      <c r="AA103" s="4" t="s">
        <v>864</v>
      </c>
      <c r="AB103" s="4" t="s">
        <v>849</v>
      </c>
      <c r="AC103" s="4" t="s">
        <v>517</v>
      </c>
    </row>
    <row r="104" spans="1:29" ht="29" x14ac:dyDescent="0.35">
      <c r="A104" s="4">
        <f t="shared" si="7"/>
        <v>102</v>
      </c>
      <c r="B104" s="4" t="s">
        <v>285</v>
      </c>
      <c r="C104" s="4" t="s">
        <v>286</v>
      </c>
      <c r="D104" s="4">
        <v>2010</v>
      </c>
      <c r="E104" s="12" t="s">
        <v>927</v>
      </c>
      <c r="F104" s="4" t="s">
        <v>961</v>
      </c>
      <c r="G104" s="4" t="s">
        <v>1134</v>
      </c>
      <c r="H104" s="4" t="s">
        <v>1135</v>
      </c>
      <c r="I104" s="14">
        <v>109.04</v>
      </c>
      <c r="J104" s="13">
        <v>45224</v>
      </c>
      <c r="K104" s="25">
        <v>2.42</v>
      </c>
      <c r="L104" s="14">
        <v>18.88</v>
      </c>
      <c r="M104" s="14">
        <v>300</v>
      </c>
      <c r="N104" s="4" t="s">
        <v>471</v>
      </c>
      <c r="O104" s="18">
        <v>5.98</v>
      </c>
      <c r="P104" s="14"/>
      <c r="Q104" s="15">
        <f t="shared" si="4"/>
        <v>0</v>
      </c>
      <c r="R104" s="12" t="s">
        <v>645</v>
      </c>
      <c r="S104" s="16" cm="1">
        <f t="array" ref="S104">IF(R104="",0,COUNTA(_xlfn._xlws.FILTER(_xlfn.TEXTSPLIT(R104,";"), _xlfn.TEXTSPLIT(R104,";")&lt;&gt;"")))</f>
        <v>2</v>
      </c>
      <c r="T104" s="12"/>
      <c r="U104" s="16" cm="1">
        <f t="array" ref="U104">IF(T104="",0,COUNTA(_xlfn._xlws.FILTER(_xlfn.TEXTSPLIT(T104,";"), _xlfn.TEXTSPLIT(T104,";")&lt;&gt;"")))</f>
        <v>0</v>
      </c>
      <c r="V104" s="17">
        <f t="shared" si="5"/>
        <v>0</v>
      </c>
      <c r="W104" s="12" t="str" cm="1">
        <f t="array" ref="W104">IF(T104="",R104,_xlfn.LET(_xlpm.inv, TRIM(_xlfn.TEXTSPLIT(R104,";")),_xlpm.fol, TRIM(_xlfn.TEXTSPLIT(T104,";")),_xlfn.TEXTJOIN("; ", TRUE, _xlfn._xlws.FILTER(_xlpm.inv, ISNA(MATCH(_xlpm.inv, _xlpm.fol, 0)), ""))
  )
)</f>
        <v>Hon Hai Precision; WillowTree Investments</v>
      </c>
      <c r="X104" s="16" cm="1">
        <f t="array" ref="X104">IF(W104="","N/A",COUNTA(_xlfn._xlws.FILTER(_xlfn.TEXTSPLIT(W104,";"), _xlfn.TEXTSPLIT(W104,";")&lt;&gt;"")))</f>
        <v>2</v>
      </c>
      <c r="Y104" s="17">
        <f t="shared" si="6"/>
        <v>1</v>
      </c>
      <c r="Z104" s="4" t="s">
        <v>810</v>
      </c>
      <c r="AA104" s="4" t="s">
        <v>865</v>
      </c>
      <c r="AB104" s="4" t="s">
        <v>849</v>
      </c>
      <c r="AC104" s="4" t="s">
        <v>517</v>
      </c>
    </row>
    <row r="105" spans="1:29" ht="29" x14ac:dyDescent="0.35">
      <c r="A105" s="4">
        <f t="shared" si="7"/>
        <v>103</v>
      </c>
      <c r="B105" s="4" t="s">
        <v>285</v>
      </c>
      <c r="C105" s="4" t="s">
        <v>286</v>
      </c>
      <c r="D105" s="4">
        <v>2010</v>
      </c>
      <c r="E105" s="12" t="s">
        <v>926</v>
      </c>
      <c r="F105" s="4" t="s">
        <v>961</v>
      </c>
      <c r="G105" s="4" t="s">
        <v>1134</v>
      </c>
      <c r="H105" s="4" t="s">
        <v>1135</v>
      </c>
      <c r="I105" s="14">
        <v>163.04</v>
      </c>
      <c r="J105" s="13">
        <v>45933</v>
      </c>
      <c r="K105" s="25">
        <v>1.53</v>
      </c>
      <c r="L105" s="14">
        <v>54</v>
      </c>
      <c r="M105" s="14">
        <v>354</v>
      </c>
      <c r="N105" s="4"/>
      <c r="O105" s="18">
        <v>1</v>
      </c>
      <c r="P105" s="14"/>
      <c r="Q105" s="15">
        <f t="shared" si="4"/>
        <v>0</v>
      </c>
      <c r="R105" s="12" t="s">
        <v>646</v>
      </c>
      <c r="S105" s="16" cm="1">
        <f t="array" ref="S105">IF(R105="",0,COUNTA(_xlfn._xlws.FILTER(_xlfn.TEXTSPLIT(R105,";"), _xlfn.TEXTSPLIT(R105,";")&lt;&gt;"")))</f>
        <v>5</v>
      </c>
      <c r="T105" s="12" t="s">
        <v>780</v>
      </c>
      <c r="U105" s="16" cm="1">
        <f t="array" ref="U105">IF(T105="",0,COUNTA(_xlfn._xlws.FILTER(_xlfn.TEXTSPLIT(T105,";"), _xlfn.TEXTSPLIT(T105,";")&lt;&gt;"")))</f>
        <v>2</v>
      </c>
      <c r="V105" s="17">
        <f t="shared" si="5"/>
        <v>0.4</v>
      </c>
      <c r="W105" s="12" t="str" cm="1">
        <f t="array" ref="W105">IF(T105="",R105,_xlfn.LET(_xlpm.inv, TRIM(_xlfn.TEXTSPLIT(R105,";")),_xlpm.fol, TRIM(_xlfn.TEXTSPLIT(T105,";")),_xlfn.TEXTJOIN("; ", TRUE, _xlfn._xlws.FILTER(_xlpm.inv, ISNA(MATCH(_xlpm.inv, _xlpm.fol, 0)), ""))
  )
)</f>
        <v>FedEx; Liebenthal Ventures; PassKey Invest</v>
      </c>
      <c r="X105" s="16" cm="1">
        <f t="array" ref="X105">IF(W105="","N/A",COUNTA(_xlfn._xlws.FILTER(_xlfn.TEXTSPLIT(W105,";"), _xlfn.TEXTSPLIT(W105,";")&lt;&gt;"")))</f>
        <v>3</v>
      </c>
      <c r="Y105" s="17">
        <f t="shared" si="6"/>
        <v>0.6</v>
      </c>
      <c r="Z105" s="4" t="s">
        <v>810</v>
      </c>
      <c r="AA105" s="4" t="s">
        <v>865</v>
      </c>
      <c r="AB105" s="4" t="s">
        <v>849</v>
      </c>
      <c r="AC105" s="4" t="s">
        <v>517</v>
      </c>
    </row>
    <row r="106" spans="1:29" x14ac:dyDescent="0.35">
      <c r="A106" s="4">
        <f t="shared" si="7"/>
        <v>104</v>
      </c>
      <c r="B106" s="4" t="s">
        <v>45</v>
      </c>
      <c r="C106" s="4" t="s">
        <v>287</v>
      </c>
      <c r="D106" s="4">
        <v>2021</v>
      </c>
      <c r="E106" s="12" t="s">
        <v>553</v>
      </c>
      <c r="F106" s="4" t="s">
        <v>557</v>
      </c>
      <c r="G106" s="4" t="s">
        <v>1136</v>
      </c>
      <c r="H106" s="4" t="s">
        <v>1137</v>
      </c>
      <c r="I106" s="14">
        <v>30</v>
      </c>
      <c r="J106" s="13">
        <v>44501</v>
      </c>
      <c r="K106" s="25"/>
      <c r="L106" s="14">
        <v>30</v>
      </c>
      <c r="M106" s="14"/>
      <c r="N106" s="4"/>
      <c r="O106" s="18"/>
      <c r="P106" s="14"/>
      <c r="Q106" s="15">
        <f t="shared" si="4"/>
        <v>0</v>
      </c>
      <c r="R106" s="12" t="s">
        <v>647</v>
      </c>
      <c r="S106" s="16" cm="1">
        <f t="array" ref="S106">IF(R106="",0,COUNTA(_xlfn._xlws.FILTER(_xlfn.TEXTSPLIT(R106,";"), _xlfn.TEXTSPLIT(R106,";")&lt;&gt;"")))</f>
        <v>1</v>
      </c>
      <c r="T106" s="12"/>
      <c r="U106" s="16" cm="1">
        <f t="array" ref="U106">IF(T106="",0,COUNTA(_xlfn._xlws.FILTER(_xlfn.TEXTSPLIT(T106,";"), _xlfn.TEXTSPLIT(T106,";")&lt;&gt;"")))</f>
        <v>0</v>
      </c>
      <c r="V106" s="17">
        <f t="shared" si="5"/>
        <v>0</v>
      </c>
      <c r="W106" s="12" t="str" cm="1">
        <f t="array" ref="W106">IF(T106="",R106,_xlfn.LET(_xlpm.inv, TRIM(_xlfn.TEXTSPLIT(R106,";")),_xlpm.fol, TRIM(_xlfn.TEXTSPLIT(T106,";")),_xlfn.TEXTJOIN("; ", TRUE, _xlfn._xlws.FILTER(_xlpm.inv, ISNA(MATCH(_xlpm.inv, _xlpm.fol, 0)), ""))
  )
)</f>
        <v xml:space="preserve">Modern Energy </v>
      </c>
      <c r="X106" s="16" cm="1">
        <f t="array" ref="X106">IF(W106="","N/A",COUNTA(_xlfn._xlws.FILTER(_xlfn.TEXTSPLIT(W106,";"), _xlfn.TEXTSPLIT(W106,";")&lt;&gt;"")))</f>
        <v>1</v>
      </c>
      <c r="Y106" s="17">
        <f t="shared" si="6"/>
        <v>1</v>
      </c>
      <c r="Z106" s="4" t="s">
        <v>815</v>
      </c>
      <c r="AA106" s="4"/>
      <c r="AB106" s="4" t="s">
        <v>816</v>
      </c>
      <c r="AC106" s="4" t="s">
        <v>517</v>
      </c>
    </row>
    <row r="107" spans="1:29" x14ac:dyDescent="0.35">
      <c r="A107" s="4">
        <f t="shared" si="7"/>
        <v>105</v>
      </c>
      <c r="B107" s="4" t="s">
        <v>45</v>
      </c>
      <c r="C107" s="4" t="s">
        <v>287</v>
      </c>
      <c r="D107" s="4">
        <v>2021</v>
      </c>
      <c r="E107" s="12" t="s">
        <v>553</v>
      </c>
      <c r="F107" s="4" t="s">
        <v>557</v>
      </c>
      <c r="G107" s="4" t="s">
        <v>1136</v>
      </c>
      <c r="H107" s="4" t="s">
        <v>1137</v>
      </c>
      <c r="I107" s="14">
        <v>120</v>
      </c>
      <c r="J107" s="13">
        <v>44985</v>
      </c>
      <c r="K107" s="25"/>
      <c r="L107" s="14">
        <v>90</v>
      </c>
      <c r="M107" s="14"/>
      <c r="N107" s="4"/>
      <c r="O107" s="18"/>
      <c r="P107" s="14"/>
      <c r="Q107" s="15">
        <f t="shared" si="4"/>
        <v>0</v>
      </c>
      <c r="R107" s="12" t="s">
        <v>648</v>
      </c>
      <c r="S107" s="16" cm="1">
        <f t="array" ref="S107">IF(R107="",0,COUNTA(_xlfn._xlws.FILTER(_xlfn.TEXTSPLIT(R107,";"), _xlfn.TEXTSPLIT(R107,";")&lt;&gt;"")))</f>
        <v>2</v>
      </c>
      <c r="T107" s="12" t="s">
        <v>781</v>
      </c>
      <c r="U107" s="16" cm="1">
        <f t="array" ref="U107">IF(T107="",0,COUNTA(_xlfn._xlws.FILTER(_xlfn.TEXTSPLIT(T107,";"), _xlfn.TEXTSPLIT(T107,";")&lt;&gt;"")))</f>
        <v>1</v>
      </c>
      <c r="V107" s="17">
        <f t="shared" si="5"/>
        <v>0.5</v>
      </c>
      <c r="W107" s="12" t="str" cm="1">
        <f t="array" ref="W107">IF(T107="",R107,_xlfn.LET(_xlpm.inv, TRIM(_xlfn.TEXTSPLIT(R107,";")),_xlpm.fol, TRIM(_xlfn.TEXTSPLIT(T107,";")),_xlfn.TEXTJOIN("; ", TRUE, _xlfn._xlws.FILTER(_xlpm.inv, ISNA(MATCH(_xlpm.inv, _xlpm.fol, 0)), ""))
  )
)</f>
        <v>EIG</v>
      </c>
      <c r="X107" s="16" cm="1">
        <f t="array" ref="X107">IF(W107="","N/A",COUNTA(_xlfn._xlws.FILTER(_xlfn.TEXTSPLIT(W107,";"), _xlfn.TEXTSPLIT(W107,";")&lt;&gt;"")))</f>
        <v>1</v>
      </c>
      <c r="Y107" s="17">
        <f t="shared" si="6"/>
        <v>0.5</v>
      </c>
      <c r="Z107" s="4" t="s">
        <v>815</v>
      </c>
      <c r="AA107" s="4"/>
      <c r="AB107" s="4" t="s">
        <v>816</v>
      </c>
      <c r="AC107" s="4" t="s">
        <v>517</v>
      </c>
    </row>
    <row r="108" spans="1:29" ht="29" x14ac:dyDescent="0.35">
      <c r="A108" s="4">
        <f t="shared" si="7"/>
        <v>106</v>
      </c>
      <c r="B108" s="4" t="s">
        <v>288</v>
      </c>
      <c r="C108" s="4" t="s">
        <v>287</v>
      </c>
      <c r="D108" s="4">
        <v>2014</v>
      </c>
      <c r="E108" s="12" t="s">
        <v>928</v>
      </c>
      <c r="F108" s="4" t="s">
        <v>960</v>
      </c>
      <c r="G108" s="4" t="s">
        <v>1138</v>
      </c>
      <c r="H108" s="4" t="s">
        <v>1139</v>
      </c>
      <c r="I108" s="14">
        <v>2.27</v>
      </c>
      <c r="J108" s="13">
        <v>43472</v>
      </c>
      <c r="K108" s="25">
        <v>4.4800000000000004</v>
      </c>
      <c r="L108" s="14">
        <v>1.97</v>
      </c>
      <c r="M108" s="14">
        <v>7.37</v>
      </c>
      <c r="N108" s="4" t="s">
        <v>471</v>
      </c>
      <c r="O108" s="18">
        <v>2.35</v>
      </c>
      <c r="P108" s="14"/>
      <c r="Q108" s="15">
        <f t="shared" si="4"/>
        <v>0</v>
      </c>
      <c r="R108" s="12" t="s">
        <v>649</v>
      </c>
      <c r="S108" s="16" cm="1">
        <f t="array" ref="S108">IF(R108="",0,COUNTA(_xlfn._xlws.FILTER(_xlfn.TEXTSPLIT(R108,";"), _xlfn.TEXTSPLIT(R108,";")&lt;&gt;"")))</f>
        <v>1</v>
      </c>
      <c r="T108" s="12"/>
      <c r="U108" s="16" cm="1">
        <f t="array" ref="U108">IF(T108="",0,COUNTA(_xlfn._xlws.FILTER(_xlfn.TEXTSPLIT(T108,";"), _xlfn.TEXTSPLIT(T108,";")&lt;&gt;"")))</f>
        <v>0</v>
      </c>
      <c r="V108" s="17">
        <f t="shared" si="5"/>
        <v>0</v>
      </c>
      <c r="W108" s="12" t="str" cm="1">
        <f t="array" ref="W108">IF(T108="",R108,_xlfn.LET(_xlpm.inv, TRIM(_xlfn.TEXTSPLIT(R108,";")),_xlpm.fol, TRIM(_xlfn.TEXTSPLIT(T108,";")),_xlfn.TEXTJOIN("; ", TRUE, _xlfn._xlws.FILTER(_xlpm.inv, ISNA(MATCH(_xlpm.inv, _xlpm.fol, 0)), ""))
  )
)</f>
        <v xml:space="preserve">Cottonwood Technology Fund </v>
      </c>
      <c r="X108" s="16" cm="1">
        <f t="array" ref="X108">IF(W108="","N/A",COUNTA(_xlfn._xlws.FILTER(_xlfn.TEXTSPLIT(W108,";"), _xlfn.TEXTSPLIT(W108,";")&lt;&gt;"")))</f>
        <v>1</v>
      </c>
      <c r="Y108" s="17">
        <f t="shared" si="6"/>
        <v>1</v>
      </c>
      <c r="Z108" s="4" t="s">
        <v>810</v>
      </c>
      <c r="AA108" s="4" t="s">
        <v>831</v>
      </c>
      <c r="AB108" s="4" t="s">
        <v>852</v>
      </c>
      <c r="AC108" s="4" t="s">
        <v>517</v>
      </c>
    </row>
    <row r="109" spans="1:29" ht="43.5" x14ac:dyDescent="0.35">
      <c r="A109" s="4">
        <f t="shared" si="7"/>
        <v>107</v>
      </c>
      <c r="B109" s="4" t="s">
        <v>289</v>
      </c>
      <c r="C109" s="4" t="s">
        <v>193</v>
      </c>
      <c r="D109" s="4">
        <v>2017</v>
      </c>
      <c r="E109" s="12" t="s">
        <v>897</v>
      </c>
      <c r="F109" s="4" t="s">
        <v>962</v>
      </c>
      <c r="G109" s="4" t="s">
        <v>1140</v>
      </c>
      <c r="H109" s="4" t="s">
        <v>1141</v>
      </c>
      <c r="I109" s="14">
        <v>5.32</v>
      </c>
      <c r="J109" s="13">
        <v>44561</v>
      </c>
      <c r="K109" s="25"/>
      <c r="L109" s="14">
        <v>4.3600000000000003</v>
      </c>
      <c r="M109" s="14">
        <v>11.36</v>
      </c>
      <c r="N109" s="4"/>
      <c r="O109" s="18"/>
      <c r="P109" s="14"/>
      <c r="Q109" s="15">
        <f t="shared" si="4"/>
        <v>0</v>
      </c>
      <c r="R109" s="12" t="s">
        <v>650</v>
      </c>
      <c r="S109" s="16" cm="1">
        <f t="array" ref="S109">IF(R109="",0,COUNTA(_xlfn._xlws.FILTER(_xlfn.TEXTSPLIT(R109,";"), _xlfn.TEXTSPLIT(R109,";")&lt;&gt;"")))</f>
        <v>14</v>
      </c>
      <c r="T109" s="12" t="s">
        <v>782</v>
      </c>
      <c r="U109" s="16" cm="1">
        <f t="array" ref="U109">IF(T109="",0,COUNTA(_xlfn._xlws.FILTER(_xlfn.TEXTSPLIT(T109,";"), _xlfn.TEXTSPLIT(T109,";")&lt;&gt;"")))</f>
        <v>2</v>
      </c>
      <c r="V109" s="17">
        <f t="shared" si="5"/>
        <v>0.14285714285714285</v>
      </c>
      <c r="W109" s="12" t="str" cm="1">
        <f t="array" ref="W109">IF(T109="",R109,_xlfn.LET(_xlpm.inv, TRIM(_xlfn.TEXTSPLIT(R109,";")),_xlpm.fol, TRIM(_xlfn.TEXTSPLIT(T109,";")),_xlfn.TEXTJOIN("; ", TRUE, _xlfn._xlws.FILTER(_xlpm.inv, ISNA(MATCH(_xlpm.inv, _xlpm.fol, 0)), ""))
  )
)</f>
        <v>David Palter; E8; FUND4SE; John Paulos; Lateral Capital Group; Momentum Glass; Paulos Holdings; R/GA Ventures; SIFL; SLA Ventures; Technology Credit Union; VCFuel</v>
      </c>
      <c r="X109" s="16" cm="1">
        <f t="array" ref="X109">IF(W109="","N/A",COUNTA(_xlfn._xlws.FILTER(_xlfn.TEXTSPLIT(W109,";"), _xlfn.TEXTSPLIT(W109,";")&lt;&gt;"")))</f>
        <v>12</v>
      </c>
      <c r="Y109" s="17">
        <f t="shared" si="6"/>
        <v>0.8571428571428571</v>
      </c>
      <c r="Z109" s="4" t="s">
        <v>817</v>
      </c>
      <c r="AA109" s="4" t="s">
        <v>864</v>
      </c>
      <c r="AB109" s="4" t="s">
        <v>838</v>
      </c>
      <c r="AC109" s="4" t="s">
        <v>517</v>
      </c>
    </row>
    <row r="110" spans="1:29" x14ac:dyDescent="0.35">
      <c r="A110" s="4">
        <f t="shared" si="7"/>
        <v>108</v>
      </c>
      <c r="B110" s="4" t="s">
        <v>290</v>
      </c>
      <c r="C110" s="4" t="s">
        <v>291</v>
      </c>
      <c r="D110" s="4">
        <v>2015</v>
      </c>
      <c r="E110" s="12" t="s">
        <v>897</v>
      </c>
      <c r="F110" s="4" t="s">
        <v>959</v>
      </c>
      <c r="G110" s="4" t="s">
        <v>1142</v>
      </c>
      <c r="H110" s="4" t="s">
        <v>1143</v>
      </c>
      <c r="I110" s="14">
        <v>53</v>
      </c>
      <c r="J110" s="13">
        <v>45474</v>
      </c>
      <c r="K110" s="25">
        <v>2.06</v>
      </c>
      <c r="L110" s="14">
        <v>15</v>
      </c>
      <c r="M110" s="14">
        <v>170</v>
      </c>
      <c r="N110" s="4" t="s">
        <v>471</v>
      </c>
      <c r="O110" s="18">
        <v>1.72</v>
      </c>
      <c r="P110" s="14"/>
      <c r="Q110" s="15">
        <f t="shared" si="4"/>
        <v>0</v>
      </c>
      <c r="R110" s="12" t="s">
        <v>651</v>
      </c>
      <c r="S110" s="16" cm="1">
        <f t="array" ref="S110">IF(R110="",0,COUNTA(_xlfn._xlws.FILTER(_xlfn.TEXTSPLIT(R110,";"), _xlfn.TEXTSPLIT(R110,";")&lt;&gt;"")))</f>
        <v>3</v>
      </c>
      <c r="T110" s="12" t="s">
        <v>783</v>
      </c>
      <c r="U110" s="16" cm="1">
        <f t="array" ref="U110">IF(T110="",0,COUNTA(_xlfn._xlws.FILTER(_xlfn.TEXTSPLIT(T110,";"), _xlfn.TEXTSPLIT(T110,";")&lt;&gt;"")))</f>
        <v>1</v>
      </c>
      <c r="V110" s="17">
        <f t="shared" si="5"/>
        <v>0.33333333333333331</v>
      </c>
      <c r="W110" s="12" t="str" cm="1">
        <f t="array" ref="W110">IF(T110="",R110,_xlfn.LET(_xlpm.inv, TRIM(_xlfn.TEXTSPLIT(R110,";")),_xlpm.fol, TRIM(_xlfn.TEXTSPLIT(T110,";")),_xlfn.TEXTJOIN("; ", TRUE, _xlfn._xlws.FILTER(_xlpm.inv, ISNA(MATCH(_xlpm.inv, _xlpm.fol, 0)), ""))
  )
)</f>
        <v>Saint-Gobain NOVA; TEDCO</v>
      </c>
      <c r="X110" s="16" cm="1">
        <f t="array" ref="X110">IF(W110="","N/A",COUNTA(_xlfn._xlws.FILTER(_xlfn.TEXTSPLIT(W110,";"), _xlfn.TEXTSPLIT(W110,";")&lt;&gt;"")))</f>
        <v>2</v>
      </c>
      <c r="Y110" s="17">
        <f t="shared" si="6"/>
        <v>0.66666666666666663</v>
      </c>
      <c r="Z110" s="4" t="s">
        <v>810</v>
      </c>
      <c r="AA110" s="4" t="s">
        <v>820</v>
      </c>
      <c r="AB110" s="4" t="s">
        <v>824</v>
      </c>
      <c r="AC110" s="4" t="s">
        <v>517</v>
      </c>
    </row>
    <row r="111" spans="1:29" ht="29" x14ac:dyDescent="0.35">
      <c r="A111" s="4">
        <f t="shared" si="7"/>
        <v>109</v>
      </c>
      <c r="B111" s="4" t="s">
        <v>108</v>
      </c>
      <c r="C111" s="4" t="s">
        <v>193</v>
      </c>
      <c r="D111" s="4">
        <v>2011</v>
      </c>
      <c r="E111" s="12" t="s">
        <v>902</v>
      </c>
      <c r="F111" s="4" t="s">
        <v>958</v>
      </c>
      <c r="G111" s="4" t="s">
        <v>1144</v>
      </c>
      <c r="H111" s="4" t="s">
        <v>1145</v>
      </c>
      <c r="I111" s="14">
        <v>27.3</v>
      </c>
      <c r="J111" s="13">
        <v>44547</v>
      </c>
      <c r="K111" s="25"/>
      <c r="L111" s="14">
        <v>8</v>
      </c>
      <c r="M111" s="14"/>
      <c r="N111" s="4"/>
      <c r="O111" s="18"/>
      <c r="P111" s="14">
        <v>5.5</v>
      </c>
      <c r="Q111" s="15">
        <f t="shared" si="4"/>
        <v>0.6875</v>
      </c>
      <c r="R111" s="12" t="s">
        <v>652</v>
      </c>
      <c r="S111" s="16" cm="1">
        <f t="array" ref="S111">IF(R111="",0,COUNTA(_xlfn._xlws.FILTER(_xlfn.TEXTSPLIT(R111,";"), _xlfn.TEXTSPLIT(R111,";")&lt;&gt;"")))</f>
        <v>1</v>
      </c>
      <c r="T111" s="12"/>
      <c r="U111" s="16" cm="1">
        <f t="array" ref="U111">IF(T111="",0,COUNTA(_xlfn._xlws.FILTER(_xlfn.TEXTSPLIT(T111,";"), _xlfn.TEXTSPLIT(T111,";")&lt;&gt;"")))</f>
        <v>0</v>
      </c>
      <c r="V111" s="17">
        <f t="shared" si="5"/>
        <v>0</v>
      </c>
      <c r="W111" s="12" t="str" cm="1">
        <f t="array" ref="W111">IF(T111="",R111,_xlfn.LET(_xlpm.inv, TRIM(_xlfn.TEXTSPLIT(R111,";")),_xlpm.fol, TRIM(_xlfn.TEXTSPLIT(T111,";")),_xlfn.TEXTJOIN("; ", TRUE, _xlfn._xlws.FILTER(_xlpm.inv, ISNA(MATCH(_xlpm.inv, _xlpm.fol, 0)), ""))
  )
)</f>
        <v xml:space="preserve">Genesis Park </v>
      </c>
      <c r="X111" s="16" cm="1">
        <f t="array" ref="X111">IF(W111="","N/A",COUNTA(_xlfn._xlws.FILTER(_xlfn.TEXTSPLIT(W111,";"), _xlfn.TEXTSPLIT(W111,";")&lt;&gt;"")))</f>
        <v>1</v>
      </c>
      <c r="Y111" s="17">
        <f t="shared" si="6"/>
        <v>1</v>
      </c>
      <c r="Z111" s="4" t="s">
        <v>815</v>
      </c>
      <c r="AA111" s="4"/>
      <c r="AB111" s="4" t="s">
        <v>866</v>
      </c>
      <c r="AC111" s="4" t="s">
        <v>517</v>
      </c>
    </row>
    <row r="112" spans="1:29" ht="29" x14ac:dyDescent="0.35">
      <c r="A112" s="4">
        <f t="shared" si="7"/>
        <v>110</v>
      </c>
      <c r="B112" s="4" t="s">
        <v>292</v>
      </c>
      <c r="C112" s="4" t="s">
        <v>293</v>
      </c>
      <c r="D112" s="4">
        <v>2014</v>
      </c>
      <c r="E112" s="12" t="s">
        <v>896</v>
      </c>
      <c r="F112" s="4" t="s">
        <v>962</v>
      </c>
      <c r="G112" s="4" t="s">
        <v>1146</v>
      </c>
      <c r="H112" s="4" t="s">
        <v>1147</v>
      </c>
      <c r="I112" s="14">
        <v>0.56999999999999995</v>
      </c>
      <c r="J112" s="13">
        <v>43777</v>
      </c>
      <c r="K112" s="25"/>
      <c r="L112" s="14">
        <v>0.56999999999999995</v>
      </c>
      <c r="M112" s="14">
        <v>9.57</v>
      </c>
      <c r="N112" s="4"/>
      <c r="O112" s="18"/>
      <c r="P112" s="14"/>
      <c r="Q112" s="15">
        <f t="shared" si="4"/>
        <v>0</v>
      </c>
      <c r="R112" s="12" t="s">
        <v>653</v>
      </c>
      <c r="S112" s="16" cm="1">
        <f t="array" ref="S112">IF(R112="",0,COUNTA(_xlfn._xlws.FILTER(_xlfn.TEXTSPLIT(R112,";"), _xlfn.TEXTSPLIT(R112,";")&lt;&gt;"")))</f>
        <v>2</v>
      </c>
      <c r="T112" s="12"/>
      <c r="U112" s="16" cm="1">
        <f t="array" ref="U112">IF(T112="",0,COUNTA(_xlfn._xlws.FILTER(_xlfn.TEXTSPLIT(T112,";"), _xlfn.TEXTSPLIT(T112,";")&lt;&gt;"")))</f>
        <v>0</v>
      </c>
      <c r="V112" s="17">
        <f t="shared" si="5"/>
        <v>0</v>
      </c>
      <c r="W112" s="12" t="str" cm="1">
        <f t="array" ref="W112">IF(T112="",R112,_xlfn.LET(_xlpm.inv, TRIM(_xlfn.TEXTSPLIT(R112,";")),_xlpm.fol, TRIM(_xlfn.TEXTSPLIT(T112,";")),_xlfn.TEXTJOIN("; ", TRUE, _xlfn._xlws.FILTER(_xlpm.inv, ISNA(MATCH(_xlpm.inv, _xlpm.fol, 0)), ""))
  )
)</f>
        <v>E8; Keiretsu Capital</v>
      </c>
      <c r="X112" s="16" cm="1">
        <f t="array" ref="X112">IF(W112="","N/A",COUNTA(_xlfn._xlws.FILTER(_xlfn.TEXTSPLIT(W112,";"), _xlfn.TEXTSPLIT(W112,";")&lt;&gt;"")))</f>
        <v>2</v>
      </c>
      <c r="Y112" s="17">
        <f t="shared" si="6"/>
        <v>1</v>
      </c>
      <c r="Z112" s="4" t="s">
        <v>817</v>
      </c>
      <c r="AA112" s="4" t="s">
        <v>820</v>
      </c>
      <c r="AB112" s="4" t="s">
        <v>824</v>
      </c>
      <c r="AC112" s="4" t="s">
        <v>517</v>
      </c>
    </row>
    <row r="113" spans="1:29" x14ac:dyDescent="0.35">
      <c r="A113" s="4">
        <f t="shared" si="7"/>
        <v>111</v>
      </c>
      <c r="B113" s="4" t="s">
        <v>294</v>
      </c>
      <c r="C113" s="4" t="s">
        <v>295</v>
      </c>
      <c r="D113" s="4">
        <v>2021</v>
      </c>
      <c r="E113" s="12" t="s">
        <v>180</v>
      </c>
      <c r="F113" s="4" t="s">
        <v>978</v>
      </c>
      <c r="G113" s="4" t="s">
        <v>1148</v>
      </c>
      <c r="H113" s="4" t="s">
        <v>1149</v>
      </c>
      <c r="I113" s="14">
        <v>3</v>
      </c>
      <c r="J113" s="13">
        <v>45113</v>
      </c>
      <c r="K113" s="25"/>
      <c r="L113" s="14">
        <v>3</v>
      </c>
      <c r="M113" s="14"/>
      <c r="N113" s="4"/>
      <c r="O113" s="18"/>
      <c r="P113" s="14"/>
      <c r="Q113" s="15">
        <f t="shared" si="4"/>
        <v>0</v>
      </c>
      <c r="R113" s="12" t="s">
        <v>654</v>
      </c>
      <c r="S113" s="16" cm="1">
        <f t="array" ref="S113">IF(R113="",0,COUNTA(_xlfn._xlws.FILTER(_xlfn.TEXTSPLIT(R113,";"), _xlfn.TEXTSPLIT(R113,";")&lt;&gt;"")))</f>
        <v>1</v>
      </c>
      <c r="T113" s="12"/>
      <c r="U113" s="16" cm="1">
        <f t="array" ref="U113">IF(T113="",0,COUNTA(_xlfn._xlws.FILTER(_xlfn.TEXTSPLIT(T113,";"), _xlfn.TEXTSPLIT(T113,";")&lt;&gt;"")))</f>
        <v>0</v>
      </c>
      <c r="V113" s="17">
        <f t="shared" si="5"/>
        <v>0</v>
      </c>
      <c r="W113" s="12" t="str" cm="1">
        <f t="array" ref="W113">IF(T113="",R113,_xlfn.LET(_xlpm.inv, TRIM(_xlfn.TEXTSPLIT(R113,";")),_xlpm.fol, TRIM(_xlfn.TEXTSPLIT(T113,";")),_xlfn.TEXTJOIN("; ", TRUE, _xlfn._xlws.FILTER(_xlpm.inv, ISNA(MATCH(_xlpm.inv, _xlpm.fol, 0)), ""))
  )
)</f>
        <v>Balcor Commercial</v>
      </c>
      <c r="X113" s="16" cm="1">
        <f t="array" ref="X113">IF(W113="","N/A",COUNTA(_xlfn._xlws.FILTER(_xlfn.TEXTSPLIT(W113,";"), _xlfn.TEXTSPLIT(W113,";")&lt;&gt;"")))</f>
        <v>1</v>
      </c>
      <c r="Y113" s="17">
        <f t="shared" si="6"/>
        <v>1</v>
      </c>
      <c r="Z113" s="4" t="s">
        <v>815</v>
      </c>
      <c r="AA113" s="4"/>
      <c r="AB113" s="4" t="s">
        <v>811</v>
      </c>
      <c r="AC113" s="4" t="s">
        <v>517</v>
      </c>
    </row>
    <row r="114" spans="1:29" x14ac:dyDescent="0.35">
      <c r="A114" s="4">
        <f t="shared" si="7"/>
        <v>112</v>
      </c>
      <c r="B114" s="4" t="s">
        <v>294</v>
      </c>
      <c r="C114" s="4" t="s">
        <v>295</v>
      </c>
      <c r="D114" s="4">
        <v>2021</v>
      </c>
      <c r="E114" s="12" t="s">
        <v>180</v>
      </c>
      <c r="F114" s="4" t="s">
        <v>978</v>
      </c>
      <c r="G114" s="4" t="s">
        <v>1148</v>
      </c>
      <c r="H114" s="4" t="s">
        <v>1149</v>
      </c>
      <c r="I114" s="14">
        <v>6</v>
      </c>
      <c r="J114" s="13">
        <v>45288</v>
      </c>
      <c r="K114" s="25"/>
      <c r="L114" s="14">
        <v>3</v>
      </c>
      <c r="M114" s="14"/>
      <c r="N114" s="4"/>
      <c r="O114" s="18"/>
      <c r="P114" s="14"/>
      <c r="Q114" s="15">
        <f t="shared" si="4"/>
        <v>0</v>
      </c>
      <c r="R114" s="12" t="s">
        <v>498</v>
      </c>
      <c r="S114" s="16" cm="1">
        <f t="array" ref="S114">IF(R114="",0,COUNTA(_xlfn._xlws.FILTER(_xlfn.TEXTSPLIT(R114,";"), _xlfn.TEXTSPLIT(R114,";")&lt;&gt;"")))</f>
        <v>1</v>
      </c>
      <c r="T114" s="12"/>
      <c r="U114" s="16" cm="1">
        <f t="array" ref="U114">IF(T114="",0,COUNTA(_xlfn._xlws.FILTER(_xlfn.TEXTSPLIT(T114,";"), _xlfn.TEXTSPLIT(T114,";")&lt;&gt;"")))</f>
        <v>0</v>
      </c>
      <c r="V114" s="17">
        <f t="shared" si="5"/>
        <v>0</v>
      </c>
      <c r="W114" s="12" t="str" cm="1">
        <f t="array" ref="W114">IF(T114="",R114,_xlfn.LET(_xlpm.inv, TRIM(_xlfn.TEXTSPLIT(R114,";")),_xlpm.fol, TRIM(_xlfn.TEXTSPLIT(T114,";")),_xlfn.TEXTJOIN("; ", TRUE, _xlfn._xlws.FILTER(_xlpm.inv, ISNA(MATCH(_xlpm.inv, _xlpm.fol, 0)), ""))
  )
)</f>
        <v>Hasatano Capital</v>
      </c>
      <c r="X114" s="16" cm="1">
        <f t="array" ref="X114">IF(W114="","N/A",COUNTA(_xlfn._xlws.FILTER(_xlfn.TEXTSPLIT(W114,";"), _xlfn.TEXTSPLIT(W114,";")&lt;&gt;"")))</f>
        <v>1</v>
      </c>
      <c r="Y114" s="17">
        <f t="shared" si="6"/>
        <v>1</v>
      </c>
      <c r="Z114" s="4" t="s">
        <v>815</v>
      </c>
      <c r="AA114" s="4"/>
      <c r="AB114" s="4" t="s">
        <v>811</v>
      </c>
      <c r="AC114" s="4" t="s">
        <v>517</v>
      </c>
    </row>
    <row r="115" spans="1:29" x14ac:dyDescent="0.35">
      <c r="A115" s="4">
        <f t="shared" si="7"/>
        <v>113</v>
      </c>
      <c r="B115" s="4" t="s">
        <v>294</v>
      </c>
      <c r="C115" s="4" t="s">
        <v>295</v>
      </c>
      <c r="D115" s="4">
        <v>2021</v>
      </c>
      <c r="E115" s="12" t="s">
        <v>180</v>
      </c>
      <c r="F115" s="4" t="s">
        <v>978</v>
      </c>
      <c r="G115" s="4" t="s">
        <v>1148</v>
      </c>
      <c r="H115" s="4" t="s">
        <v>1149</v>
      </c>
      <c r="I115" s="14">
        <v>6.91</v>
      </c>
      <c r="J115" s="13">
        <v>45597</v>
      </c>
      <c r="K115" s="25"/>
      <c r="L115" s="14">
        <v>0.91</v>
      </c>
      <c r="M115" s="14"/>
      <c r="N115" s="4"/>
      <c r="O115" s="18"/>
      <c r="P115" s="14"/>
      <c r="Q115" s="15">
        <f t="shared" si="4"/>
        <v>0</v>
      </c>
      <c r="R115" s="12"/>
      <c r="S115" s="16" cm="1">
        <f t="array" ref="S115">IF(R115="",0,COUNTA(_xlfn._xlws.FILTER(_xlfn.TEXTSPLIT(R115,";"), _xlfn.TEXTSPLIT(R115,";")&lt;&gt;"")))</f>
        <v>0</v>
      </c>
      <c r="T115" s="12"/>
      <c r="U115" s="16" cm="1">
        <f t="array" ref="U115">IF(T115="",0,COUNTA(_xlfn._xlws.FILTER(_xlfn.TEXTSPLIT(T115,";"), _xlfn.TEXTSPLIT(T115,";")&lt;&gt;"")))</f>
        <v>0</v>
      </c>
      <c r="V115" s="17" t="str">
        <f t="shared" si="5"/>
        <v>N/A</v>
      </c>
      <c r="W115" s="12" cm="1">
        <f t="array" ref="W115">IF(T115="",R115,_xlfn.LET(_xlpm.inv, TRIM(_xlfn.TEXTSPLIT(R115,";")),_xlpm.fol, TRIM(_xlfn.TEXTSPLIT(T115,";")),_xlfn.TEXTJOIN("; ", TRUE, _xlfn._xlws.FILTER(_xlpm.inv, ISNA(MATCH(_xlpm.inv, _xlpm.fol, 0)), ""))
  )
)</f>
        <v>0</v>
      </c>
      <c r="X115" s="16" cm="1">
        <f t="array" ref="X115">IF(W115="","N/A",COUNTA(_xlfn._xlws.FILTER(_xlfn.TEXTSPLIT(W115,";"), _xlfn.TEXTSPLIT(W115,";")&lt;&gt;"")))</f>
        <v>1</v>
      </c>
      <c r="Y115" s="17" t="str">
        <f t="shared" si="6"/>
        <v>N/A</v>
      </c>
      <c r="Z115" s="4" t="s">
        <v>815</v>
      </c>
      <c r="AA115" s="4"/>
      <c r="AB115" s="4" t="s">
        <v>811</v>
      </c>
      <c r="AC115" s="4" t="s">
        <v>517</v>
      </c>
    </row>
    <row r="116" spans="1:29" x14ac:dyDescent="0.35">
      <c r="A116" s="4">
        <f t="shared" si="7"/>
        <v>114</v>
      </c>
      <c r="B116" s="4" t="s">
        <v>542</v>
      </c>
      <c r="C116" s="4" t="s">
        <v>296</v>
      </c>
      <c r="D116" s="4">
        <v>2017</v>
      </c>
      <c r="E116" s="12" t="s">
        <v>553</v>
      </c>
      <c r="F116" s="4" t="s">
        <v>960</v>
      </c>
      <c r="G116" s="4" t="s">
        <v>1150</v>
      </c>
      <c r="H116" s="4" t="s">
        <v>1151</v>
      </c>
      <c r="I116" s="14">
        <v>2.2999999999999998</v>
      </c>
      <c r="J116" s="13">
        <v>44365</v>
      </c>
      <c r="K116" s="25"/>
      <c r="L116" s="14"/>
      <c r="M116" s="14"/>
      <c r="N116" s="4"/>
      <c r="O116" s="18"/>
      <c r="P116" s="14"/>
      <c r="Q116" s="15" t="str">
        <f t="shared" si="4"/>
        <v>N/A</v>
      </c>
      <c r="R116" s="12" t="s">
        <v>500</v>
      </c>
      <c r="S116" s="16" cm="1">
        <f t="array" ref="S116">IF(R116="",0,COUNTA(_xlfn._xlws.FILTER(_xlfn.TEXTSPLIT(R116,";"), _xlfn.TEXTSPLIT(R116,";")&lt;&gt;"")))</f>
        <v>1</v>
      </c>
      <c r="T116" s="12"/>
      <c r="U116" s="16" cm="1">
        <f t="array" ref="U116">IF(T116="",0,COUNTA(_xlfn._xlws.FILTER(_xlfn.TEXTSPLIT(T116,";"), _xlfn.TEXTSPLIT(T116,";")&lt;&gt;"")))</f>
        <v>0</v>
      </c>
      <c r="V116" s="17">
        <f t="shared" si="5"/>
        <v>0</v>
      </c>
      <c r="W116" s="12" t="str" cm="1">
        <f t="array" ref="W116">IF(T116="",R116,_xlfn.LET(_xlpm.inv, TRIM(_xlfn.TEXTSPLIT(R116,";")),_xlpm.fol, TRIM(_xlfn.TEXTSPLIT(T116,";")),_xlfn.TEXTJOIN("; ", TRUE, _xlfn._xlws.FILTER(_xlpm.inv, ISNA(MATCH(_xlpm.inv, _xlpm.fol, 0)), ""))
  )
)</f>
        <v xml:space="preserve">Impact Assets </v>
      </c>
      <c r="X116" s="16" cm="1">
        <f t="array" ref="X116">IF(W116="","N/A",COUNTA(_xlfn._xlws.FILTER(_xlfn.TEXTSPLIT(W116,";"), _xlfn.TEXTSPLIT(W116,";")&lt;&gt;"")))</f>
        <v>1</v>
      </c>
      <c r="Y116" s="17">
        <f t="shared" si="6"/>
        <v>1</v>
      </c>
      <c r="Z116" s="4" t="s">
        <v>817</v>
      </c>
      <c r="AA116" s="4"/>
      <c r="AB116" s="4" t="s">
        <v>836</v>
      </c>
      <c r="AC116" s="4" t="s">
        <v>517</v>
      </c>
    </row>
    <row r="117" spans="1:29" x14ac:dyDescent="0.35">
      <c r="A117" s="4">
        <f t="shared" si="7"/>
        <v>115</v>
      </c>
      <c r="B117" s="4" t="s">
        <v>297</v>
      </c>
      <c r="C117" s="4" t="s">
        <v>298</v>
      </c>
      <c r="D117" s="4">
        <v>2010</v>
      </c>
      <c r="E117" s="12" t="s">
        <v>929</v>
      </c>
      <c r="F117" s="4" t="s">
        <v>958</v>
      </c>
      <c r="G117" s="4" t="s">
        <v>1152</v>
      </c>
      <c r="H117" s="4" t="s">
        <v>1153</v>
      </c>
      <c r="I117" s="14">
        <v>34.659999999999997</v>
      </c>
      <c r="J117" s="13">
        <v>42412</v>
      </c>
      <c r="K117" s="25">
        <v>1.77</v>
      </c>
      <c r="L117" s="14">
        <v>17.809999999999999</v>
      </c>
      <c r="M117" s="14">
        <v>62.81</v>
      </c>
      <c r="N117" s="4" t="s">
        <v>471</v>
      </c>
      <c r="O117" s="18">
        <v>3.15</v>
      </c>
      <c r="P117" s="14"/>
      <c r="Q117" s="15">
        <f t="shared" si="4"/>
        <v>0</v>
      </c>
      <c r="R117" s="12" t="s">
        <v>655</v>
      </c>
      <c r="S117" s="16" cm="1">
        <f t="array" ref="S117">IF(R117="",0,COUNTA(_xlfn._xlws.FILTER(_xlfn.TEXTSPLIT(R117,";"), _xlfn.TEXTSPLIT(R117,";")&lt;&gt;"")))</f>
        <v>5</v>
      </c>
      <c r="T117" s="12" t="s">
        <v>784</v>
      </c>
      <c r="U117" s="16" cm="1">
        <f t="array" ref="U117">IF(T117="",0,COUNTA(_xlfn._xlws.FILTER(_xlfn.TEXTSPLIT(T117,";"), _xlfn.TEXTSPLIT(T117,";")&lt;&gt;"")))</f>
        <v>1</v>
      </c>
      <c r="V117" s="17">
        <f t="shared" si="5"/>
        <v>0.2</v>
      </c>
      <c r="W117" s="12" t="str" cm="1">
        <f t="array" ref="W117">IF(T117="",R117,_xlfn.LET(_xlpm.inv, TRIM(_xlfn.TEXTSPLIT(R117,";")),_xlpm.fol, TRIM(_xlfn.TEXTSPLIT(T117,";")),_xlfn.TEXTJOIN("; ", TRUE, _xlfn._xlws.FILTER(_xlpm.inv, ISNA(MATCH(_xlpm.inv, _xlpm.fol, 0)), ""))
  )
)</f>
        <v>301; CAVU Consumer Partners; General Mills M13; Stray Dog Capital</v>
      </c>
      <c r="X117" s="16" cm="1">
        <f t="array" ref="X117">IF(W117="","N/A",COUNTA(_xlfn._xlws.FILTER(_xlfn.TEXTSPLIT(W117,";"), _xlfn.TEXTSPLIT(W117,";")&lt;&gt;"")))</f>
        <v>4</v>
      </c>
      <c r="Y117" s="17">
        <f t="shared" si="6"/>
        <v>0.8</v>
      </c>
      <c r="Z117" s="4" t="s">
        <v>810</v>
      </c>
      <c r="AA117" s="4" t="s">
        <v>830</v>
      </c>
      <c r="AB117" s="4" t="s">
        <v>821</v>
      </c>
      <c r="AC117" s="4" t="s">
        <v>517</v>
      </c>
    </row>
    <row r="118" spans="1:29" ht="29" x14ac:dyDescent="0.35">
      <c r="A118" s="4">
        <f t="shared" si="7"/>
        <v>116</v>
      </c>
      <c r="B118" s="4" t="s">
        <v>299</v>
      </c>
      <c r="C118" s="4" t="s">
        <v>300</v>
      </c>
      <c r="D118" s="4">
        <v>2013</v>
      </c>
      <c r="E118" s="12" t="s">
        <v>930</v>
      </c>
      <c r="F118" s="4" t="s">
        <v>958</v>
      </c>
      <c r="G118" s="4" t="s">
        <v>1154</v>
      </c>
      <c r="H118" s="4" t="s">
        <v>1155</v>
      </c>
      <c r="I118" s="14">
        <v>5.87</v>
      </c>
      <c r="J118" s="13">
        <v>43220</v>
      </c>
      <c r="K118" s="25">
        <v>1.04</v>
      </c>
      <c r="L118" s="14">
        <v>1.24</v>
      </c>
      <c r="M118" s="14">
        <v>27.24</v>
      </c>
      <c r="N118" s="4" t="s">
        <v>471</v>
      </c>
      <c r="O118" s="18">
        <v>3.06</v>
      </c>
      <c r="P118" s="14"/>
      <c r="Q118" s="15">
        <f t="shared" si="4"/>
        <v>0</v>
      </c>
      <c r="R118" s="12" t="s">
        <v>656</v>
      </c>
      <c r="S118" s="16" cm="1">
        <f t="array" ref="S118">IF(R118="",0,COUNTA(_xlfn._xlws.FILTER(_xlfn.TEXTSPLIT(R118,";"), _xlfn.TEXTSPLIT(R118,";")&lt;&gt;"")))</f>
        <v>2</v>
      </c>
      <c r="T118" s="12"/>
      <c r="U118" s="16" cm="1">
        <f t="array" ref="U118">IF(T118="",0,COUNTA(_xlfn._xlws.FILTER(_xlfn.TEXTSPLIT(T118,";"), _xlfn.TEXTSPLIT(T118,";")&lt;&gt;"")))</f>
        <v>0</v>
      </c>
      <c r="V118" s="17">
        <f t="shared" si="5"/>
        <v>0</v>
      </c>
      <c r="W118" s="12" t="str" cm="1">
        <f t="array" ref="W118">IF(T118="",R118,_xlfn.LET(_xlpm.inv, TRIM(_xlfn.TEXTSPLIT(R118,";")),_xlpm.fol, TRIM(_xlfn.TEXTSPLIT(T118,";")),_xlfn.TEXTJOIN("; ", TRUE, _xlfn._xlws.FILTER(_xlpm.inv, ISNA(MATCH(_xlpm.inv, _xlpm.fol, 0)), ""))
  )
)</f>
        <v xml:space="preserve">Hatch Blue; Moodoos Investments </v>
      </c>
      <c r="X118" s="16" cm="1">
        <f t="array" ref="X118">IF(W118="","N/A",COUNTA(_xlfn._xlws.FILTER(_xlfn.TEXTSPLIT(W118,";"), _xlfn.TEXTSPLIT(W118,";")&lt;&gt;"")))</f>
        <v>2</v>
      </c>
      <c r="Y118" s="17">
        <f t="shared" si="6"/>
        <v>1</v>
      </c>
      <c r="Z118" s="4" t="s">
        <v>810</v>
      </c>
      <c r="AA118" s="4" t="s">
        <v>830</v>
      </c>
      <c r="AB118" s="4" t="s">
        <v>814</v>
      </c>
      <c r="AC118" s="4" t="s">
        <v>517</v>
      </c>
    </row>
    <row r="119" spans="1:29" ht="29" x14ac:dyDescent="0.35">
      <c r="A119" s="4">
        <f t="shared" si="7"/>
        <v>117</v>
      </c>
      <c r="B119" s="4" t="s">
        <v>301</v>
      </c>
      <c r="C119" s="4" t="s">
        <v>302</v>
      </c>
      <c r="D119" s="4">
        <v>2018</v>
      </c>
      <c r="E119" s="12" t="s">
        <v>931</v>
      </c>
      <c r="F119" s="4" t="s">
        <v>958</v>
      </c>
      <c r="G119" s="4" t="s">
        <v>1156</v>
      </c>
      <c r="H119" s="4" t="s">
        <v>1157</v>
      </c>
      <c r="I119" s="14">
        <v>76.709999999999994</v>
      </c>
      <c r="J119" s="13">
        <v>45980</v>
      </c>
      <c r="K119" s="25">
        <v>3.85</v>
      </c>
      <c r="L119" s="14">
        <v>15.48</v>
      </c>
      <c r="M119" s="14">
        <v>228.48</v>
      </c>
      <c r="N119" s="4" t="s">
        <v>499</v>
      </c>
      <c r="O119" s="18">
        <v>1.01</v>
      </c>
      <c r="P119" s="14"/>
      <c r="Q119" s="15">
        <f t="shared" si="4"/>
        <v>0</v>
      </c>
      <c r="R119" s="12"/>
      <c r="S119" s="16" cm="1">
        <f t="array" ref="S119">IF(R119="",0,COUNTA(_xlfn._xlws.FILTER(_xlfn.TEXTSPLIT(R119,";"), _xlfn.TEXTSPLIT(R119,";")&lt;&gt;"")))</f>
        <v>0</v>
      </c>
      <c r="T119" s="12"/>
      <c r="U119" s="16" cm="1">
        <f t="array" ref="U119">IF(T119="",0,COUNTA(_xlfn._xlws.FILTER(_xlfn.TEXTSPLIT(T119,";"), _xlfn.TEXTSPLIT(T119,";")&lt;&gt;"")))</f>
        <v>0</v>
      </c>
      <c r="V119" s="17" t="str">
        <f t="shared" si="5"/>
        <v>N/A</v>
      </c>
      <c r="W119" s="12" cm="1">
        <f t="array" ref="W119">IF(T119="",R119,_xlfn.LET(_xlpm.inv, TRIM(_xlfn.TEXTSPLIT(R119,";")),_xlpm.fol, TRIM(_xlfn.TEXTSPLIT(T119,";")),_xlfn.TEXTJOIN("; ", TRUE, _xlfn._xlws.FILTER(_xlpm.inv, ISNA(MATCH(_xlpm.inv, _xlpm.fol, 0)), ""))
  )
)</f>
        <v>0</v>
      </c>
      <c r="X119" s="16" cm="1">
        <f t="array" ref="X119">IF(W119="","N/A",COUNTA(_xlfn._xlws.FILTER(_xlfn.TEXTSPLIT(W119,";"), _xlfn.TEXTSPLIT(W119,";")&lt;&gt;"")))</f>
        <v>1</v>
      </c>
      <c r="Y119" s="17" t="str">
        <f t="shared" si="6"/>
        <v>N/A</v>
      </c>
      <c r="Z119" s="4" t="s">
        <v>810</v>
      </c>
      <c r="AA119" s="4" t="s">
        <v>831</v>
      </c>
      <c r="AB119" s="4" t="s">
        <v>867</v>
      </c>
      <c r="AC119" s="4" t="s">
        <v>517</v>
      </c>
    </row>
    <row r="120" spans="1:29" ht="29" x14ac:dyDescent="0.35">
      <c r="A120" s="4">
        <f t="shared" si="7"/>
        <v>118</v>
      </c>
      <c r="B120" s="4" t="s">
        <v>303</v>
      </c>
      <c r="C120" s="4" t="s">
        <v>304</v>
      </c>
      <c r="D120" s="4">
        <v>2020</v>
      </c>
      <c r="E120" s="12" t="s">
        <v>927</v>
      </c>
      <c r="F120" s="4" t="s">
        <v>958</v>
      </c>
      <c r="G120" s="4" t="s">
        <v>1158</v>
      </c>
      <c r="H120" s="4" t="s">
        <v>1159</v>
      </c>
      <c r="I120" s="14">
        <v>5.26</v>
      </c>
      <c r="J120" s="13">
        <v>44705</v>
      </c>
      <c r="K120" s="25"/>
      <c r="L120" s="14">
        <v>4.16</v>
      </c>
      <c r="M120" s="14">
        <v>39</v>
      </c>
      <c r="N120" s="4" t="s">
        <v>471</v>
      </c>
      <c r="O120" s="18">
        <v>3.48</v>
      </c>
      <c r="P120" s="14"/>
      <c r="Q120" s="15">
        <f t="shared" si="4"/>
        <v>0</v>
      </c>
      <c r="R120" s="12" t="s">
        <v>657</v>
      </c>
      <c r="S120" s="16" cm="1">
        <f t="array" ref="S120">IF(R120="",0,COUNTA(_xlfn._xlws.FILTER(_xlfn.TEXTSPLIT(R120,";"), _xlfn.TEXTSPLIT(R120,";")&lt;&gt;"")))</f>
        <v>1</v>
      </c>
      <c r="T120" s="12"/>
      <c r="U120" s="16" cm="1">
        <f t="array" ref="U120">IF(T120="",0,COUNTA(_xlfn._xlws.FILTER(_xlfn.TEXTSPLIT(T120,";"), _xlfn.TEXTSPLIT(T120,";")&lt;&gt;"")))</f>
        <v>0</v>
      </c>
      <c r="V120" s="17">
        <f t="shared" si="5"/>
        <v>0</v>
      </c>
      <c r="W120" s="12" t="str" cm="1">
        <f t="array" ref="W120">IF(T120="",R120,_xlfn.LET(_xlpm.inv, TRIM(_xlfn.TEXTSPLIT(R120,";")),_xlpm.fol, TRIM(_xlfn.TEXTSPLIT(T120,";")),_xlfn.TEXTJOIN("; ", TRUE, _xlfn._xlws.FILTER(_xlpm.inv, ISNA(MATCH(_xlpm.inv, _xlpm.fol, 0)), ""))
  )
)</f>
        <v xml:space="preserve">Fenix Equity Group </v>
      </c>
      <c r="X120" s="16" cm="1">
        <f t="array" ref="X120">IF(W120="","N/A",COUNTA(_xlfn._xlws.FILTER(_xlfn.TEXTSPLIT(W120,";"), _xlfn.TEXTSPLIT(W120,";")&lt;&gt;"")))</f>
        <v>1</v>
      </c>
      <c r="Y120" s="17">
        <f t="shared" si="6"/>
        <v>1</v>
      </c>
      <c r="Z120" s="4" t="s">
        <v>817</v>
      </c>
      <c r="AA120" s="4" t="s">
        <v>831</v>
      </c>
      <c r="AB120" s="4" t="s">
        <v>849</v>
      </c>
      <c r="AC120" s="4" t="s">
        <v>517</v>
      </c>
    </row>
    <row r="121" spans="1:29" ht="29" x14ac:dyDescent="0.35">
      <c r="A121" s="4">
        <f t="shared" si="7"/>
        <v>119</v>
      </c>
      <c r="B121" s="4" t="s">
        <v>303</v>
      </c>
      <c r="C121" s="4" t="s">
        <v>304</v>
      </c>
      <c r="D121" s="4">
        <v>2020</v>
      </c>
      <c r="E121" s="12" t="s">
        <v>927</v>
      </c>
      <c r="F121" s="4" t="s">
        <v>958</v>
      </c>
      <c r="G121" s="4" t="s">
        <v>1158</v>
      </c>
      <c r="H121" s="4" t="s">
        <v>1159</v>
      </c>
      <c r="I121" s="14">
        <v>12.26</v>
      </c>
      <c r="J121" s="13">
        <v>45076</v>
      </c>
      <c r="K121" s="25">
        <v>1.02</v>
      </c>
      <c r="L121" s="14">
        <v>7</v>
      </c>
      <c r="M121" s="14">
        <v>32.5</v>
      </c>
      <c r="N121" s="4" t="s">
        <v>474</v>
      </c>
      <c r="O121" s="18">
        <v>0.7</v>
      </c>
      <c r="P121" s="14"/>
      <c r="Q121" s="15">
        <f t="shared" si="4"/>
        <v>0</v>
      </c>
      <c r="R121" s="12" t="s">
        <v>658</v>
      </c>
      <c r="S121" s="16" cm="1">
        <f t="array" ref="S121">IF(R121="",0,COUNTA(_xlfn._xlws.FILTER(_xlfn.TEXTSPLIT(R121,";"), _xlfn.TEXTSPLIT(R121,";")&lt;&gt;"")))</f>
        <v>2</v>
      </c>
      <c r="T121" s="12"/>
      <c r="U121" s="16" cm="1">
        <f t="array" ref="U121">IF(T121="",0,COUNTA(_xlfn._xlws.FILTER(_xlfn.TEXTSPLIT(T121,";"), _xlfn.TEXTSPLIT(T121,";")&lt;&gt;"")))</f>
        <v>0</v>
      </c>
      <c r="V121" s="17">
        <f t="shared" si="5"/>
        <v>0</v>
      </c>
      <c r="W121" s="12" t="str" cm="1">
        <f t="array" ref="W121">IF(T121="",R121,_xlfn.LET(_xlpm.inv, TRIM(_xlfn.TEXTSPLIT(R121,";")),_xlpm.fol, TRIM(_xlfn.TEXTSPLIT(T121,";")),_xlfn.TEXTJOIN("; ", TRUE, _xlfn._xlws.FILTER(_xlpm.inv, ISNA(MATCH(_xlpm.inv, _xlpm.fol, 0)), ""))
  )
)</f>
        <v xml:space="preserve">Ancora Holdings Group; Nottingham Unlimited Ventures </v>
      </c>
      <c r="X121" s="16" cm="1">
        <f t="array" ref="X121">IF(W121="","N/A",COUNTA(_xlfn._xlws.FILTER(_xlfn.TEXTSPLIT(W121,";"), _xlfn.TEXTSPLIT(W121,";")&lt;&gt;"")))</f>
        <v>2</v>
      </c>
      <c r="Y121" s="17">
        <f t="shared" si="6"/>
        <v>1</v>
      </c>
      <c r="Z121" s="4" t="s">
        <v>817</v>
      </c>
      <c r="AA121" s="4" t="s">
        <v>828</v>
      </c>
      <c r="AB121" s="4" t="s">
        <v>849</v>
      </c>
      <c r="AC121" s="4" t="s">
        <v>517</v>
      </c>
    </row>
    <row r="122" spans="1:29" x14ac:dyDescent="0.35">
      <c r="A122" s="4">
        <f t="shared" si="7"/>
        <v>120</v>
      </c>
      <c r="B122" s="4" t="s">
        <v>305</v>
      </c>
      <c r="C122" s="4" t="s">
        <v>224</v>
      </c>
      <c r="D122" s="4">
        <v>2021</v>
      </c>
      <c r="E122" s="12" t="s">
        <v>211</v>
      </c>
      <c r="F122" s="4" t="s">
        <v>963</v>
      </c>
      <c r="G122" s="4" t="s">
        <v>1160</v>
      </c>
      <c r="H122" s="4" t="s">
        <v>1161</v>
      </c>
      <c r="I122" s="14"/>
      <c r="J122" s="13">
        <v>44524</v>
      </c>
      <c r="K122" s="25"/>
      <c r="L122" s="14"/>
      <c r="M122" s="14"/>
      <c r="N122" s="4"/>
      <c r="O122" s="18"/>
      <c r="P122" s="14"/>
      <c r="Q122" s="15" t="str">
        <f t="shared" si="4"/>
        <v>N/A</v>
      </c>
      <c r="R122" s="12" t="s">
        <v>659</v>
      </c>
      <c r="S122" s="16" cm="1">
        <f t="array" ref="S122">IF(R122="",0,COUNTA(_xlfn._xlws.FILTER(_xlfn.TEXTSPLIT(R122,";"), _xlfn.TEXTSPLIT(R122,";")&lt;&gt;"")))</f>
        <v>1</v>
      </c>
      <c r="T122" s="12"/>
      <c r="U122" s="16" cm="1">
        <f t="array" ref="U122">IF(T122="",0,COUNTA(_xlfn._xlws.FILTER(_xlfn.TEXTSPLIT(T122,";"), _xlfn.TEXTSPLIT(T122,";")&lt;&gt;"")))</f>
        <v>0</v>
      </c>
      <c r="V122" s="17">
        <f t="shared" si="5"/>
        <v>0</v>
      </c>
      <c r="W122" s="12" t="str" cm="1">
        <f t="array" ref="W122">IF(T122="",R122,_xlfn.LET(_xlpm.inv, TRIM(_xlfn.TEXTSPLIT(R122,";")),_xlpm.fol, TRIM(_xlfn.TEXTSPLIT(T122,";")),_xlfn.TEXTJOIN("; ", TRUE, _xlfn._xlws.FILTER(_xlpm.inv, ISNA(MATCH(_xlpm.inv, _xlpm.fol, 0)), ""))
  )
)</f>
        <v xml:space="preserve">Cresta Fund Management </v>
      </c>
      <c r="X122" s="16" cm="1">
        <f t="array" ref="X122">IF(W122="","N/A",COUNTA(_xlfn._xlws.FILTER(_xlfn.TEXTSPLIT(W122,";"), _xlfn.TEXTSPLIT(W122,";")&lt;&gt;"")))</f>
        <v>1</v>
      </c>
      <c r="Y122" s="17">
        <f t="shared" si="6"/>
        <v>1</v>
      </c>
      <c r="Z122" s="4" t="s">
        <v>815</v>
      </c>
      <c r="AA122" s="4"/>
      <c r="AB122" s="4" t="s">
        <v>844</v>
      </c>
      <c r="AC122" s="4" t="s">
        <v>517</v>
      </c>
    </row>
    <row r="123" spans="1:29" ht="29" x14ac:dyDescent="0.35">
      <c r="A123" s="4">
        <f t="shared" si="7"/>
        <v>121</v>
      </c>
      <c r="B123" s="4" t="s">
        <v>306</v>
      </c>
      <c r="C123" s="4" t="s">
        <v>307</v>
      </c>
      <c r="D123" s="4">
        <v>2016</v>
      </c>
      <c r="E123" s="12" t="s">
        <v>920</v>
      </c>
      <c r="F123" s="4" t="s">
        <v>960</v>
      </c>
      <c r="G123" s="4" t="s">
        <v>1162</v>
      </c>
      <c r="H123" s="4" t="s">
        <v>1163</v>
      </c>
      <c r="I123" s="14">
        <v>0.8</v>
      </c>
      <c r="J123" s="13">
        <v>43084</v>
      </c>
      <c r="K123" s="25"/>
      <c r="L123" s="14">
        <v>0.8</v>
      </c>
      <c r="M123" s="14">
        <v>3.8</v>
      </c>
      <c r="N123" s="4"/>
      <c r="O123" s="18"/>
      <c r="P123" s="14"/>
      <c r="Q123" s="15">
        <f t="shared" si="4"/>
        <v>0</v>
      </c>
      <c r="R123" s="12" t="s">
        <v>660</v>
      </c>
      <c r="S123" s="16" cm="1">
        <f t="array" ref="S123">IF(R123="",0,COUNTA(_xlfn._xlws.FILTER(_xlfn.TEXTSPLIT(R123,";"), _xlfn.TEXTSPLIT(R123,";")&lt;&gt;"")))</f>
        <v>1</v>
      </c>
      <c r="T123" s="12"/>
      <c r="U123" s="16" cm="1">
        <f t="array" ref="U123">IF(T123="",0,COUNTA(_xlfn._xlws.FILTER(_xlfn.TEXTSPLIT(T123,";"), _xlfn.TEXTSPLIT(T123,";")&lt;&gt;"")))</f>
        <v>0</v>
      </c>
      <c r="V123" s="17">
        <f t="shared" si="5"/>
        <v>0</v>
      </c>
      <c r="W123" s="12" t="str" cm="1">
        <f t="array" ref="W123">IF(T123="",R123,_xlfn.LET(_xlpm.inv, TRIM(_xlfn.TEXTSPLIT(R123,";")),_xlpm.fol, TRIM(_xlfn.TEXTSPLIT(T123,";")),_xlfn.TEXTJOIN("; ", TRUE, _xlfn._xlws.FILTER(_xlpm.inv, ISNA(MATCH(_xlpm.inv, _xlpm.fol, 0)), ""))
  )
)</f>
        <v xml:space="preserve">Philippa Gawley </v>
      </c>
      <c r="X123" s="16" cm="1">
        <f t="array" ref="X123">IF(W123="","N/A",COUNTA(_xlfn._xlws.FILTER(_xlfn.TEXTSPLIT(W123,";"), _xlfn.TEXTSPLIT(W123,";")&lt;&gt;"")))</f>
        <v>1</v>
      </c>
      <c r="Y123" s="17">
        <f t="shared" si="6"/>
        <v>1</v>
      </c>
      <c r="Z123" s="4" t="s">
        <v>817</v>
      </c>
      <c r="AA123" s="4" t="s">
        <v>828</v>
      </c>
      <c r="AB123" s="4" t="s">
        <v>853</v>
      </c>
      <c r="AC123" s="4" t="s">
        <v>517</v>
      </c>
    </row>
    <row r="124" spans="1:29" ht="29" x14ac:dyDescent="0.35">
      <c r="A124" s="4">
        <f t="shared" si="7"/>
        <v>122</v>
      </c>
      <c r="B124" s="4" t="s">
        <v>306</v>
      </c>
      <c r="C124" s="4" t="s">
        <v>307</v>
      </c>
      <c r="D124" s="4">
        <v>2016</v>
      </c>
      <c r="E124" s="12" t="s">
        <v>920</v>
      </c>
      <c r="F124" s="4" t="s">
        <v>960</v>
      </c>
      <c r="G124" s="4" t="s">
        <v>1162</v>
      </c>
      <c r="H124" s="4" t="s">
        <v>1163</v>
      </c>
      <c r="I124" s="14">
        <v>3.3</v>
      </c>
      <c r="J124" s="13">
        <v>43458</v>
      </c>
      <c r="K124" s="25">
        <v>1.02</v>
      </c>
      <c r="L124" s="14">
        <v>2.5</v>
      </c>
      <c r="M124" s="14">
        <v>16.5</v>
      </c>
      <c r="N124" s="4" t="s">
        <v>471</v>
      </c>
      <c r="O124" s="18">
        <v>3.68</v>
      </c>
      <c r="P124" s="14"/>
      <c r="Q124" s="15">
        <f t="shared" si="4"/>
        <v>0</v>
      </c>
      <c r="R124" s="12" t="s">
        <v>661</v>
      </c>
      <c r="S124" s="16" cm="1">
        <f t="array" ref="S124">IF(R124="",0,COUNTA(_xlfn._xlws.FILTER(_xlfn.TEXTSPLIT(R124,";"), _xlfn.TEXTSPLIT(R124,";")&lt;&gt;"")))</f>
        <v>4</v>
      </c>
      <c r="T124" s="12" t="s">
        <v>785</v>
      </c>
      <c r="U124" s="16" cm="1">
        <f t="array" ref="U124">IF(T124="",0,COUNTA(_xlfn._xlws.FILTER(_xlfn.TEXTSPLIT(T124,";"), _xlfn.TEXTSPLIT(T124,";")&lt;&gt;"")))</f>
        <v>1</v>
      </c>
      <c r="V124" s="17">
        <f t="shared" si="5"/>
        <v>0.25</v>
      </c>
      <c r="W124" s="12" t="str" cm="1">
        <f t="array" ref="W124">IF(T124="",R124,_xlfn.LET(_xlpm.inv, TRIM(_xlfn.TEXTSPLIT(R124,";")),_xlpm.fol, TRIM(_xlfn.TEXTSPLIT(T124,";")),_xlfn.TEXTJOIN("; ", TRUE, _xlfn._xlws.FILTER(_xlpm.inv, ISNA(MATCH(_xlpm.inv, _xlpm.fol, 0)), ""))
  )
)</f>
        <v>E8; Harbor Street Ventures; Tribeca Early Stage Partners</v>
      </c>
      <c r="X124" s="16" cm="1">
        <f t="array" ref="X124">IF(W124="","N/A",COUNTA(_xlfn._xlws.FILTER(_xlfn.TEXTSPLIT(W124,";"), _xlfn.TEXTSPLIT(W124,";")&lt;&gt;"")))</f>
        <v>3</v>
      </c>
      <c r="Y124" s="17">
        <f t="shared" si="6"/>
        <v>0.75</v>
      </c>
      <c r="Z124" s="4" t="s">
        <v>817</v>
      </c>
      <c r="AA124" s="4" t="s">
        <v>820</v>
      </c>
      <c r="AB124" s="4" t="s">
        <v>853</v>
      </c>
      <c r="AC124" s="4" t="s">
        <v>517</v>
      </c>
    </row>
    <row r="125" spans="1:29" ht="29" x14ac:dyDescent="0.35">
      <c r="A125" s="4">
        <f t="shared" si="7"/>
        <v>123</v>
      </c>
      <c r="B125" s="4" t="s">
        <v>308</v>
      </c>
      <c r="C125" s="4" t="s">
        <v>307</v>
      </c>
      <c r="D125" s="4">
        <v>2021</v>
      </c>
      <c r="E125" s="12" t="s">
        <v>932</v>
      </c>
      <c r="F125" s="4" t="s">
        <v>960</v>
      </c>
      <c r="G125" s="4" t="s">
        <v>1164</v>
      </c>
      <c r="H125" s="4" t="s">
        <v>1165</v>
      </c>
      <c r="I125" s="14">
        <v>3.25</v>
      </c>
      <c r="J125" s="13">
        <v>44501</v>
      </c>
      <c r="K125" s="25"/>
      <c r="L125" s="14">
        <v>3.25</v>
      </c>
      <c r="M125" s="14"/>
      <c r="N125" s="4"/>
      <c r="O125" s="18"/>
      <c r="P125" s="14"/>
      <c r="Q125" s="15">
        <f t="shared" si="4"/>
        <v>0</v>
      </c>
      <c r="R125" s="12" t="s">
        <v>662</v>
      </c>
      <c r="S125" s="16" cm="1">
        <f t="array" ref="S125">IF(R125="",0,COUNTA(_xlfn._xlws.FILTER(_xlfn.TEXTSPLIT(R125,";"), _xlfn.TEXTSPLIT(R125,";")&lt;&gt;"")))</f>
        <v>6</v>
      </c>
      <c r="T125" s="12"/>
      <c r="U125" s="16" cm="1">
        <f t="array" ref="U125">IF(T125="",0,COUNTA(_xlfn._xlws.FILTER(_xlfn.TEXTSPLIT(T125,";"), _xlfn.TEXTSPLIT(T125,";")&lt;&gt;"")))</f>
        <v>0</v>
      </c>
      <c r="V125" s="17">
        <f t="shared" si="5"/>
        <v>0</v>
      </c>
      <c r="W125" s="12" t="str" cm="1">
        <f t="array" ref="W125">IF(T125="",R125,_xlfn.LET(_xlpm.inv, TRIM(_xlfn.TEXTSPLIT(R125,";")),_xlpm.fol, TRIM(_xlfn.TEXTSPLIT(T125,";")),_xlfn.TEXTJOIN("; ", TRUE, _xlfn._xlws.FILTER(_xlpm.inv, ISNA(MATCH(_xlpm.inv, _xlpm.fol, 0)), ""))
  )
)</f>
        <v>Cantos Ventures; Cibersons; Collaborative Fund; Incite Ventures; Social Impact Capital; Voyager</v>
      </c>
      <c r="X125" s="16" cm="1">
        <f t="array" ref="X125">IF(W125="","N/A",COUNTA(_xlfn._xlws.FILTER(_xlfn.TEXTSPLIT(W125,";"), _xlfn.TEXTSPLIT(W125,";")&lt;&gt;"")))</f>
        <v>6</v>
      </c>
      <c r="Y125" s="17">
        <f t="shared" si="6"/>
        <v>1</v>
      </c>
      <c r="Z125" s="4" t="s">
        <v>812</v>
      </c>
      <c r="AA125" s="4" t="s">
        <v>79</v>
      </c>
      <c r="AB125" s="4" t="s">
        <v>872</v>
      </c>
      <c r="AC125" s="4" t="s">
        <v>517</v>
      </c>
    </row>
    <row r="126" spans="1:29" ht="29" x14ac:dyDescent="0.35">
      <c r="A126" s="4">
        <f t="shared" si="7"/>
        <v>124</v>
      </c>
      <c r="B126" s="4" t="s">
        <v>308</v>
      </c>
      <c r="C126" s="4" t="s">
        <v>307</v>
      </c>
      <c r="D126" s="4">
        <v>2021</v>
      </c>
      <c r="E126" s="12" t="s">
        <v>932</v>
      </c>
      <c r="F126" s="4" t="s">
        <v>960</v>
      </c>
      <c r="G126" s="4" t="s">
        <v>1164</v>
      </c>
      <c r="H126" s="4" t="s">
        <v>1165</v>
      </c>
      <c r="I126" s="14">
        <v>3.35</v>
      </c>
      <c r="J126" s="13">
        <v>44851</v>
      </c>
      <c r="K126" s="25"/>
      <c r="L126" s="14"/>
      <c r="M126" s="14"/>
      <c r="N126" s="4"/>
      <c r="O126" s="18"/>
      <c r="P126" s="14"/>
      <c r="Q126" s="15" t="str">
        <f t="shared" si="4"/>
        <v>N/A</v>
      </c>
      <c r="R126" s="12" t="s">
        <v>526</v>
      </c>
      <c r="S126" s="16" cm="1">
        <f t="array" ref="S126">IF(R126="",0,COUNTA(_xlfn._xlws.FILTER(_xlfn.TEXTSPLIT(R126,";"), _xlfn.TEXTSPLIT(R126,";")&lt;&gt;"")))</f>
        <v>2</v>
      </c>
      <c r="T126" s="12"/>
      <c r="U126" s="16" cm="1">
        <f t="array" ref="U126">IF(T126="",0,COUNTA(_xlfn._xlws.FILTER(_xlfn.TEXTSPLIT(T126,";"), _xlfn.TEXTSPLIT(T126,";")&lt;&gt;"")))</f>
        <v>0</v>
      </c>
      <c r="V126" s="17">
        <f t="shared" si="5"/>
        <v>0</v>
      </c>
      <c r="W126" s="12" t="str" cm="1">
        <f t="array" ref="W126">IF(T126="",R126,_xlfn.LET(_xlpm.inv, TRIM(_xlfn.TEXTSPLIT(R126,";")),_xlpm.fol, TRIM(_xlfn.TEXTSPLIT(T126,";")),_xlfn.TEXTJOIN("; ", TRUE, _xlfn._xlws.FILTER(_xlpm.inv, ISNA(MATCH(_xlpm.inv, _xlpm.fol, 0)), ""))
  )
)</f>
        <v xml:space="preserve">Impact Science Ventures; Khosla Ventures </v>
      </c>
      <c r="X126" s="16" cm="1">
        <f t="array" ref="X126">IF(W126="","N/A",COUNTA(_xlfn._xlws.FILTER(_xlfn.TEXTSPLIT(W126,";"), _xlfn.TEXTSPLIT(W126,";")&lt;&gt;"")))</f>
        <v>2</v>
      </c>
      <c r="Y126" s="17">
        <f t="shared" si="6"/>
        <v>1</v>
      </c>
      <c r="Z126" s="4" t="s">
        <v>817</v>
      </c>
      <c r="AA126" s="4" t="s">
        <v>79</v>
      </c>
      <c r="AB126" s="4" t="s">
        <v>825</v>
      </c>
      <c r="AC126" s="4" t="s">
        <v>517</v>
      </c>
    </row>
    <row r="127" spans="1:29" x14ac:dyDescent="0.35">
      <c r="A127" s="4">
        <f t="shared" si="7"/>
        <v>125</v>
      </c>
      <c r="B127" s="4" t="s">
        <v>309</v>
      </c>
      <c r="C127" s="4" t="s">
        <v>300</v>
      </c>
      <c r="D127" s="4">
        <v>2018</v>
      </c>
      <c r="E127" s="12" t="s">
        <v>554</v>
      </c>
      <c r="F127" s="4" t="s">
        <v>557</v>
      </c>
      <c r="G127" s="4" t="s">
        <v>1166</v>
      </c>
      <c r="H127" s="4" t="s">
        <v>1167</v>
      </c>
      <c r="I127" s="14">
        <v>2</v>
      </c>
      <c r="J127" s="13">
        <v>43468</v>
      </c>
      <c r="K127" s="25"/>
      <c r="L127" s="14">
        <v>2</v>
      </c>
      <c r="M127" s="14">
        <v>4.4000000000000004</v>
      </c>
      <c r="N127" s="4"/>
      <c r="O127" s="18"/>
      <c r="P127" s="14"/>
      <c r="Q127" s="15">
        <f t="shared" si="4"/>
        <v>0</v>
      </c>
      <c r="R127" s="12" t="s">
        <v>663</v>
      </c>
      <c r="S127" s="16" cm="1">
        <f t="array" ref="S127">IF(R127="",0,COUNTA(_xlfn._xlws.FILTER(_xlfn.TEXTSPLIT(R127,";"), _xlfn.TEXTSPLIT(R127,";")&lt;&gt;"")))</f>
        <v>3</v>
      </c>
      <c r="T127" s="12"/>
      <c r="U127" s="16" cm="1">
        <f t="array" ref="U127">IF(T127="",0,COUNTA(_xlfn._xlws.FILTER(_xlfn.TEXTSPLIT(T127,";"), _xlfn.TEXTSPLIT(T127,";")&lt;&gt;"")))</f>
        <v>0</v>
      </c>
      <c r="V127" s="17">
        <f t="shared" si="5"/>
        <v>0</v>
      </c>
      <c r="W127" s="12" t="str" cm="1">
        <f t="array" ref="W127">IF(T127="",R127,_xlfn.LET(_xlpm.inv, TRIM(_xlfn.TEXTSPLIT(R127,";")),_xlpm.fol, TRIM(_xlfn.TEXTSPLIT(T127,";")),_xlfn.TEXTJOIN("; ", TRUE, _xlfn._xlws.FILTER(_xlpm.inv, ISNA(MATCH(_xlpm.inv, _xlpm.fol, 0)), ""))
  )
)</f>
        <v>Clean Energy Venture Group; Clean Energy Ventures; Greentown Labs</v>
      </c>
      <c r="X127" s="16" cm="1">
        <f t="array" ref="X127">IF(W127="","N/A",COUNTA(_xlfn._xlws.FILTER(_xlfn.TEXTSPLIT(W127,";"), _xlfn.TEXTSPLIT(W127,";")&lt;&gt;"")))</f>
        <v>3</v>
      </c>
      <c r="Y127" s="17">
        <f t="shared" si="6"/>
        <v>1</v>
      </c>
      <c r="Z127" s="4" t="s">
        <v>869</v>
      </c>
      <c r="AA127" s="4" t="s">
        <v>831</v>
      </c>
      <c r="AB127" s="4" t="s">
        <v>870</v>
      </c>
      <c r="AC127" s="4" t="s">
        <v>517</v>
      </c>
    </row>
    <row r="128" spans="1:29" ht="87" x14ac:dyDescent="0.35">
      <c r="A128" s="4">
        <f t="shared" si="7"/>
        <v>126</v>
      </c>
      <c r="B128" s="4" t="s">
        <v>310</v>
      </c>
      <c r="C128" s="4" t="s">
        <v>182</v>
      </c>
      <c r="D128" s="4"/>
      <c r="E128" s="12" t="s">
        <v>933</v>
      </c>
      <c r="F128" s="4" t="s">
        <v>958</v>
      </c>
      <c r="G128" s="4" t="s">
        <v>1168</v>
      </c>
      <c r="H128" s="4" t="s">
        <v>1169</v>
      </c>
      <c r="I128" s="14">
        <v>13.74</v>
      </c>
      <c r="J128" s="13">
        <v>44865</v>
      </c>
      <c r="K128" s="25"/>
      <c r="L128" s="14">
        <v>4.18</v>
      </c>
      <c r="M128" s="14"/>
      <c r="N128" s="4"/>
      <c r="O128" s="18"/>
      <c r="P128" s="14">
        <v>4.08</v>
      </c>
      <c r="Q128" s="15">
        <f t="shared" si="4"/>
        <v>0.97607655502392354</v>
      </c>
      <c r="R128" s="12" t="s">
        <v>664</v>
      </c>
      <c r="S128" s="16" cm="1">
        <f t="array" ref="S128">IF(R128="",0,COUNTA(_xlfn._xlws.FILTER(_xlfn.TEXTSPLIT(R128,";"), _xlfn.TEXTSPLIT(R128,";")&lt;&gt;"")))</f>
        <v>22</v>
      </c>
      <c r="T128" s="12" t="s">
        <v>786</v>
      </c>
      <c r="U128" s="16" cm="1">
        <f t="array" ref="U128">IF(T128="",0,COUNTA(_xlfn._xlws.FILTER(_xlfn.TEXTSPLIT(T128,";"), _xlfn.TEXTSPLIT(T128,";")&lt;&gt;"")))</f>
        <v>9</v>
      </c>
      <c r="V128" s="17">
        <f t="shared" si="5"/>
        <v>0.40909090909090912</v>
      </c>
      <c r="W128" s="12" t="str" cm="1">
        <f t="array" ref="W128">IF(T128="",R128,_xlfn.LET(_xlpm.inv, TRIM(_xlfn.TEXTSPLIT(R128,";")),_xlpm.fol, TRIM(_xlfn.TEXTSPLIT(T128,";")),_xlfn.TEXTJOIN("; ", TRUE, _xlfn._xlws.FILTER(_xlpm.inv, ISNA(MATCH(_xlpm.inv, _xlpm.fol, 0)), ""))
  )
)</f>
        <v>Lighthouse; Apex Companies; Magic Hour (New York); Alumni Ventures; Ehukai Investments; Trent Orr; Elizabeth S. Heavener; Serena Woodward; Clayton A. Rockefeller; Nathan G. Walworth; Brian Henry; Austin Henry; German Property Group</v>
      </c>
      <c r="X128" s="16" cm="1">
        <f t="array" ref="X128">IF(W128="","N/A",COUNTA(_xlfn._xlws.FILTER(_xlfn.TEXTSPLIT(W128,";"), _xlfn.TEXTSPLIT(W128,";")&lt;&gt;"")))</f>
        <v>13</v>
      </c>
      <c r="Y128" s="17">
        <f t="shared" si="6"/>
        <v>0.59090909090909094</v>
      </c>
      <c r="Z128" s="4" t="s">
        <v>812</v>
      </c>
      <c r="AA128" s="4" t="s">
        <v>813</v>
      </c>
      <c r="AB128" s="4" t="s">
        <v>839</v>
      </c>
      <c r="AC128" s="4" t="s">
        <v>517</v>
      </c>
    </row>
    <row r="129" spans="1:29" ht="58" x14ac:dyDescent="0.35">
      <c r="A129" s="4">
        <f t="shared" si="7"/>
        <v>127</v>
      </c>
      <c r="B129" s="4" t="s">
        <v>310</v>
      </c>
      <c r="C129" s="4" t="s">
        <v>182</v>
      </c>
      <c r="D129" s="4"/>
      <c r="E129" s="12" t="s">
        <v>933</v>
      </c>
      <c r="F129" s="4" t="s">
        <v>958</v>
      </c>
      <c r="G129" s="4" t="s">
        <v>1168</v>
      </c>
      <c r="H129" s="4" t="s">
        <v>1169</v>
      </c>
      <c r="I129" s="14">
        <v>17.329999999999998</v>
      </c>
      <c r="J129" s="13">
        <v>45257</v>
      </c>
      <c r="K129" s="25"/>
      <c r="L129" s="14">
        <v>3.59</v>
      </c>
      <c r="M129" s="14"/>
      <c r="N129" s="4"/>
      <c r="O129" s="18"/>
      <c r="P129" s="14">
        <v>3.59</v>
      </c>
      <c r="Q129" s="15">
        <f t="shared" si="4"/>
        <v>1</v>
      </c>
      <c r="R129" s="12" t="s">
        <v>665</v>
      </c>
      <c r="S129" s="16" cm="1">
        <f t="array" ref="S129">IF(R129="",0,COUNTA(_xlfn._xlws.FILTER(_xlfn.TEXTSPLIT(R129,";"), _xlfn.TEXTSPLIT(R129,";")&lt;&gt;"")))</f>
        <v>13</v>
      </c>
      <c r="T129" s="12" t="s">
        <v>787</v>
      </c>
      <c r="U129" s="16" cm="1">
        <f t="array" ref="U129">IF(T129="",0,COUNTA(_xlfn._xlws.FILTER(_xlfn.TEXTSPLIT(T129,";"), _xlfn.TEXTSPLIT(T129,";")&lt;&gt;"")))</f>
        <v>2</v>
      </c>
      <c r="V129" s="17">
        <f t="shared" si="5"/>
        <v>0.15384615384615385</v>
      </c>
      <c r="W129" s="12" t="str" cm="1">
        <f t="array" ref="W129">IF(T129="",R129,_xlfn.LET(_xlpm.inv, TRIM(_xlfn.TEXTSPLIT(R129,";")),_xlpm.fol, TRIM(_xlfn.TEXTSPLIT(T129,";")),_xlfn.TEXTJOIN("; ", TRUE, _xlfn._xlws.FILTER(_xlpm.inv, ISNA(MATCH(_xlpm.inv, _xlpm.fol, 0)), ""))
  )
)</f>
        <v>Ten Eighty Capital; Tuna Investments; K2X; Anthropocene Ventures; Engage Venture Partners; Joseph L Stornelli; Andrew J Kabatch; R. Brent Alderfer; Sachin S Joshi; John M. Bianchi; Robert Durr; German Property Group; Kilara Capital</v>
      </c>
      <c r="X129" s="16" cm="1">
        <f t="array" ref="X129">IF(W129="","N/A",COUNTA(_xlfn._xlws.FILTER(_xlfn.TEXTSPLIT(W129,";"), _xlfn.TEXTSPLIT(W129,";")&lt;&gt;"")))</f>
        <v>13</v>
      </c>
      <c r="Y129" s="17">
        <f t="shared" si="6"/>
        <v>1</v>
      </c>
      <c r="Z129" s="4" t="s">
        <v>812</v>
      </c>
      <c r="AA129" s="4" t="s">
        <v>79</v>
      </c>
      <c r="AB129" s="4" t="s">
        <v>839</v>
      </c>
      <c r="AC129" s="4" t="s">
        <v>517</v>
      </c>
    </row>
    <row r="130" spans="1:29" ht="72.5" x14ac:dyDescent="0.35">
      <c r="A130" s="4">
        <f t="shared" si="7"/>
        <v>128</v>
      </c>
      <c r="B130" s="4" t="s">
        <v>310</v>
      </c>
      <c r="C130" s="4" t="s">
        <v>182</v>
      </c>
      <c r="D130" s="4"/>
      <c r="E130" s="12" t="s">
        <v>933</v>
      </c>
      <c r="F130" s="4" t="s">
        <v>958</v>
      </c>
      <c r="G130" s="4" t="s">
        <v>1168</v>
      </c>
      <c r="H130" s="4" t="s">
        <v>1169</v>
      </c>
      <c r="I130" s="14">
        <v>7.75</v>
      </c>
      <c r="J130" s="13">
        <v>43819</v>
      </c>
      <c r="K130" s="25"/>
      <c r="L130" s="14">
        <v>5.56</v>
      </c>
      <c r="M130" s="14"/>
      <c r="N130" s="4"/>
      <c r="O130" s="18"/>
      <c r="P130" s="14">
        <v>0.44</v>
      </c>
      <c r="Q130" s="15">
        <f t="shared" si="4"/>
        <v>7.9136690647482022E-2</v>
      </c>
      <c r="R130" s="12" t="s">
        <v>666</v>
      </c>
      <c r="S130" s="16" cm="1">
        <f t="array" ref="S130">IF(R130="",0,COUNTA(_xlfn._xlws.FILTER(_xlfn.TEXTSPLIT(R130,";"), _xlfn.TEXTSPLIT(R130,";")&lt;&gt;"")))</f>
        <v>21</v>
      </c>
      <c r="T130" s="12" t="s">
        <v>788</v>
      </c>
      <c r="U130" s="16" cm="1">
        <f t="array" ref="U130">IF(T130="",0,COUNTA(_xlfn._xlws.FILTER(_xlfn.TEXTSPLIT(T130,";"), _xlfn.TEXTSPLIT(T130,";")&lt;&gt;"")))</f>
        <v>4</v>
      </c>
      <c r="V130" s="17">
        <f t="shared" si="5"/>
        <v>0.19047619047619047</v>
      </c>
      <c r="W130" s="12" t="str" cm="1">
        <f t="array" ref="W130">IF(T130="",R130,_xlfn.LET(_xlpm.inv, TRIM(_xlfn.TEXTSPLIT(R130,";")),_xlpm.fol, TRIM(_xlfn.TEXTSPLIT(T130,";")),_xlfn.TEXTJOIN("; ", TRUE, _xlfn._xlws.FILTER(_xlpm.inv, ISNA(MATCH(_xlpm.inv, _xlpm.fol, 0)), ""))
  )
)</f>
        <v>Kingswood Capital Partners; KRG Capital Partners; Closed Loop Partners; For Good Ventures; TWB Investment; Gratitude Railroad; Sunset Ventures; Geekdom Fund; Alan Chung; Gisele Brisson; Beth S. Horowitz; Margaret Segal; Howard Levine; Peter Libby; Seabird Ventures; Impact Assets; NaHCO3 and Empire State Developmen</v>
      </c>
      <c r="X130" s="16" cm="1">
        <f t="array" ref="X130">IF(W130="","N/A",COUNTA(_xlfn._xlws.FILTER(_xlfn.TEXTSPLIT(W130,";"), _xlfn.TEXTSPLIT(W130,";")&lt;&gt;"")))</f>
        <v>17</v>
      </c>
      <c r="Y130" s="17">
        <f t="shared" si="6"/>
        <v>0.80952380952380953</v>
      </c>
      <c r="Z130" s="4" t="s">
        <v>812</v>
      </c>
      <c r="AA130" s="4" t="s">
        <v>813</v>
      </c>
      <c r="AB130" s="4" t="s">
        <v>839</v>
      </c>
      <c r="AC130" s="4" t="s">
        <v>517</v>
      </c>
    </row>
    <row r="131" spans="1:29" x14ac:dyDescent="0.35">
      <c r="A131" s="4">
        <f t="shared" si="7"/>
        <v>129</v>
      </c>
      <c r="B131" s="4" t="s">
        <v>311</v>
      </c>
      <c r="C131" s="4" t="s">
        <v>312</v>
      </c>
      <c r="D131" s="4">
        <v>2017</v>
      </c>
      <c r="E131" s="12" t="s">
        <v>553</v>
      </c>
      <c r="F131" s="4" t="s">
        <v>978</v>
      </c>
      <c r="G131" s="4" t="s">
        <v>1170</v>
      </c>
      <c r="H131" s="4" t="s">
        <v>1171</v>
      </c>
      <c r="I131" s="14">
        <v>60</v>
      </c>
      <c r="J131" s="13">
        <v>44837</v>
      </c>
      <c r="K131" s="25"/>
      <c r="L131" s="14">
        <v>60</v>
      </c>
      <c r="M131" s="14"/>
      <c r="N131" s="4"/>
      <c r="O131" s="18"/>
      <c r="P131" s="14">
        <v>20</v>
      </c>
      <c r="Q131" s="15">
        <f t="shared" ref="Q131:Q194" si="8">IF(L131&gt;0,P131/L131,"N/A")</f>
        <v>0.33333333333333331</v>
      </c>
      <c r="R131" s="12" t="s">
        <v>667</v>
      </c>
      <c r="S131" s="16" cm="1">
        <f t="array" ref="S131">IF(R131="",0,COUNTA(_xlfn._xlws.FILTER(_xlfn.TEXTSPLIT(R131,";"), _xlfn.TEXTSPLIT(R131,";")&lt;&gt;"")))</f>
        <v>3</v>
      </c>
      <c r="T131" s="12"/>
      <c r="U131" s="16" cm="1">
        <f t="array" ref="U131">IF(T131="",0,COUNTA(_xlfn._xlws.FILTER(_xlfn.TEXTSPLIT(T131,";"), _xlfn.TEXTSPLIT(T131,";")&lt;&gt;"")))</f>
        <v>0</v>
      </c>
      <c r="V131" s="17">
        <f t="shared" si="5"/>
        <v>0</v>
      </c>
      <c r="W131" s="12" t="str" cm="1">
        <f t="array" ref="W131">IF(T131="",R131,_xlfn.LET(_xlpm.inv, TRIM(_xlfn.TEXTSPLIT(R131,";")),_xlpm.fol, TRIM(_xlfn.TEXTSPLIT(T131,";")),_xlfn.TEXTJOIN("; ", TRUE, _xlfn._xlws.FILTER(_xlpm.inv, ISNA(MATCH(_xlpm.inv, _xlpm.fol, 0)), ""))
  )
)</f>
        <v>Agility Ventures; Fifth Wall; Keystone National Group</v>
      </c>
      <c r="X131" s="16" cm="1">
        <f t="array" ref="X131">IF(W131="","N/A",COUNTA(_xlfn._xlws.FILTER(_xlfn.TEXTSPLIT(W131,";"), _xlfn.TEXTSPLIT(W131,";")&lt;&gt;"")))</f>
        <v>3</v>
      </c>
      <c r="Y131" s="17">
        <f t="shared" si="6"/>
        <v>1</v>
      </c>
      <c r="Z131" s="4" t="s">
        <v>810</v>
      </c>
      <c r="AA131" s="4" t="s">
        <v>831</v>
      </c>
      <c r="AB131" s="4" t="s">
        <v>871</v>
      </c>
      <c r="AC131" s="4" t="s">
        <v>517</v>
      </c>
    </row>
    <row r="132" spans="1:29" x14ac:dyDescent="0.35">
      <c r="A132" s="4">
        <f t="shared" si="7"/>
        <v>130</v>
      </c>
      <c r="B132" s="4" t="s">
        <v>313</v>
      </c>
      <c r="C132" s="4" t="s">
        <v>298</v>
      </c>
      <c r="D132" s="4">
        <v>2010</v>
      </c>
      <c r="E132" s="12" t="s">
        <v>553</v>
      </c>
      <c r="F132" s="4" t="s">
        <v>960</v>
      </c>
      <c r="G132" s="4" t="s">
        <v>1172</v>
      </c>
      <c r="H132" s="4" t="s">
        <v>1173</v>
      </c>
      <c r="I132" s="14">
        <v>49.68</v>
      </c>
      <c r="J132" s="13">
        <v>43488</v>
      </c>
      <c r="K132" s="25">
        <v>0.15</v>
      </c>
      <c r="L132" s="14">
        <v>15</v>
      </c>
      <c r="M132" s="14">
        <v>95</v>
      </c>
      <c r="N132" s="4"/>
      <c r="O132" s="18"/>
      <c r="P132" s="14"/>
      <c r="Q132" s="15">
        <f t="shared" si="8"/>
        <v>0</v>
      </c>
      <c r="R132" s="12" t="s">
        <v>668</v>
      </c>
      <c r="S132" s="16" cm="1">
        <f t="array" ref="S132">IF(R132="",0,COUNTA(_xlfn._xlws.FILTER(_xlfn.TEXTSPLIT(R132,";"), _xlfn.TEXTSPLIT(R132,";")&lt;&gt;"")))</f>
        <v>2</v>
      </c>
      <c r="T132" s="12"/>
      <c r="U132" s="16" cm="1">
        <f t="array" ref="U132">IF(T132="",0,COUNTA(_xlfn._xlws.FILTER(_xlfn.TEXTSPLIT(T132,";"), _xlfn.TEXTSPLIT(T132,";")&lt;&gt;"")))</f>
        <v>0</v>
      </c>
      <c r="V132" s="17">
        <f t="shared" ref="V132:V195" si="9">IF(S132=0,"N/A",U132/$S132)</f>
        <v>0</v>
      </c>
      <c r="W132" s="12" t="str" cm="1">
        <f t="array" ref="W132">IF(T132="",R132,_xlfn.LET(_xlpm.inv, TRIM(_xlfn.TEXTSPLIT(R132,";")),_xlpm.fol, TRIM(_xlfn.TEXTSPLIT(T132,";")),_xlfn.TEXTJOIN("; ", TRUE, _xlfn._xlws.FILTER(_xlpm.inv, ISNA(MATCH(_xlpm.inv, _xlpm.fol, 0)), ""))
  )
)</f>
        <v xml:space="preserve">Kalyan Vepuri; LG Technology Ventures </v>
      </c>
      <c r="X132" s="16" cm="1">
        <f t="array" ref="X132">IF(W132="","N/A",COUNTA(_xlfn._xlws.FILTER(_xlfn.TEXTSPLIT(W132,";"), _xlfn.TEXTSPLIT(W132,";")&lt;&gt;"")))</f>
        <v>2</v>
      </c>
      <c r="Y132" s="17">
        <f t="shared" ref="Y132:Y195" si="10">IF(S132&gt;0,IF(X132="N/A","N/A",X132/$S132),"N/A")</f>
        <v>1</v>
      </c>
      <c r="Z132" s="4" t="s">
        <v>810</v>
      </c>
      <c r="AA132" s="4" t="s">
        <v>823</v>
      </c>
      <c r="AB132" s="4" t="s">
        <v>839</v>
      </c>
      <c r="AC132" s="4" t="s">
        <v>517</v>
      </c>
    </row>
    <row r="133" spans="1:29" x14ac:dyDescent="0.35">
      <c r="A133" s="4">
        <f t="shared" ref="A133:A196" si="11">A132+1</f>
        <v>131</v>
      </c>
      <c r="B133" s="4" t="s">
        <v>314</v>
      </c>
      <c r="C133" s="4" t="s">
        <v>315</v>
      </c>
      <c r="D133" s="4">
        <v>2010</v>
      </c>
      <c r="E133" s="12" t="s">
        <v>211</v>
      </c>
      <c r="F133" s="4" t="s">
        <v>557</v>
      </c>
      <c r="G133" s="4" t="s">
        <v>1174</v>
      </c>
      <c r="H133" s="4" t="s">
        <v>1175</v>
      </c>
      <c r="I133" s="14">
        <v>1.31</v>
      </c>
      <c r="J133" s="13">
        <v>44866</v>
      </c>
      <c r="K133" s="25"/>
      <c r="L133" s="14"/>
      <c r="M133" s="14"/>
      <c r="N133" s="4"/>
      <c r="O133" s="18"/>
      <c r="P133" s="14"/>
      <c r="Q133" s="15" t="str">
        <f t="shared" si="8"/>
        <v>N/A</v>
      </c>
      <c r="R133" s="12" t="s">
        <v>501</v>
      </c>
      <c r="S133" s="16" cm="1">
        <f t="array" ref="S133">IF(R133="",0,COUNTA(_xlfn._xlws.FILTER(_xlfn.TEXTSPLIT(R133,";"), _xlfn.TEXTSPLIT(R133,";")&lt;&gt;"")))</f>
        <v>1</v>
      </c>
      <c r="T133" s="12"/>
      <c r="U133" s="16" cm="1">
        <f t="array" ref="U133">IF(T133="",0,COUNTA(_xlfn._xlws.FILTER(_xlfn.TEXTSPLIT(T133,";"), _xlfn.TEXTSPLIT(T133,";")&lt;&gt;"")))</f>
        <v>0</v>
      </c>
      <c r="V133" s="17">
        <f t="shared" si="9"/>
        <v>0</v>
      </c>
      <c r="W133" s="12" t="str" cm="1">
        <f t="array" ref="W133">IF(T133="",R133,_xlfn.LET(_xlpm.inv, TRIM(_xlfn.TEXTSPLIT(R133,";")),_xlpm.fol, TRIM(_xlfn.TEXTSPLIT(T133,";")),_xlfn.TEXTJOIN("; ", TRUE, _xlfn._xlws.FILTER(_xlpm.inv, ISNA(MATCH(_xlpm.inv, _xlpm.fol, 0)), ""))
  )
)</f>
        <v xml:space="preserve">Stonepeak Partners </v>
      </c>
      <c r="X133" s="16" cm="1">
        <f t="array" ref="X133">IF(W133="","N/A",COUNTA(_xlfn._xlws.FILTER(_xlfn.TEXTSPLIT(W133,";"), _xlfn.TEXTSPLIT(W133,";")&lt;&gt;"")))</f>
        <v>1</v>
      </c>
      <c r="Y133" s="17">
        <f t="shared" si="10"/>
        <v>1</v>
      </c>
      <c r="Z133" s="4" t="s">
        <v>815</v>
      </c>
      <c r="AA133" s="4"/>
      <c r="AB133" s="4" t="s">
        <v>822</v>
      </c>
      <c r="AC133" s="4" t="s">
        <v>517</v>
      </c>
    </row>
    <row r="134" spans="1:29" ht="29" x14ac:dyDescent="0.35">
      <c r="A134" s="4">
        <f t="shared" si="11"/>
        <v>132</v>
      </c>
      <c r="B134" s="4" t="s">
        <v>316</v>
      </c>
      <c r="C134" s="4" t="s">
        <v>317</v>
      </c>
      <c r="D134" s="4">
        <v>2011</v>
      </c>
      <c r="E134" s="12" t="s">
        <v>934</v>
      </c>
      <c r="F134" s="4" t="s">
        <v>960</v>
      </c>
      <c r="G134" s="4" t="s">
        <v>1176</v>
      </c>
      <c r="H134" s="4" t="s">
        <v>1177</v>
      </c>
      <c r="I134" s="14">
        <v>22.12</v>
      </c>
      <c r="J134" s="13">
        <v>43256</v>
      </c>
      <c r="K134" s="25">
        <v>0.43</v>
      </c>
      <c r="L134" s="14">
        <v>9.4</v>
      </c>
      <c r="M134" s="14">
        <v>79</v>
      </c>
      <c r="N134" s="4" t="s">
        <v>471</v>
      </c>
      <c r="O134" s="18"/>
      <c r="P134" s="14"/>
      <c r="Q134" s="15">
        <f t="shared" si="8"/>
        <v>0</v>
      </c>
      <c r="R134" s="12" t="s">
        <v>669</v>
      </c>
      <c r="S134" s="16" cm="1">
        <f t="array" ref="S134">IF(R134="",0,COUNTA(_xlfn._xlws.FILTER(_xlfn.TEXTSPLIT(R134,";"), _xlfn.TEXTSPLIT(R134,";")&lt;&gt;"")))</f>
        <v>2</v>
      </c>
      <c r="T134" s="12"/>
      <c r="U134" s="16" cm="1">
        <f t="array" ref="U134">IF(T134="",0,COUNTA(_xlfn._xlws.FILTER(_xlfn.TEXTSPLIT(T134,";"), _xlfn.TEXTSPLIT(T134,";")&lt;&gt;"")))</f>
        <v>0</v>
      </c>
      <c r="V134" s="17">
        <f t="shared" si="9"/>
        <v>0</v>
      </c>
      <c r="W134" s="12" t="str" cm="1">
        <f t="array" ref="W134">IF(T134="",R134,_xlfn.LET(_xlpm.inv, TRIM(_xlfn.TEXTSPLIT(R134,";")),_xlpm.fol, TRIM(_xlfn.TEXTSPLIT(T134,";")),_xlfn.TEXTJOIN("; ", TRUE, _xlfn._xlws.FILTER(_xlpm.inv, ISNA(MATCH(_xlpm.inv, _xlpm.fol, 0)), ""))
  )
)</f>
        <v xml:space="preserve">EGI Capital; Taihill Venture </v>
      </c>
      <c r="X134" s="16" cm="1">
        <f t="array" ref="X134">IF(W134="","N/A",COUNTA(_xlfn._xlws.FILTER(_xlfn.TEXTSPLIT(W134,";"), _xlfn.TEXTSPLIT(W134,";")&lt;&gt;"")))</f>
        <v>2</v>
      </c>
      <c r="Y134" s="17">
        <f t="shared" si="10"/>
        <v>1</v>
      </c>
      <c r="Z134" s="4" t="s">
        <v>810</v>
      </c>
      <c r="AA134" s="4" t="s">
        <v>831</v>
      </c>
      <c r="AB134" s="4" t="s">
        <v>839</v>
      </c>
      <c r="AC134" s="4" t="s">
        <v>517</v>
      </c>
    </row>
    <row r="135" spans="1:29" x14ac:dyDescent="0.35">
      <c r="A135" s="4">
        <f t="shared" si="11"/>
        <v>133</v>
      </c>
      <c r="B135" s="4" t="s">
        <v>318</v>
      </c>
      <c r="C135" s="4" t="s">
        <v>293</v>
      </c>
      <c r="D135" s="4">
        <v>2016</v>
      </c>
      <c r="E135" s="12" t="s">
        <v>897</v>
      </c>
      <c r="F135" s="4" t="s">
        <v>960</v>
      </c>
      <c r="G135" s="4" t="s">
        <v>1178</v>
      </c>
      <c r="H135" s="4" t="s">
        <v>1179</v>
      </c>
      <c r="I135" s="14">
        <v>10.88</v>
      </c>
      <c r="J135" s="13">
        <v>44455</v>
      </c>
      <c r="K135" s="25">
        <v>1.55</v>
      </c>
      <c r="L135" s="14">
        <v>2.96</v>
      </c>
      <c r="M135" s="14">
        <v>18.96</v>
      </c>
      <c r="N135" s="4" t="s">
        <v>474</v>
      </c>
      <c r="O135" s="18"/>
      <c r="P135" s="14"/>
      <c r="Q135" s="15">
        <f t="shared" si="8"/>
        <v>0</v>
      </c>
      <c r="R135" s="12" t="s">
        <v>670</v>
      </c>
      <c r="S135" s="16" cm="1">
        <f t="array" ref="S135">IF(R135="",0,COUNTA(_xlfn._xlws.FILTER(_xlfn.TEXTSPLIT(R135,";"), _xlfn.TEXTSPLIT(R135,";")&lt;&gt;"")))</f>
        <v>1</v>
      </c>
      <c r="T135" s="12" t="s">
        <v>789</v>
      </c>
      <c r="U135" s="16" cm="1">
        <f t="array" ref="U135">IF(T135="",0,COUNTA(_xlfn._xlws.FILTER(_xlfn.TEXTSPLIT(T135,";"), _xlfn.TEXTSPLIT(T135,";")&lt;&gt;"")))</f>
        <v>1</v>
      </c>
      <c r="V135" s="17">
        <f t="shared" si="9"/>
        <v>1</v>
      </c>
      <c r="W135" s="12" t="str" cm="1">
        <f t="array" ref="W135">IF(T135="",R135,_xlfn.LET(_xlpm.inv, TRIM(_xlfn.TEXTSPLIT(R135,";")),_xlpm.fol, TRIM(_xlfn.TEXTSPLIT(T135,";")),_xlfn.TEXTJOIN("; ", TRUE, _xlfn._xlws.FILTER(_xlpm.inv, ISNA(MATCH(_xlpm.inv, _xlpm.fol, 0)), ""))
  )
)</f>
        <v/>
      </c>
      <c r="X135" s="16" t="str" cm="1">
        <f t="array" ref="X135">IF(W135="","N/A",COUNTA(_xlfn._xlws.FILTER(_xlfn.TEXTSPLIT(W135,";"), _xlfn.TEXTSPLIT(W135,";")&lt;&gt;"")))</f>
        <v>N/A</v>
      </c>
      <c r="Y135" s="17" t="str">
        <f t="shared" si="10"/>
        <v>N/A</v>
      </c>
      <c r="Z135" s="4" t="s">
        <v>810</v>
      </c>
      <c r="AA135" s="4" t="s">
        <v>820</v>
      </c>
      <c r="AB135" s="4" t="s">
        <v>814</v>
      </c>
      <c r="AC135" s="4" t="s">
        <v>517</v>
      </c>
    </row>
    <row r="136" spans="1:29" ht="43.5" x14ac:dyDescent="0.35">
      <c r="A136" s="4">
        <f t="shared" si="11"/>
        <v>134</v>
      </c>
      <c r="B136" s="4" t="s">
        <v>318</v>
      </c>
      <c r="C136" s="4" t="s">
        <v>293</v>
      </c>
      <c r="D136" s="4">
        <v>2016</v>
      </c>
      <c r="E136" s="12" t="s">
        <v>897</v>
      </c>
      <c r="F136" s="4" t="s">
        <v>960</v>
      </c>
      <c r="G136" s="4" t="s">
        <v>1178</v>
      </c>
      <c r="H136" s="4" t="s">
        <v>1179</v>
      </c>
      <c r="I136" s="14">
        <v>46.33</v>
      </c>
      <c r="J136" s="13">
        <v>45944</v>
      </c>
      <c r="K136" s="25">
        <v>2.19</v>
      </c>
      <c r="L136" s="14">
        <v>22.95</v>
      </c>
      <c r="M136" s="14"/>
      <c r="N136" s="4"/>
      <c r="O136" s="18"/>
      <c r="P136" s="14">
        <v>2.95</v>
      </c>
      <c r="Q136" s="15">
        <f t="shared" si="8"/>
        <v>0.12854030501089325</v>
      </c>
      <c r="R136" s="12" t="s">
        <v>671</v>
      </c>
      <c r="S136" s="16" cm="1">
        <f t="array" ref="S136">IF(R136="",0,COUNTA(_xlfn._xlws.FILTER(_xlfn.TEXTSPLIT(R136,";"), _xlfn.TEXTSPLIT(R136,";")&lt;&gt;"")))</f>
        <v>9</v>
      </c>
      <c r="T136" s="12" t="s">
        <v>790</v>
      </c>
      <c r="U136" s="16" cm="1">
        <f t="array" ref="U136">IF(T136="",0,COUNTA(_xlfn._xlws.FILTER(_xlfn.TEXTSPLIT(T136,";"), _xlfn.TEXTSPLIT(T136,";")&lt;&gt;"")))</f>
        <v>4</v>
      </c>
      <c r="V136" s="17">
        <f t="shared" si="9"/>
        <v>0.44444444444444442</v>
      </c>
      <c r="W136" s="12" t="str" cm="1">
        <f t="array" ref="W136">IF(T136="",R136,_xlfn.LET(_xlpm.inv, TRIM(_xlfn.TEXTSPLIT(R136,";")),_xlpm.fol, TRIM(_xlfn.TEXTSPLIT(T136,";")),_xlfn.TEXTJOIN("; ", TRUE, _xlfn._xlws.FILTER(_xlpm.inv, ISNA(MATCH(_xlpm.inv, _xlpm.fol, 0)), ""))
  )
)</f>
        <v>Ecolab; Lam Research; New York Angels; Pangaea Ventures; PuraTerra Ventures; W.L. Gore &amp; Associates</v>
      </c>
      <c r="X136" s="16" cm="1">
        <f t="array" ref="X136">IF(W136="","N/A",COUNTA(_xlfn._xlws.FILTER(_xlfn.TEXTSPLIT(W136,";"), _xlfn.TEXTSPLIT(W136,";")&lt;&gt;"")))</f>
        <v>6</v>
      </c>
      <c r="Y136" s="17">
        <f t="shared" si="10"/>
        <v>0.66666666666666663</v>
      </c>
      <c r="Z136" s="4" t="s">
        <v>810</v>
      </c>
      <c r="AA136" s="4" t="s">
        <v>830</v>
      </c>
      <c r="AB136" s="4" t="s">
        <v>814</v>
      </c>
      <c r="AC136" s="4" t="s">
        <v>517</v>
      </c>
    </row>
    <row r="137" spans="1:29" ht="29" x14ac:dyDescent="0.35">
      <c r="A137" s="4">
        <f t="shared" si="11"/>
        <v>135</v>
      </c>
      <c r="B137" s="4" t="s">
        <v>543</v>
      </c>
      <c r="C137" s="4" t="s">
        <v>319</v>
      </c>
      <c r="D137" s="4">
        <v>2017</v>
      </c>
      <c r="E137" s="12" t="s">
        <v>935</v>
      </c>
      <c r="F137" s="4" t="s">
        <v>960</v>
      </c>
      <c r="G137" s="4" t="s">
        <v>1180</v>
      </c>
      <c r="H137" s="4" t="s">
        <v>1181</v>
      </c>
      <c r="I137" s="14">
        <v>0.72</v>
      </c>
      <c r="J137" s="13">
        <v>44315</v>
      </c>
      <c r="K137" s="25"/>
      <c r="L137" s="14">
        <v>0.1</v>
      </c>
      <c r="M137" s="14"/>
      <c r="N137" s="4"/>
      <c r="O137" s="18"/>
      <c r="P137" s="14"/>
      <c r="Q137" s="15">
        <f t="shared" si="8"/>
        <v>0</v>
      </c>
      <c r="R137" s="12" t="s">
        <v>502</v>
      </c>
      <c r="S137" s="16" cm="1">
        <f t="array" ref="S137">IF(R137="",0,COUNTA(_xlfn._xlws.FILTER(_xlfn.TEXTSPLIT(R137,";"), _xlfn.TEXTSPLIT(R137,";")&lt;&gt;"")))</f>
        <v>1</v>
      </c>
      <c r="T137" s="12"/>
      <c r="U137" s="16" cm="1">
        <f t="array" ref="U137">IF(T137="",0,COUNTA(_xlfn._xlws.FILTER(_xlfn.TEXTSPLIT(T137,";"), _xlfn.TEXTSPLIT(T137,";")&lt;&gt;"")))</f>
        <v>0</v>
      </c>
      <c r="V137" s="17">
        <f t="shared" si="9"/>
        <v>0</v>
      </c>
      <c r="W137" s="12" t="str" cm="1">
        <f t="array" ref="W137">IF(T137="",R137,_xlfn.LET(_xlpm.inv, TRIM(_xlfn.TEXTSPLIT(R137,";")),_xlpm.fol, TRIM(_xlfn.TEXTSPLIT(T137,";")),_xlfn.TEXTJOIN("; ", TRUE, _xlfn._xlws.FILTER(_xlpm.inv, ISNA(MATCH(_xlpm.inv, _xlpm.fol, 0)), ""))
  )
)</f>
        <v>NextCorps Luminate</v>
      </c>
      <c r="X137" s="16" cm="1">
        <f t="array" ref="X137">IF(W137="","N/A",COUNTA(_xlfn._xlws.FILTER(_xlfn.TEXTSPLIT(W137,";"), _xlfn.TEXTSPLIT(W137,";")&lt;&gt;"")))</f>
        <v>1</v>
      </c>
      <c r="Y137" s="17">
        <f t="shared" si="10"/>
        <v>1</v>
      </c>
      <c r="Z137" s="4" t="s">
        <v>817</v>
      </c>
      <c r="AA137" s="4" t="s">
        <v>813</v>
      </c>
      <c r="AB137" s="4" t="s">
        <v>811</v>
      </c>
      <c r="AC137" s="4" t="s">
        <v>517</v>
      </c>
    </row>
    <row r="138" spans="1:29" ht="29" x14ac:dyDescent="0.35">
      <c r="A138" s="4">
        <f t="shared" si="11"/>
        <v>136</v>
      </c>
      <c r="B138" s="4" t="s">
        <v>320</v>
      </c>
      <c r="C138" s="4" t="s">
        <v>321</v>
      </c>
      <c r="D138" s="4">
        <v>2021</v>
      </c>
      <c r="E138" s="12" t="s">
        <v>927</v>
      </c>
      <c r="F138" s="4" t="s">
        <v>960</v>
      </c>
      <c r="G138" s="4" t="s">
        <v>1182</v>
      </c>
      <c r="H138" s="4" t="s">
        <v>1183</v>
      </c>
      <c r="I138" s="14">
        <v>95.6</v>
      </c>
      <c r="J138" s="13">
        <v>45814</v>
      </c>
      <c r="K138" s="25">
        <v>1.81</v>
      </c>
      <c r="L138" s="14">
        <v>15.6</v>
      </c>
      <c r="M138" s="14">
        <v>280</v>
      </c>
      <c r="N138" s="4" t="s">
        <v>471</v>
      </c>
      <c r="O138" s="18">
        <v>1.65</v>
      </c>
      <c r="P138" s="14"/>
      <c r="Q138" s="15">
        <f t="shared" si="8"/>
        <v>0</v>
      </c>
      <c r="R138" s="12" t="s">
        <v>672</v>
      </c>
      <c r="S138" s="16" cm="1">
        <f t="array" ref="S138">IF(R138="",0,COUNTA(_xlfn._xlws.FILTER(_xlfn.TEXTSPLIT(R138,";"), _xlfn.TEXTSPLIT(R138,";")&lt;&gt;"")))</f>
        <v>4</v>
      </c>
      <c r="T138" s="12" t="s">
        <v>791</v>
      </c>
      <c r="U138" s="16" cm="1">
        <f t="array" ref="U138">IF(T138="",0,COUNTA(_xlfn._xlws.FILTER(_xlfn.TEXTSPLIT(T138,";"), _xlfn.TEXTSPLIT(T138,";")&lt;&gt;"")))</f>
        <v>1</v>
      </c>
      <c r="V138" s="17">
        <f t="shared" si="9"/>
        <v>0.25</v>
      </c>
      <c r="W138" s="12" t="str" cm="1">
        <f t="array" ref="W138">IF(T138="",R138,_xlfn.LET(_xlpm.inv, TRIM(_xlfn.TEXTSPLIT(R138,";")),_xlpm.fol, TRIM(_xlfn.TEXTSPLIT(T138,";")),_xlfn.TEXTJOIN("; ", TRUE, _xlfn._xlws.FILTER(_xlpm.inv, ISNA(MATCH(_xlpm.inv, _xlpm.fol, 0)), ""))
  )
)</f>
        <v>Bidra Innovation Ventures; L&amp;F; Lane VC</v>
      </c>
      <c r="X138" s="16" cm="1">
        <f t="array" ref="X138">IF(W138="","N/A",COUNTA(_xlfn._xlws.FILTER(_xlfn.TEXTSPLIT(W138,";"), _xlfn.TEXTSPLIT(W138,";")&lt;&gt;"")))</f>
        <v>3</v>
      </c>
      <c r="Y138" s="17">
        <f t="shared" si="10"/>
        <v>0.75</v>
      </c>
      <c r="Z138" s="4" t="s">
        <v>810</v>
      </c>
      <c r="AA138" s="4" t="s">
        <v>830</v>
      </c>
      <c r="AB138" s="4" t="s">
        <v>826</v>
      </c>
      <c r="AC138" s="4" t="s">
        <v>517</v>
      </c>
    </row>
    <row r="139" spans="1:29" x14ac:dyDescent="0.35">
      <c r="A139" s="4">
        <f t="shared" si="11"/>
        <v>137</v>
      </c>
      <c r="B139" s="4" t="s">
        <v>1464</v>
      </c>
      <c r="C139" s="4" t="s">
        <v>322</v>
      </c>
      <c r="D139" s="4">
        <v>2020</v>
      </c>
      <c r="E139" s="12" t="s">
        <v>553</v>
      </c>
      <c r="F139" s="4" t="s">
        <v>961</v>
      </c>
      <c r="G139" s="4" t="s">
        <v>1184</v>
      </c>
      <c r="H139" s="4" t="s">
        <v>1185</v>
      </c>
      <c r="I139" s="14">
        <v>101.02</v>
      </c>
      <c r="J139" s="13">
        <v>44621</v>
      </c>
      <c r="K139" s="25"/>
      <c r="L139" s="14">
        <v>100</v>
      </c>
      <c r="M139" s="14"/>
      <c r="N139" s="4"/>
      <c r="O139" s="18"/>
      <c r="P139" s="14"/>
      <c r="Q139" s="15">
        <f t="shared" si="8"/>
        <v>0</v>
      </c>
      <c r="R139" s="12" t="s">
        <v>503</v>
      </c>
      <c r="S139" s="16" cm="1">
        <f t="array" ref="S139">IF(R139="",0,COUNTA(_xlfn._xlws.FILTER(_xlfn.TEXTSPLIT(R139,";"), _xlfn.TEXTSPLIT(R139,";")&lt;&gt;"")))</f>
        <v>1</v>
      </c>
      <c r="T139" s="12"/>
      <c r="U139" s="16" cm="1">
        <f t="array" ref="U139">IF(T139="",0,COUNTA(_xlfn._xlws.FILTER(_xlfn.TEXTSPLIT(T139,";"), _xlfn.TEXTSPLIT(T139,";")&lt;&gt;"")))</f>
        <v>0</v>
      </c>
      <c r="V139" s="17">
        <f t="shared" si="9"/>
        <v>0</v>
      </c>
      <c r="W139" s="12" t="str" cm="1">
        <f t="array" ref="W139">IF(T139="",R139,_xlfn.LET(_xlpm.inv, TRIM(_xlfn.TEXTSPLIT(R139,";")),_xlpm.fol, TRIM(_xlfn.TEXTSPLIT(T139,";")),_xlfn.TEXTJOIN("; ", TRUE, _xlfn._xlws.FILTER(_xlpm.inv, ISNA(MATCH(_xlpm.inv, _xlpm.fol, 0)), ""))
  )
)</f>
        <v>Global Emerging Markets</v>
      </c>
      <c r="X139" s="16" cm="1">
        <f t="array" ref="X139">IF(W139="","N/A",COUNTA(_xlfn._xlws.FILTER(_xlfn.TEXTSPLIT(W139,";"), _xlfn.TEXTSPLIT(W139,";")&lt;&gt;"")))</f>
        <v>1</v>
      </c>
      <c r="Y139" s="17">
        <f t="shared" si="10"/>
        <v>1</v>
      </c>
      <c r="Z139" s="4" t="s">
        <v>815</v>
      </c>
      <c r="AA139" s="4"/>
      <c r="AB139" s="4" t="s">
        <v>824</v>
      </c>
      <c r="AC139" s="4" t="s">
        <v>517</v>
      </c>
    </row>
    <row r="140" spans="1:29" x14ac:dyDescent="0.35">
      <c r="A140" s="4">
        <f t="shared" si="11"/>
        <v>138</v>
      </c>
      <c r="B140" s="4" t="s">
        <v>1464</v>
      </c>
      <c r="C140" s="4" t="s">
        <v>322</v>
      </c>
      <c r="D140" s="4">
        <v>2020</v>
      </c>
      <c r="E140" s="12" t="s">
        <v>553</v>
      </c>
      <c r="F140" s="4" t="s">
        <v>961</v>
      </c>
      <c r="G140" s="4" t="s">
        <v>1184</v>
      </c>
      <c r="H140" s="4" t="s">
        <v>1185</v>
      </c>
      <c r="I140" s="14">
        <v>101.02</v>
      </c>
      <c r="J140" s="13">
        <v>45078</v>
      </c>
      <c r="K140" s="25"/>
      <c r="L140" s="14"/>
      <c r="M140" s="14"/>
      <c r="N140" s="4"/>
      <c r="O140" s="18"/>
      <c r="P140" s="14"/>
      <c r="Q140" s="15" t="str">
        <f t="shared" si="8"/>
        <v>N/A</v>
      </c>
      <c r="R140" s="12" t="s">
        <v>673</v>
      </c>
      <c r="S140" s="16" cm="1">
        <f t="array" ref="S140">IF(R140="",0,COUNTA(_xlfn._xlws.FILTER(_xlfn.TEXTSPLIT(R140,";"), _xlfn.TEXTSPLIT(R140,";")&lt;&gt;"")))</f>
        <v>1</v>
      </c>
      <c r="T140" s="12"/>
      <c r="U140" s="16" cm="1">
        <f t="array" ref="U140">IF(T140="",0,COUNTA(_xlfn._xlws.FILTER(_xlfn.TEXTSPLIT(T140,";"), _xlfn.TEXTSPLIT(T140,";")&lt;&gt;"")))</f>
        <v>0</v>
      </c>
      <c r="V140" s="17">
        <f t="shared" si="9"/>
        <v>0</v>
      </c>
      <c r="W140" s="12" t="str" cm="1">
        <f t="array" ref="W140">IF(T140="",R140,_xlfn.LET(_xlpm.inv, TRIM(_xlfn.TEXTSPLIT(R140,";")),_xlpm.fol, TRIM(_xlfn.TEXTSPLIT(T140,";")),_xlfn.TEXTJOIN("; ", TRUE, _xlfn._xlws.FILTER(_xlpm.inv, ISNA(MATCH(_xlpm.inv, _xlpm.fol, 0)), ""))
  )
)</f>
        <v xml:space="preserve">Krypton </v>
      </c>
      <c r="X140" s="16" cm="1">
        <f t="array" ref="X140">IF(W140="","N/A",COUNTA(_xlfn._xlws.FILTER(_xlfn.TEXTSPLIT(W140,";"), _xlfn.TEXTSPLIT(W140,";")&lt;&gt;"")))</f>
        <v>1</v>
      </c>
      <c r="Y140" s="17">
        <f t="shared" si="10"/>
        <v>1</v>
      </c>
      <c r="Z140" s="4" t="s">
        <v>815</v>
      </c>
      <c r="AA140" s="4"/>
      <c r="AB140" s="4" t="s">
        <v>824</v>
      </c>
      <c r="AC140" s="4" t="s">
        <v>517</v>
      </c>
    </row>
    <row r="141" spans="1:29" x14ac:dyDescent="0.35">
      <c r="A141" s="4">
        <f t="shared" si="11"/>
        <v>139</v>
      </c>
      <c r="B141" s="4" t="s">
        <v>323</v>
      </c>
      <c r="C141" s="4" t="s">
        <v>324</v>
      </c>
      <c r="D141" s="4">
        <v>2015</v>
      </c>
      <c r="E141" s="12" t="s">
        <v>897</v>
      </c>
      <c r="F141" s="4" t="s">
        <v>978</v>
      </c>
      <c r="G141" s="4" t="s">
        <v>1186</v>
      </c>
      <c r="H141" s="4" t="s">
        <v>1187</v>
      </c>
      <c r="I141" s="14">
        <v>40.4</v>
      </c>
      <c r="J141" s="13">
        <v>44112</v>
      </c>
      <c r="K141" s="25">
        <v>4.7699999999999996</v>
      </c>
      <c r="L141" s="14">
        <v>30</v>
      </c>
      <c r="M141" s="14">
        <v>70</v>
      </c>
      <c r="N141" s="4" t="s">
        <v>471</v>
      </c>
      <c r="O141" s="18">
        <v>1.46</v>
      </c>
      <c r="P141" s="14"/>
      <c r="Q141" s="15">
        <f t="shared" si="8"/>
        <v>0</v>
      </c>
      <c r="R141" s="12" t="s">
        <v>674</v>
      </c>
      <c r="S141" s="16" cm="1">
        <f t="array" ref="S141">IF(R141="",0,COUNTA(_xlfn._xlws.FILTER(_xlfn.TEXTSPLIT(R141,";"), _xlfn.TEXTSPLIT(R141,";")&lt;&gt;"")))</f>
        <v>3</v>
      </c>
      <c r="T141" s="12"/>
      <c r="U141" s="16" cm="1">
        <f t="array" ref="U141">IF(T141="",0,COUNTA(_xlfn._xlws.FILTER(_xlfn.TEXTSPLIT(T141,";"), _xlfn.TEXTSPLIT(T141,";")&lt;&gt;"")))</f>
        <v>0</v>
      </c>
      <c r="V141" s="17">
        <f t="shared" si="9"/>
        <v>0</v>
      </c>
      <c r="W141" s="12" t="str" cm="1">
        <f t="array" ref="W141">IF(T141="",R141,_xlfn.LET(_xlpm.inv, TRIM(_xlfn.TEXTSPLIT(R141,";")),_xlpm.fol, TRIM(_xlfn.TEXTSPLIT(T141,";")),_xlfn.TEXTJOIN("; ", TRUE, _xlfn._xlws.FILTER(_xlpm.inv, ISNA(MATCH(_xlpm.inv, _xlpm.fol, 0)), ""))
  )
)</f>
        <v xml:space="preserve">At One Ventures; Metaplanet Holdings; William Gates </v>
      </c>
      <c r="X141" s="16" cm="1">
        <f t="array" ref="X141">IF(W141="","N/A",COUNTA(_xlfn._xlws.FILTER(_xlfn.TEXTSPLIT(W141,";"), _xlfn.TEXTSPLIT(W141,";")&lt;&gt;"")))</f>
        <v>3</v>
      </c>
      <c r="Y141" s="17">
        <f t="shared" si="10"/>
        <v>1</v>
      </c>
      <c r="Z141" s="4" t="s">
        <v>810</v>
      </c>
      <c r="AA141" s="4" t="s">
        <v>828</v>
      </c>
      <c r="AB141" s="4" t="s">
        <v>811</v>
      </c>
      <c r="AC141" s="4" t="s">
        <v>517</v>
      </c>
    </row>
    <row r="142" spans="1:29" ht="29" x14ac:dyDescent="0.35">
      <c r="A142" s="4">
        <f t="shared" si="11"/>
        <v>140</v>
      </c>
      <c r="B142" s="4" t="s">
        <v>323</v>
      </c>
      <c r="C142" s="4" t="s">
        <v>324</v>
      </c>
      <c r="D142" s="4">
        <v>2015</v>
      </c>
      <c r="E142" s="12" t="s">
        <v>897</v>
      </c>
      <c r="F142" s="4" t="s">
        <v>978</v>
      </c>
      <c r="G142" s="4" t="s">
        <v>1186</v>
      </c>
      <c r="H142" s="4" t="s">
        <v>1187</v>
      </c>
      <c r="I142" s="14">
        <v>103.2</v>
      </c>
      <c r="J142" s="13">
        <v>45013</v>
      </c>
      <c r="K142" s="25">
        <v>1.32</v>
      </c>
      <c r="L142" s="14">
        <v>32.799999999999997</v>
      </c>
      <c r="M142" s="14">
        <v>180.8</v>
      </c>
      <c r="N142" s="4" t="s">
        <v>471</v>
      </c>
      <c r="O142" s="18">
        <v>1.23</v>
      </c>
      <c r="P142" s="14"/>
      <c r="Q142" s="15">
        <f t="shared" si="8"/>
        <v>0</v>
      </c>
      <c r="R142" s="12" t="s">
        <v>675</v>
      </c>
      <c r="S142" s="16" cm="1">
        <f t="array" ref="S142">IF(R142="",0,COUNTA(_xlfn._xlws.FILTER(_xlfn.TEXTSPLIT(R142,";"), _xlfn.TEXTSPLIT(R142,";")&lt;&gt;"")))</f>
        <v>10</v>
      </c>
      <c r="T142" s="12" t="s">
        <v>792</v>
      </c>
      <c r="U142" s="16" cm="1">
        <f t="array" ref="U142">IF(T142="",0,COUNTA(_xlfn._xlws.FILTER(_xlfn.TEXTSPLIT(T142,";"), _xlfn.TEXTSPLIT(T142,";")&lt;&gt;"")))</f>
        <v>4</v>
      </c>
      <c r="V142" s="17">
        <f t="shared" si="9"/>
        <v>0.4</v>
      </c>
      <c r="W142" s="12" t="str" cm="1">
        <f t="array" ref="W142">IF(T142="",R142,_xlfn.LET(_xlpm.inv, TRIM(_xlfn.TEXTSPLIT(R142,";")),_xlpm.fol, TRIM(_xlfn.TEXTSPLIT(T142,";")),_xlfn.TEXTJOIN("; ", TRUE, _xlfn._xlws.FILTER(_xlpm.inv, ISNA(MATCH(_xlpm.inv, _xlpm.fol, 0)), ""))
  )
)</f>
        <v>Gates Frontier; Miura Partners; National Grid Partners; NextEra Energy; Towards Net Zero; Unreasonable Impact</v>
      </c>
      <c r="X142" s="16" cm="1">
        <f t="array" ref="X142">IF(W142="","N/A",COUNTA(_xlfn._xlws.FILTER(_xlfn.TEXTSPLIT(W142,";"), _xlfn.TEXTSPLIT(W142,";")&lt;&gt;"")))</f>
        <v>6</v>
      </c>
      <c r="Y142" s="17">
        <f t="shared" si="10"/>
        <v>0.6</v>
      </c>
      <c r="Z142" s="4" t="s">
        <v>810</v>
      </c>
      <c r="AA142" s="4" t="s">
        <v>823</v>
      </c>
      <c r="AB142" s="4" t="s">
        <v>811</v>
      </c>
      <c r="AC142" s="4" t="s">
        <v>517</v>
      </c>
    </row>
    <row r="143" spans="1:29" x14ac:dyDescent="0.35">
      <c r="A143" s="4">
        <f t="shared" si="11"/>
        <v>141</v>
      </c>
      <c r="B143" s="4" t="s">
        <v>325</v>
      </c>
      <c r="C143" s="4" t="s">
        <v>326</v>
      </c>
      <c r="D143" s="4">
        <v>2016</v>
      </c>
      <c r="E143" s="12" t="s">
        <v>553</v>
      </c>
      <c r="F143" s="4" t="s">
        <v>960</v>
      </c>
      <c r="G143" s="4" t="s">
        <v>1188</v>
      </c>
      <c r="H143" s="4" t="s">
        <v>1189</v>
      </c>
      <c r="I143" s="14">
        <v>20.100000000000001</v>
      </c>
      <c r="J143" s="13">
        <v>44544</v>
      </c>
      <c r="K143" s="25"/>
      <c r="L143" s="14">
        <v>20</v>
      </c>
      <c r="M143" s="14"/>
      <c r="N143" s="4"/>
      <c r="O143" s="18"/>
      <c r="P143" s="14"/>
      <c r="Q143" s="15">
        <f t="shared" si="8"/>
        <v>0</v>
      </c>
      <c r="R143" s="12" t="s">
        <v>676</v>
      </c>
      <c r="S143" s="16" cm="1">
        <f t="array" ref="S143">IF(R143="",0,COUNTA(_xlfn._xlws.FILTER(_xlfn.TEXTSPLIT(R143,";"), _xlfn.TEXTSPLIT(R143,";")&lt;&gt;"")))</f>
        <v>1</v>
      </c>
      <c r="T143" s="12"/>
      <c r="U143" s="16" cm="1">
        <f t="array" ref="U143">IF(T143="",0,COUNTA(_xlfn._xlws.FILTER(_xlfn.TEXTSPLIT(T143,";"), _xlfn.TEXTSPLIT(T143,";")&lt;&gt;"")))</f>
        <v>0</v>
      </c>
      <c r="V143" s="17">
        <f t="shared" si="9"/>
        <v>0</v>
      </c>
      <c r="W143" s="12" t="str" cm="1">
        <f t="array" ref="W143">IF(T143="",R143,_xlfn.LET(_xlpm.inv, TRIM(_xlfn.TEXTSPLIT(R143,";")),_xlpm.fol, TRIM(_xlfn.TEXTSPLIT(T143,";")),_xlfn.TEXTJOIN("; ", TRUE, _xlfn._xlws.FILTER(_xlpm.inv, ISNA(MATCH(_xlpm.inv, _xlpm.fol, 0)), ""))
  )
)</f>
        <v xml:space="preserve">Freestone Sponsors </v>
      </c>
      <c r="X143" s="16" cm="1">
        <f t="array" ref="X143">IF(W143="","N/A",COUNTA(_xlfn._xlws.FILTER(_xlfn.TEXTSPLIT(W143,";"), _xlfn.TEXTSPLIT(W143,";")&lt;&gt;"")))</f>
        <v>1</v>
      </c>
      <c r="Y143" s="17">
        <f t="shared" si="10"/>
        <v>1</v>
      </c>
      <c r="Z143" s="4" t="s">
        <v>815</v>
      </c>
      <c r="AA143" s="4"/>
      <c r="AB143" s="4" t="s">
        <v>868</v>
      </c>
      <c r="AC143" s="4" t="s">
        <v>517</v>
      </c>
    </row>
    <row r="144" spans="1:29" x14ac:dyDescent="0.35">
      <c r="A144" s="4">
        <f t="shared" si="11"/>
        <v>142</v>
      </c>
      <c r="B144" s="4" t="s">
        <v>327</v>
      </c>
      <c r="C144" s="4" t="s">
        <v>328</v>
      </c>
      <c r="D144" s="4">
        <v>2021</v>
      </c>
      <c r="E144" s="12" t="s">
        <v>553</v>
      </c>
      <c r="F144" s="4" t="s">
        <v>557</v>
      </c>
      <c r="G144" s="4" t="s">
        <v>1190</v>
      </c>
      <c r="H144" s="4" t="s">
        <v>1191</v>
      </c>
      <c r="I144" s="14">
        <v>1150</v>
      </c>
      <c r="J144" s="13">
        <v>44778</v>
      </c>
      <c r="K144" s="25"/>
      <c r="L144" s="14">
        <v>250</v>
      </c>
      <c r="M144" s="14">
        <v>2250</v>
      </c>
      <c r="N144" s="4"/>
      <c r="O144" s="18"/>
      <c r="P144" s="14"/>
      <c r="Q144" s="15">
        <f t="shared" si="8"/>
        <v>0</v>
      </c>
      <c r="R144" s="12" t="s">
        <v>677</v>
      </c>
      <c r="S144" s="16" cm="1">
        <f t="array" ref="S144">IF(R144="",0,COUNTA(_xlfn._xlws.FILTER(_xlfn.TEXTSPLIT(R144,";"), _xlfn.TEXTSPLIT(R144,";")&lt;&gt;"")))</f>
        <v>1</v>
      </c>
      <c r="T144" s="12"/>
      <c r="U144" s="16" cm="1">
        <f t="array" ref="U144">IF(T144="",0,COUNTA(_xlfn._xlws.FILTER(_xlfn.TEXTSPLIT(T144,";"), _xlfn.TEXTSPLIT(T144,";")&lt;&gt;"")))</f>
        <v>0</v>
      </c>
      <c r="V144" s="17">
        <f t="shared" si="9"/>
        <v>0</v>
      </c>
      <c r="W144" s="12" t="str" cm="1">
        <f t="array" ref="W144">IF(T144="",R144,_xlfn.LET(_xlpm.inv, TRIM(_xlfn.TEXTSPLIT(R144,";")),_xlpm.fol, TRIM(_xlfn.TEXTSPLIT(T144,";")),_xlfn.TEXTJOIN("; ", TRUE, _xlfn._xlws.FILTER(_xlpm.inv, ISNA(MATCH(_xlpm.inv, _xlpm.fol, 0)), ""))
  )
)</f>
        <v xml:space="preserve">Warburg Pincus </v>
      </c>
      <c r="X144" s="16" cm="1">
        <f t="array" ref="X144">IF(W144="","N/A",COUNTA(_xlfn._xlws.FILTER(_xlfn.TEXTSPLIT(W144,";"), _xlfn.TEXTSPLIT(W144,";")&lt;&gt;"")))</f>
        <v>1</v>
      </c>
      <c r="Y144" s="17">
        <f t="shared" si="10"/>
        <v>1</v>
      </c>
      <c r="Z144" s="4" t="s">
        <v>815</v>
      </c>
      <c r="AA144" s="4"/>
      <c r="AB144" s="4" t="s">
        <v>860</v>
      </c>
      <c r="AC144" s="4" t="s">
        <v>517</v>
      </c>
    </row>
    <row r="145" spans="1:29" ht="43.5" x14ac:dyDescent="0.35">
      <c r="A145" s="4">
        <f t="shared" si="11"/>
        <v>143</v>
      </c>
      <c r="B145" s="4" t="s">
        <v>329</v>
      </c>
      <c r="C145" s="4" t="s">
        <v>300</v>
      </c>
      <c r="D145" s="4">
        <v>2016</v>
      </c>
      <c r="E145" s="12" t="s">
        <v>936</v>
      </c>
      <c r="F145" s="4" t="s">
        <v>958</v>
      </c>
      <c r="G145" s="4" t="s">
        <v>1192</v>
      </c>
      <c r="H145" s="4" t="s">
        <v>1193</v>
      </c>
      <c r="I145" s="14">
        <v>85.75</v>
      </c>
      <c r="J145" s="13">
        <v>44622</v>
      </c>
      <c r="K145" s="25">
        <v>0.92</v>
      </c>
      <c r="L145" s="14">
        <v>52.35</v>
      </c>
      <c r="M145" s="14">
        <v>212.35</v>
      </c>
      <c r="N145" s="4" t="s">
        <v>471</v>
      </c>
      <c r="O145" s="18">
        <v>1.86</v>
      </c>
      <c r="P145" s="14"/>
      <c r="Q145" s="15">
        <f t="shared" si="8"/>
        <v>0</v>
      </c>
      <c r="R145" s="12" t="s">
        <v>678</v>
      </c>
      <c r="S145" s="16" cm="1">
        <f t="array" ref="S145">IF(R145="",0,COUNTA(_xlfn._xlws.FILTER(_xlfn.TEXTSPLIT(R145,";"), _xlfn.TEXTSPLIT(R145,";")&lt;&gt;"")))</f>
        <v>10</v>
      </c>
      <c r="T145" s="12" t="s">
        <v>793</v>
      </c>
      <c r="U145" s="16" cm="1">
        <f t="array" ref="U145">IF(T145="",0,COUNTA(_xlfn._xlws.FILTER(_xlfn.TEXTSPLIT(T145,";"), _xlfn.TEXTSPLIT(T145,";")&lt;&gt;"")))</f>
        <v>3</v>
      </c>
      <c r="V145" s="17">
        <f t="shared" si="9"/>
        <v>0.3</v>
      </c>
      <c r="W145" s="12" t="str" cm="1">
        <f t="array" ref="W145">IF(T145="",R145,_xlfn.LET(_xlpm.inv, TRIM(_xlfn.TEXTSPLIT(R145,";")),_xlpm.fol, TRIM(_xlfn.TEXTSPLIT(T145,";")),_xlfn.TEXTJOIN("; ", TRUE, _xlfn._xlws.FILTER(_xlpm.inv, ISNA(MATCH(_xlpm.inv, _xlpm.fol, 0)), ""))
  )
)</f>
        <v>Accelr8; Collaborative Fund; DNS Capital; For Good Ventures; Plug &amp; Play Tech Center; Thia Ventures; Toba Capital</v>
      </c>
      <c r="X145" s="16" cm="1">
        <f t="array" ref="X145">IF(W145="","N/A",COUNTA(_xlfn._xlws.FILTER(_xlfn.TEXTSPLIT(W145,";"), _xlfn.TEXTSPLIT(W145,";")&lt;&gt;"")))</f>
        <v>7</v>
      </c>
      <c r="Y145" s="17">
        <f t="shared" si="10"/>
        <v>0.7</v>
      </c>
      <c r="Z145" s="4" t="s">
        <v>810</v>
      </c>
      <c r="AA145" s="4" t="s">
        <v>830</v>
      </c>
      <c r="AB145" s="4" t="s">
        <v>839</v>
      </c>
      <c r="AC145" s="4" t="s">
        <v>517</v>
      </c>
    </row>
    <row r="146" spans="1:29" x14ac:dyDescent="0.35">
      <c r="A146" s="4">
        <f t="shared" si="11"/>
        <v>144</v>
      </c>
      <c r="B146" s="4" t="s">
        <v>330</v>
      </c>
      <c r="C146" s="4" t="s">
        <v>331</v>
      </c>
      <c r="D146" s="4">
        <v>2018</v>
      </c>
      <c r="E146" s="12" t="s">
        <v>937</v>
      </c>
      <c r="F146" s="4" t="s">
        <v>958</v>
      </c>
      <c r="G146" s="4" t="s">
        <v>1194</v>
      </c>
      <c r="H146" s="4" t="s">
        <v>1195</v>
      </c>
      <c r="I146" s="14">
        <v>23.16</v>
      </c>
      <c r="J146" s="13">
        <v>45377</v>
      </c>
      <c r="K146" s="25">
        <v>1.53</v>
      </c>
      <c r="L146" s="14">
        <v>5.2</v>
      </c>
      <c r="M146" s="14">
        <v>58.2</v>
      </c>
      <c r="N146" s="4" t="s">
        <v>499</v>
      </c>
      <c r="O146" s="18">
        <v>1.0900000000000001</v>
      </c>
      <c r="P146" s="14"/>
      <c r="Q146" s="15">
        <f t="shared" si="8"/>
        <v>0</v>
      </c>
      <c r="R146" s="12"/>
      <c r="S146" s="16" cm="1">
        <f t="array" ref="S146">IF(R146="",0,COUNTA(_xlfn._xlws.FILTER(_xlfn.TEXTSPLIT(R146,";"), _xlfn.TEXTSPLIT(R146,";")&lt;&gt;"")))</f>
        <v>0</v>
      </c>
      <c r="T146" s="12"/>
      <c r="U146" s="16" cm="1">
        <f t="array" ref="U146">IF(T146="",0,COUNTA(_xlfn._xlws.FILTER(_xlfn.TEXTSPLIT(T146,";"), _xlfn.TEXTSPLIT(T146,";")&lt;&gt;"")))</f>
        <v>0</v>
      </c>
      <c r="V146" s="17" t="str">
        <f t="shared" si="9"/>
        <v>N/A</v>
      </c>
      <c r="W146" s="12" cm="1">
        <f t="array" ref="W146">IF(T146="",R146,_xlfn.LET(_xlpm.inv, TRIM(_xlfn.TEXTSPLIT(R146,";")),_xlpm.fol, TRIM(_xlfn.TEXTSPLIT(T146,";")),_xlfn.TEXTJOIN("; ", TRUE, _xlfn._xlws.FILTER(_xlpm.inv, ISNA(MATCH(_xlpm.inv, _xlpm.fol, 0)), ""))
  )
)</f>
        <v>0</v>
      </c>
      <c r="X146" s="16" cm="1">
        <f t="array" ref="X146">IF(W146="","N/A",COUNTA(_xlfn._xlws.FILTER(_xlfn.TEXTSPLIT(W146,";"), _xlfn.TEXTSPLIT(W146,";")&lt;&gt;"")))</f>
        <v>1</v>
      </c>
      <c r="Y146" s="17" t="str">
        <f t="shared" si="10"/>
        <v>N/A</v>
      </c>
      <c r="Z146" s="4" t="s">
        <v>810</v>
      </c>
      <c r="AA146" s="4" t="s">
        <v>831</v>
      </c>
      <c r="AB146" s="4" t="s">
        <v>821</v>
      </c>
      <c r="AC146" s="4" t="s">
        <v>517</v>
      </c>
    </row>
    <row r="147" spans="1:29" x14ac:dyDescent="0.35">
      <c r="A147" s="4">
        <f t="shared" si="11"/>
        <v>145</v>
      </c>
      <c r="B147" s="4" t="s">
        <v>332</v>
      </c>
      <c r="C147" s="4" t="s">
        <v>333</v>
      </c>
      <c r="D147" s="4"/>
      <c r="E147" s="12" t="s">
        <v>555</v>
      </c>
      <c r="F147" s="4" t="s">
        <v>978</v>
      </c>
      <c r="G147" s="4" t="s">
        <v>1196</v>
      </c>
      <c r="H147" s="4" t="s">
        <v>1197</v>
      </c>
      <c r="I147" s="14"/>
      <c r="J147" s="13">
        <v>45302</v>
      </c>
      <c r="K147" s="25"/>
      <c r="L147" s="14"/>
      <c r="M147" s="14"/>
      <c r="N147" s="4"/>
      <c r="O147" s="18"/>
      <c r="P147" s="14"/>
      <c r="Q147" s="15" t="str">
        <f t="shared" si="8"/>
        <v>N/A</v>
      </c>
      <c r="R147" s="12" t="s">
        <v>679</v>
      </c>
      <c r="S147" s="16" cm="1">
        <f t="array" ref="S147">IF(R147="",0,COUNTA(_xlfn._xlws.FILTER(_xlfn.TEXTSPLIT(R147,";"), _xlfn.TEXTSPLIT(R147,";")&lt;&gt;"")))</f>
        <v>1</v>
      </c>
      <c r="T147" s="12"/>
      <c r="U147" s="16" cm="1">
        <f t="array" ref="U147">IF(T147="",0,COUNTA(_xlfn._xlws.FILTER(_xlfn.TEXTSPLIT(T147,";"), _xlfn.TEXTSPLIT(T147,";")&lt;&gt;"")))</f>
        <v>0</v>
      </c>
      <c r="V147" s="17">
        <f t="shared" si="9"/>
        <v>0</v>
      </c>
      <c r="W147" s="12" t="str" cm="1">
        <f t="array" ref="W147">IF(T147="",R147,_xlfn.LET(_xlpm.inv, TRIM(_xlfn.TEXTSPLIT(R147,";")),_xlpm.fol, TRIM(_xlfn.TEXTSPLIT(T147,";")),_xlfn.TEXTJOIN("; ", TRUE, _xlfn._xlws.FILTER(_xlpm.inv, ISNA(MATCH(_xlpm.inv, _xlpm.fol, 0)), ""))
  )
)</f>
        <v xml:space="preserve">ENEOS Holdings </v>
      </c>
      <c r="X147" s="16" cm="1">
        <f t="array" ref="X147">IF(W147="","N/A",COUNTA(_xlfn._xlws.FILTER(_xlfn.TEXTSPLIT(W147,";"), _xlfn.TEXTSPLIT(W147,";")&lt;&gt;"")))</f>
        <v>1</v>
      </c>
      <c r="Y147" s="17">
        <f t="shared" si="10"/>
        <v>1</v>
      </c>
      <c r="Z147" s="4" t="s">
        <v>829</v>
      </c>
      <c r="AA147" s="4"/>
      <c r="AB147" s="4" t="s">
        <v>874</v>
      </c>
      <c r="AC147" s="4" t="s">
        <v>517</v>
      </c>
    </row>
    <row r="148" spans="1:29" ht="29" x14ac:dyDescent="0.35">
      <c r="A148" s="4">
        <f t="shared" si="11"/>
        <v>146</v>
      </c>
      <c r="B148" s="4" t="s">
        <v>334</v>
      </c>
      <c r="C148" s="4" t="s">
        <v>335</v>
      </c>
      <c r="D148" s="4">
        <v>2018</v>
      </c>
      <c r="E148" s="12" t="s">
        <v>553</v>
      </c>
      <c r="F148" s="4" t="s">
        <v>962</v>
      </c>
      <c r="G148" s="4" t="s">
        <v>1198</v>
      </c>
      <c r="H148" s="4" t="s">
        <v>1199</v>
      </c>
      <c r="I148" s="14">
        <v>0.9</v>
      </c>
      <c r="J148" s="13">
        <v>44756</v>
      </c>
      <c r="K148" s="25"/>
      <c r="L148" s="14">
        <v>0.8</v>
      </c>
      <c r="M148" s="14"/>
      <c r="N148" s="4"/>
      <c r="O148" s="18"/>
      <c r="P148" s="14"/>
      <c r="Q148" s="15">
        <f t="shared" si="8"/>
        <v>0</v>
      </c>
      <c r="R148" s="12" t="s">
        <v>680</v>
      </c>
      <c r="S148" s="16" cm="1">
        <f t="array" ref="S148">IF(R148="",0,COUNTA(_xlfn._xlws.FILTER(_xlfn.TEXTSPLIT(R148,";"), _xlfn.TEXTSPLIT(R148,";")&lt;&gt;"")))</f>
        <v>7</v>
      </c>
      <c r="T148" s="12"/>
      <c r="U148" s="16" cm="1">
        <f t="array" ref="U148">IF(T148="",0,COUNTA(_xlfn._xlws.FILTER(_xlfn.TEXTSPLIT(T148,";"), _xlfn.TEXTSPLIT(T148,";")&lt;&gt;"")))</f>
        <v>0</v>
      </c>
      <c r="V148" s="17">
        <f t="shared" si="9"/>
        <v>0</v>
      </c>
      <c r="W148" s="12" t="str" cm="1">
        <f t="array" ref="W148">IF(T148="",R148,_xlfn.LET(_xlpm.inv, TRIM(_xlfn.TEXTSPLIT(R148,";")),_xlpm.fol, TRIM(_xlfn.TEXTSPLIT(T148,";")),_xlfn.TEXTJOIN("; ", TRUE, _xlfn._xlws.FILTER(_xlpm.inv, ISNA(MATCH(_xlpm.inv, _xlpm.fol, 0)), ""))
  )
)</f>
        <v>4WARD.vc; Alumni Ventures; Anthropocene Ventures; Lofty Ventures; Right Side Capital Management; Service Provider Capital; TELUS Global Ventures</v>
      </c>
      <c r="X148" s="16" cm="1">
        <f t="array" ref="X148">IF(W148="","N/A",COUNTA(_xlfn._xlws.FILTER(_xlfn.TEXTSPLIT(W148,";"), _xlfn.TEXTSPLIT(W148,";")&lt;&gt;"")))</f>
        <v>7</v>
      </c>
      <c r="Y148" s="17">
        <f t="shared" si="10"/>
        <v>1</v>
      </c>
      <c r="Z148" s="4" t="s">
        <v>812</v>
      </c>
      <c r="AA148" s="4" t="s">
        <v>79</v>
      </c>
      <c r="AB148" s="4" t="s">
        <v>825</v>
      </c>
      <c r="AC148" s="4" t="s">
        <v>517</v>
      </c>
    </row>
    <row r="149" spans="1:29" ht="43.5" x14ac:dyDescent="0.35">
      <c r="A149" s="4">
        <f t="shared" si="11"/>
        <v>147</v>
      </c>
      <c r="B149" s="4" t="s">
        <v>336</v>
      </c>
      <c r="C149" s="4" t="s">
        <v>255</v>
      </c>
      <c r="D149" s="4">
        <v>2019</v>
      </c>
      <c r="E149" s="12" t="s">
        <v>937</v>
      </c>
      <c r="F149" s="4" t="s">
        <v>958</v>
      </c>
      <c r="G149" s="4" t="s">
        <v>1200</v>
      </c>
      <c r="H149" s="4" t="s">
        <v>1201</v>
      </c>
      <c r="I149" s="14">
        <v>77.290000000000006</v>
      </c>
      <c r="J149" s="13">
        <v>45077</v>
      </c>
      <c r="K149" s="25">
        <v>2.19</v>
      </c>
      <c r="L149" s="14">
        <v>15.25</v>
      </c>
      <c r="M149" s="14">
        <v>125.25</v>
      </c>
      <c r="N149" s="4" t="s">
        <v>474</v>
      </c>
      <c r="O149" s="18">
        <v>0.8</v>
      </c>
      <c r="P149" s="14"/>
      <c r="Q149" s="15">
        <f t="shared" si="8"/>
        <v>0</v>
      </c>
      <c r="R149" s="12" t="s">
        <v>681</v>
      </c>
      <c r="S149" s="16" cm="1">
        <f t="array" ref="S149">IF(R149="",0,COUNTA(_xlfn._xlws.FILTER(_xlfn.TEXTSPLIT(R149,";"), _xlfn.TEXTSPLIT(R149,";")&lt;&gt;"")))</f>
        <v>4</v>
      </c>
      <c r="T149" s="12" t="s">
        <v>681</v>
      </c>
      <c r="U149" s="16" cm="1">
        <f t="array" ref="U149">IF(T149="",0,COUNTA(_xlfn._xlws.FILTER(_xlfn.TEXTSPLIT(T149,";"), _xlfn.TEXTSPLIT(T149,";")&lt;&gt;"")))</f>
        <v>4</v>
      </c>
      <c r="V149" s="17">
        <f t="shared" si="9"/>
        <v>1</v>
      </c>
      <c r="W149" s="12" t="str" cm="1">
        <f t="array" ref="W149">IF(T149="",R149,_xlfn.LET(_xlpm.inv, TRIM(_xlfn.TEXTSPLIT(R149,";")),_xlpm.fol, TRIM(_xlfn.TEXTSPLIT(T149,";")),_xlfn.TEXTJOIN("; ", TRUE, _xlfn._xlws.FILTER(_xlpm.inv, ISNA(MATCH(_xlpm.inv, _xlpm.fol, 0)), ""))
  )
)</f>
        <v/>
      </c>
      <c r="X149" s="16" t="str" cm="1">
        <f t="array" ref="X149">IF(W149="","N/A",COUNTA(_xlfn._xlws.FILTER(_xlfn.TEXTSPLIT(W149,";"), _xlfn.TEXTSPLIT(W149,";")&lt;&gt;"")))</f>
        <v>N/A</v>
      </c>
      <c r="Y149" s="17" t="str">
        <f t="shared" si="10"/>
        <v>N/A</v>
      </c>
      <c r="Z149" s="4" t="s">
        <v>817</v>
      </c>
      <c r="AA149" s="4" t="s">
        <v>828</v>
      </c>
      <c r="AB149" s="4" t="s">
        <v>821</v>
      </c>
      <c r="AC149" s="4" t="s">
        <v>517</v>
      </c>
    </row>
    <row r="150" spans="1:29" x14ac:dyDescent="0.35">
      <c r="A150" s="4">
        <f t="shared" si="11"/>
        <v>148</v>
      </c>
      <c r="B150" s="4" t="s">
        <v>116</v>
      </c>
      <c r="C150" s="4" t="s">
        <v>193</v>
      </c>
      <c r="D150" s="4">
        <v>2015</v>
      </c>
      <c r="E150" s="12" t="s">
        <v>938</v>
      </c>
      <c r="F150" s="4" t="s">
        <v>961</v>
      </c>
      <c r="G150" s="4" t="s">
        <v>1202</v>
      </c>
      <c r="H150" s="31" t="s">
        <v>1203</v>
      </c>
      <c r="I150" s="14">
        <v>34.5</v>
      </c>
      <c r="J150" s="13">
        <v>43371</v>
      </c>
      <c r="K150" s="25"/>
      <c r="L150" s="14">
        <v>34.5</v>
      </c>
      <c r="M150" s="14"/>
      <c r="N150" s="4"/>
      <c r="O150" s="18"/>
      <c r="P150" s="14"/>
      <c r="Q150" s="15">
        <f t="shared" si="8"/>
        <v>0</v>
      </c>
      <c r="R150" s="12"/>
      <c r="S150" s="16" cm="1">
        <f t="array" ref="S150">IF(R150="",0,COUNTA(_xlfn._xlws.FILTER(_xlfn.TEXTSPLIT(R150,";"), _xlfn.TEXTSPLIT(R150,";")&lt;&gt;"")))</f>
        <v>0</v>
      </c>
      <c r="T150" s="12"/>
      <c r="U150" s="16" cm="1">
        <f t="array" ref="U150">IF(T150="",0,COUNTA(_xlfn._xlws.FILTER(_xlfn.TEXTSPLIT(T150,";"), _xlfn.TEXTSPLIT(T150,";")&lt;&gt;"")))</f>
        <v>0</v>
      </c>
      <c r="V150" s="17" t="str">
        <f t="shared" si="9"/>
        <v>N/A</v>
      </c>
      <c r="W150" s="12" cm="1">
        <f t="array" ref="W150">IF(T150="",R150,_xlfn.LET(_xlpm.inv, TRIM(_xlfn.TEXTSPLIT(R150,";")),_xlpm.fol, TRIM(_xlfn.TEXTSPLIT(T150,";")),_xlfn.TEXTJOIN("; ", TRUE, _xlfn._xlws.FILTER(_xlpm.inv, ISNA(MATCH(_xlpm.inv, _xlpm.fol, 0)), ""))
  )
)</f>
        <v>0</v>
      </c>
      <c r="X150" s="16" cm="1">
        <f t="array" ref="X150">IF(W150="","N/A",COUNTA(_xlfn._xlws.FILTER(_xlfn.TEXTSPLIT(W150,";"), _xlfn.TEXTSPLIT(W150,";")&lt;&gt;"")))</f>
        <v>1</v>
      </c>
      <c r="Y150" s="17" t="str">
        <f t="shared" si="10"/>
        <v>N/A</v>
      </c>
      <c r="Z150" s="4" t="s">
        <v>815</v>
      </c>
      <c r="AA150" s="4"/>
      <c r="AB150" s="4" t="s">
        <v>871</v>
      </c>
      <c r="AC150" s="4" t="s">
        <v>517</v>
      </c>
    </row>
    <row r="151" spans="1:29" x14ac:dyDescent="0.35">
      <c r="A151" s="4">
        <f t="shared" si="11"/>
        <v>149</v>
      </c>
      <c r="B151" s="4" t="s">
        <v>116</v>
      </c>
      <c r="C151" s="4" t="s">
        <v>193</v>
      </c>
      <c r="D151" s="4">
        <v>2015</v>
      </c>
      <c r="E151" s="12" t="s">
        <v>938</v>
      </c>
      <c r="F151" s="4" t="s">
        <v>961</v>
      </c>
      <c r="G151" s="4" t="s">
        <v>1202</v>
      </c>
      <c r="H151" s="4" t="s">
        <v>1203</v>
      </c>
      <c r="I151" s="14">
        <v>34.5</v>
      </c>
      <c r="J151" s="13">
        <v>44321</v>
      </c>
      <c r="K151" s="25"/>
      <c r="L151" s="14"/>
      <c r="M151" s="14"/>
      <c r="N151" s="4"/>
      <c r="O151" s="18"/>
      <c r="P151" s="14"/>
      <c r="Q151" s="15" t="str">
        <f t="shared" si="8"/>
        <v>N/A</v>
      </c>
      <c r="R151" s="12" t="s">
        <v>682</v>
      </c>
      <c r="S151" s="16" cm="1">
        <f t="array" ref="S151">IF(R151="",0,COUNTA(_xlfn._xlws.FILTER(_xlfn.TEXTSPLIT(R151,";"), _xlfn.TEXTSPLIT(R151,";")&lt;&gt;"")))</f>
        <v>1</v>
      </c>
      <c r="T151" s="12"/>
      <c r="U151" s="16" cm="1">
        <f t="array" ref="U151">IF(T151="",0,COUNTA(_xlfn._xlws.FILTER(_xlfn.TEXTSPLIT(T151,";"), _xlfn.TEXTSPLIT(T151,";")&lt;&gt;"")))</f>
        <v>0</v>
      </c>
      <c r="V151" s="17">
        <f t="shared" si="9"/>
        <v>0</v>
      </c>
      <c r="W151" s="12" t="str" cm="1">
        <f t="array" ref="W151">IF(T151="",R151,_xlfn.LET(_xlpm.inv, TRIM(_xlfn.TEXTSPLIT(R151,";")),_xlpm.fol, TRIM(_xlfn.TEXTSPLIT(T151,";")),_xlfn.TEXTJOIN("; ", TRUE, _xlfn._xlws.FILTER(_xlpm.inv, ISNA(MATCH(_xlpm.inv, _xlpm.fol, 0)), ""))
  )
)</f>
        <v xml:space="preserve">Global Cleantech Capital </v>
      </c>
      <c r="X151" s="16" cm="1">
        <f t="array" ref="X151">IF(W151="","N/A",COUNTA(_xlfn._xlws.FILTER(_xlfn.TEXTSPLIT(W151,";"), _xlfn.TEXTSPLIT(W151,";")&lt;&gt;"")))</f>
        <v>1</v>
      </c>
      <c r="Y151" s="17">
        <f t="shared" si="10"/>
        <v>1</v>
      </c>
      <c r="Z151" s="4" t="s">
        <v>815</v>
      </c>
      <c r="AA151" s="4"/>
      <c r="AB151" s="4" t="s">
        <v>871</v>
      </c>
      <c r="AC151" s="4" t="s">
        <v>517</v>
      </c>
    </row>
    <row r="152" spans="1:29" ht="29" x14ac:dyDescent="0.35">
      <c r="A152" s="4">
        <f t="shared" si="11"/>
        <v>150</v>
      </c>
      <c r="B152" s="4" t="s">
        <v>337</v>
      </c>
      <c r="C152" s="4" t="s">
        <v>186</v>
      </c>
      <c r="D152" s="4">
        <v>2009</v>
      </c>
      <c r="E152" s="12" t="s">
        <v>897</v>
      </c>
      <c r="F152" s="4" t="s">
        <v>557</v>
      </c>
      <c r="G152" s="4" t="s">
        <v>1204</v>
      </c>
      <c r="H152" s="4" t="s">
        <v>1205</v>
      </c>
      <c r="I152" s="14">
        <v>68.36</v>
      </c>
      <c r="J152" s="13">
        <v>43916</v>
      </c>
      <c r="K152" s="25">
        <v>2.82</v>
      </c>
      <c r="L152" s="14">
        <v>41.59</v>
      </c>
      <c r="M152" s="14"/>
      <c r="N152" s="4"/>
      <c r="O152" s="18"/>
      <c r="P152" s="14"/>
      <c r="Q152" s="15">
        <f t="shared" si="8"/>
        <v>0</v>
      </c>
      <c r="R152" s="12" t="s">
        <v>683</v>
      </c>
      <c r="S152" s="16" cm="1">
        <f t="array" ref="S152">IF(R152="",0,COUNTA(_xlfn._xlws.FILTER(_xlfn.TEXTSPLIT(R152,";"), _xlfn.TEXTSPLIT(R152,";")&lt;&gt;"")))</f>
        <v>6</v>
      </c>
      <c r="T152" s="12"/>
      <c r="U152" s="16" cm="1">
        <f t="array" ref="U152">IF(T152="",0,COUNTA(_xlfn._xlws.FILTER(_xlfn.TEXTSPLIT(T152,";"), _xlfn.TEXTSPLIT(T152,";")&lt;&gt;"")))</f>
        <v>0</v>
      </c>
      <c r="V152" s="17">
        <f t="shared" si="9"/>
        <v>0</v>
      </c>
      <c r="W152" s="12" t="str" cm="1">
        <f t="array" ref="W152">IF(T152="",R152,_xlfn.LET(_xlpm.inv, TRIM(_xlfn.TEXTSPLIT(R152,";")),_xlpm.fol, TRIM(_xlfn.TEXTSPLIT(T152,";")),_xlfn.TEXTJOIN("; ", TRUE, _xlfn._xlws.FILTER(_xlpm.inv, ISNA(MATCH(_xlpm.inv, _xlpm.fol, 0)), ""))
  )
)</f>
        <v>Ajax Strategies; Breakthrough Energy; Emerson Collective; mTerra Ventures; Schneider Electric; SE Ventures</v>
      </c>
      <c r="X152" s="16" cm="1">
        <f t="array" ref="X152">IF(W152="","N/A",COUNTA(_xlfn._xlws.FILTER(_xlfn.TEXTSPLIT(W152,";"), _xlfn.TEXTSPLIT(W152,";")&lt;&gt;"")))</f>
        <v>6</v>
      </c>
      <c r="Y152" s="17">
        <f t="shared" si="10"/>
        <v>1</v>
      </c>
      <c r="Z152" s="4" t="s">
        <v>810</v>
      </c>
      <c r="AA152" s="4" t="s">
        <v>79</v>
      </c>
      <c r="AB152" s="4" t="s">
        <v>811</v>
      </c>
      <c r="AC152" s="4" t="s">
        <v>517</v>
      </c>
    </row>
    <row r="153" spans="1:29" x14ac:dyDescent="0.35">
      <c r="A153" s="4">
        <f t="shared" si="11"/>
        <v>151</v>
      </c>
      <c r="B153" s="4" t="s">
        <v>337</v>
      </c>
      <c r="C153" s="4" t="s">
        <v>186</v>
      </c>
      <c r="D153" s="4">
        <v>2009</v>
      </c>
      <c r="E153" s="12" t="s">
        <v>897</v>
      </c>
      <c r="F153" s="4" t="s">
        <v>557</v>
      </c>
      <c r="G153" s="4" t="s">
        <v>1204</v>
      </c>
      <c r="H153" s="4" t="s">
        <v>1205</v>
      </c>
      <c r="I153" s="14">
        <v>88.36</v>
      </c>
      <c r="J153" s="13">
        <v>44398</v>
      </c>
      <c r="K153" s="25">
        <v>1.32</v>
      </c>
      <c r="L153" s="14">
        <v>20</v>
      </c>
      <c r="M153" s="14">
        <v>55</v>
      </c>
      <c r="N153" s="4"/>
      <c r="O153" s="18"/>
      <c r="P153" s="14"/>
      <c r="Q153" s="15">
        <f t="shared" si="8"/>
        <v>0</v>
      </c>
      <c r="R153" s="12" t="s">
        <v>684</v>
      </c>
      <c r="S153" s="16" cm="1">
        <f t="array" ref="S153">IF(R153="",0,COUNTA(_xlfn._xlws.FILTER(_xlfn.TEXTSPLIT(R153,";"), _xlfn.TEXTSPLIT(R153,";")&lt;&gt;"")))</f>
        <v>3</v>
      </c>
      <c r="T153" s="12" t="s">
        <v>774</v>
      </c>
      <c r="U153" s="16" cm="1">
        <f t="array" ref="U153">IF(T153="",0,COUNTA(_xlfn._xlws.FILTER(_xlfn.TEXTSPLIT(T153,";"), _xlfn.TEXTSPLIT(T153,";")&lt;&gt;"")))</f>
        <v>1</v>
      </c>
      <c r="V153" s="17">
        <f t="shared" si="9"/>
        <v>0.33333333333333331</v>
      </c>
      <c r="W153" s="12" t="str" cm="1">
        <f t="array" ref="W153">IF(T153="",R153,_xlfn.LET(_xlpm.inv, TRIM(_xlfn.TEXTSPLIT(R153,";")),_xlpm.fol, TRIM(_xlfn.TEXTSPLIT(T153,";")),_xlfn.TEXTJOIN("; ", TRUE, _xlfn._xlws.FILTER(_xlpm.inv, ISNA(MATCH(_xlpm.inv, _xlpm.fol, 0)), ""))
  )
)</f>
        <v>Chevron Technology Ventures; Prithvi Ventures</v>
      </c>
      <c r="X153" s="16" cm="1">
        <f t="array" ref="X153">IF(W153="","N/A",COUNTA(_xlfn._xlws.FILTER(_xlfn.TEXTSPLIT(W153,";"), _xlfn.TEXTSPLIT(W153,";")&lt;&gt;"")))</f>
        <v>2</v>
      </c>
      <c r="Y153" s="17">
        <f t="shared" si="10"/>
        <v>0.66666666666666663</v>
      </c>
      <c r="Z153" s="4" t="s">
        <v>810</v>
      </c>
      <c r="AA153" s="4" t="s">
        <v>813</v>
      </c>
      <c r="AB153" s="4" t="s">
        <v>811</v>
      </c>
      <c r="AC153" s="4" t="s">
        <v>517</v>
      </c>
    </row>
    <row r="154" spans="1:29" x14ac:dyDescent="0.35">
      <c r="A154" s="4">
        <f t="shared" si="11"/>
        <v>152</v>
      </c>
      <c r="B154" s="4" t="s">
        <v>337</v>
      </c>
      <c r="C154" s="4" t="s">
        <v>186</v>
      </c>
      <c r="D154" s="4">
        <v>2009</v>
      </c>
      <c r="E154" s="12" t="s">
        <v>897</v>
      </c>
      <c r="F154" s="4" t="s">
        <v>557</v>
      </c>
      <c r="G154" s="4" t="s">
        <v>1204</v>
      </c>
      <c r="H154" s="4" t="s">
        <v>1205</v>
      </c>
      <c r="I154" s="14">
        <v>14.93</v>
      </c>
      <c r="J154" s="13">
        <v>42880</v>
      </c>
      <c r="K154" s="25">
        <v>2.13</v>
      </c>
      <c r="L154" s="14">
        <v>5</v>
      </c>
      <c r="M154" s="14">
        <v>19</v>
      </c>
      <c r="N154" s="4" t="s">
        <v>474</v>
      </c>
      <c r="O154" s="18">
        <v>0.67</v>
      </c>
      <c r="P154" s="14"/>
      <c r="Q154" s="15">
        <f t="shared" si="8"/>
        <v>0</v>
      </c>
      <c r="R154" s="12"/>
      <c r="S154" s="16" cm="1">
        <f t="array" ref="S154">IF(R154="",0,COUNTA(_xlfn._xlws.FILTER(_xlfn.TEXTSPLIT(R154,";"), _xlfn.TEXTSPLIT(R154,";")&lt;&gt;"")))</f>
        <v>0</v>
      </c>
      <c r="T154" s="12"/>
      <c r="U154" s="16" cm="1">
        <f t="array" ref="U154">IF(T154="",0,COUNTA(_xlfn._xlws.FILTER(_xlfn.TEXTSPLIT(T154,";"), _xlfn.TEXTSPLIT(T154,";")&lt;&gt;"")))</f>
        <v>0</v>
      </c>
      <c r="V154" s="17" t="str">
        <f t="shared" si="9"/>
        <v>N/A</v>
      </c>
      <c r="W154" s="12" cm="1">
        <f t="array" ref="W154">IF(T154="",R154,_xlfn.LET(_xlpm.inv, TRIM(_xlfn.TEXTSPLIT(R154,";")),_xlpm.fol, TRIM(_xlfn.TEXTSPLIT(T154,";")),_xlfn.TEXTJOIN("; ", TRUE, _xlfn._xlws.FILTER(_xlpm.inv, ISNA(MATCH(_xlpm.inv, _xlpm.fol, 0)), ""))
  )
)</f>
        <v>0</v>
      </c>
      <c r="X154" s="16" cm="1">
        <f t="array" ref="X154">IF(W154="","N/A",COUNTA(_xlfn._xlws.FILTER(_xlfn.TEXTSPLIT(W154,";"), _xlfn.TEXTSPLIT(W154,";")&lt;&gt;"")))</f>
        <v>1</v>
      </c>
      <c r="Y154" s="17" t="str">
        <f t="shared" si="10"/>
        <v>N/A</v>
      </c>
      <c r="Z154" s="4" t="s">
        <v>810</v>
      </c>
      <c r="AA154" s="4" t="s">
        <v>830</v>
      </c>
      <c r="AB154" s="4" t="s">
        <v>811</v>
      </c>
      <c r="AC154" s="4" t="s">
        <v>517</v>
      </c>
    </row>
    <row r="155" spans="1:29" ht="29" x14ac:dyDescent="0.35">
      <c r="A155" s="4">
        <f t="shared" si="11"/>
        <v>153</v>
      </c>
      <c r="B155" s="4" t="s">
        <v>337</v>
      </c>
      <c r="C155" s="4" t="s">
        <v>186</v>
      </c>
      <c r="D155" s="4">
        <v>2009</v>
      </c>
      <c r="E155" s="12" t="s">
        <v>897</v>
      </c>
      <c r="F155" s="4" t="s">
        <v>557</v>
      </c>
      <c r="G155" s="4" t="s">
        <v>1204</v>
      </c>
      <c r="H155" s="4" t="s">
        <v>1205</v>
      </c>
      <c r="I155" s="14">
        <v>116.36</v>
      </c>
      <c r="J155" s="13">
        <v>45042</v>
      </c>
      <c r="K155" s="25">
        <v>1.76</v>
      </c>
      <c r="L155" s="14">
        <v>28</v>
      </c>
      <c r="M155" s="14">
        <v>83</v>
      </c>
      <c r="N155" s="4" t="s">
        <v>499</v>
      </c>
      <c r="O155" s="18"/>
      <c r="P155" s="14"/>
      <c r="Q155" s="15">
        <f t="shared" si="8"/>
        <v>0</v>
      </c>
      <c r="R155" s="12" t="s">
        <v>685</v>
      </c>
      <c r="S155" s="16" cm="1">
        <f t="array" ref="S155">IF(R155="",0,COUNTA(_xlfn._xlws.FILTER(_xlfn.TEXTSPLIT(R155,";"), _xlfn.TEXTSPLIT(R155,";")&lt;&gt;"")))</f>
        <v>4</v>
      </c>
      <c r="T155" s="12"/>
      <c r="U155" s="16" cm="1">
        <f t="array" ref="U155">IF(T155="",0,COUNTA(_xlfn._xlws.FILTER(_xlfn.TEXTSPLIT(T155,";"), _xlfn.TEXTSPLIT(T155,";")&lt;&gt;"")))</f>
        <v>0</v>
      </c>
      <c r="V155" s="17">
        <f t="shared" si="9"/>
        <v>0</v>
      </c>
      <c r="W155" s="12" t="str" cm="1">
        <f t="array" ref="W155">IF(T155="",R155,_xlfn.LET(_xlpm.inv, TRIM(_xlfn.TEXTSPLIT(R155,";")),_xlpm.fol, TRIM(_xlfn.TEXTSPLIT(T155,";")),_xlfn.TEXTJOIN("; ", TRUE, _xlfn._xlws.FILTER(_xlpm.inv, ISNA(MATCH(_xlpm.inv, _xlpm.fol, 0)), ""))
  )
)</f>
        <v>Enechange; Japan Energy Fund; New Luna Ventures; Schneider Electric USA Common Trust</v>
      </c>
      <c r="X155" s="16" cm="1">
        <f t="array" ref="X155">IF(W155="","N/A",COUNTA(_xlfn._xlws.FILTER(_xlfn.TEXTSPLIT(W155,";"), _xlfn.TEXTSPLIT(W155,";")&lt;&gt;"")))</f>
        <v>4</v>
      </c>
      <c r="Y155" s="17">
        <f t="shared" si="10"/>
        <v>1</v>
      </c>
      <c r="Z155" s="4" t="s">
        <v>810</v>
      </c>
      <c r="AA155" s="4" t="s">
        <v>813</v>
      </c>
      <c r="AB155" s="4" t="s">
        <v>811</v>
      </c>
      <c r="AC155" s="4" t="s">
        <v>517</v>
      </c>
    </row>
    <row r="156" spans="1:29" x14ac:dyDescent="0.35">
      <c r="A156" s="4">
        <f t="shared" si="11"/>
        <v>154</v>
      </c>
      <c r="B156" s="4" t="s">
        <v>338</v>
      </c>
      <c r="C156" s="4" t="s">
        <v>339</v>
      </c>
      <c r="D156" s="4">
        <v>2017</v>
      </c>
      <c r="E156" s="12" t="s">
        <v>897</v>
      </c>
      <c r="F156" s="4" t="s">
        <v>960</v>
      </c>
      <c r="G156" s="4" t="s">
        <v>1317</v>
      </c>
      <c r="H156" s="4" t="s">
        <v>1318</v>
      </c>
      <c r="I156" s="14">
        <v>4.1500000000000004</v>
      </c>
      <c r="J156" s="13">
        <v>44988</v>
      </c>
      <c r="K156" s="25">
        <v>2.78</v>
      </c>
      <c r="L156" s="14">
        <v>2.4500000000000002</v>
      </c>
      <c r="M156" s="14">
        <v>20</v>
      </c>
      <c r="N156" s="4" t="s">
        <v>471</v>
      </c>
      <c r="O156" s="18"/>
      <c r="P156" s="14"/>
      <c r="Q156" s="15">
        <f t="shared" si="8"/>
        <v>0</v>
      </c>
      <c r="R156" s="12" t="s">
        <v>686</v>
      </c>
      <c r="S156" s="16" cm="1">
        <f t="array" ref="S156">IF(R156="",0,COUNTA(_xlfn._xlws.FILTER(_xlfn.TEXTSPLIT(R156,";"), _xlfn.TEXTSPLIT(R156,";")&lt;&gt;"")))</f>
        <v>6</v>
      </c>
      <c r="T156" s="12" t="s">
        <v>795</v>
      </c>
      <c r="U156" s="16" cm="1">
        <f t="array" ref="U156">IF(T156="",0,COUNTA(_xlfn._xlws.FILTER(_xlfn.TEXTSPLIT(T156,";"), _xlfn.TEXTSPLIT(T156,";")&lt;&gt;"")))</f>
        <v>1</v>
      </c>
      <c r="V156" s="17">
        <f t="shared" si="9"/>
        <v>0.16666666666666666</v>
      </c>
      <c r="W156" s="12" t="str" cm="1">
        <f t="array" ref="W156">IF(T156="",R156,_xlfn.LET(_xlpm.inv, TRIM(_xlfn.TEXTSPLIT(R156,";")),_xlpm.fol, TRIM(_xlfn.TEXTSPLIT(T156,";")),_xlfn.TEXTJOIN("; ", TRUE, _xlfn._xlws.FILTER(_xlpm.inv, ISNA(MATCH(_xlpm.inv, _xlpm.fol, 0)), ""))
  )
)</f>
        <v>Leonardo DiCaprio; Next Act Fund; Portfolia; Regeneration VC; The 22 Fund</v>
      </c>
      <c r="X156" s="16" cm="1">
        <f t="array" ref="X156">IF(W156="","N/A",COUNTA(_xlfn._xlws.FILTER(_xlfn.TEXTSPLIT(W156,";"), _xlfn.TEXTSPLIT(W156,";")&lt;&gt;"")))</f>
        <v>5</v>
      </c>
      <c r="Y156" s="17">
        <f t="shared" si="10"/>
        <v>0.83333333333333337</v>
      </c>
      <c r="Z156" s="4" t="s">
        <v>810</v>
      </c>
      <c r="AA156" s="4" t="s">
        <v>831</v>
      </c>
      <c r="AB156" s="4" t="s">
        <v>839</v>
      </c>
      <c r="AC156" s="4" t="s">
        <v>517</v>
      </c>
    </row>
    <row r="157" spans="1:29" ht="43.5" x14ac:dyDescent="0.35">
      <c r="A157" s="4">
        <f t="shared" si="11"/>
        <v>155</v>
      </c>
      <c r="B157" s="4" t="s">
        <v>340</v>
      </c>
      <c r="C157" s="4" t="s">
        <v>341</v>
      </c>
      <c r="D157" s="4">
        <v>2018</v>
      </c>
      <c r="E157" s="12" t="s">
        <v>902</v>
      </c>
      <c r="F157" s="4" t="s">
        <v>958</v>
      </c>
      <c r="G157" s="4" t="s">
        <v>1207</v>
      </c>
      <c r="H157" s="4" t="s">
        <v>1208</v>
      </c>
      <c r="I157" s="14">
        <v>50.17</v>
      </c>
      <c r="J157" s="13">
        <v>45786</v>
      </c>
      <c r="K157" s="25">
        <v>2.5</v>
      </c>
      <c r="L157" s="14">
        <v>20</v>
      </c>
      <c r="M157" s="14">
        <v>30.5</v>
      </c>
      <c r="N157" s="4"/>
      <c r="O157" s="18"/>
      <c r="P157" s="14"/>
      <c r="Q157" s="15">
        <f t="shared" si="8"/>
        <v>0</v>
      </c>
      <c r="R157" s="12" t="s">
        <v>687</v>
      </c>
      <c r="S157" s="16" cm="1">
        <f t="array" ref="S157">IF(R157="",0,COUNTA(_xlfn._xlws.FILTER(_xlfn.TEXTSPLIT(R157,";"), _xlfn.TEXTSPLIT(R157,";")&lt;&gt;"")))</f>
        <v>9</v>
      </c>
      <c r="T157" s="12" t="s">
        <v>796</v>
      </c>
      <c r="U157" s="16" cm="1">
        <f t="array" ref="U157">IF(T157="",0,COUNTA(_xlfn._xlws.FILTER(_xlfn.TEXTSPLIT(T157,";"), _xlfn.TEXTSPLIT(T157,";")&lt;&gt;"")))</f>
        <v>6</v>
      </c>
      <c r="V157" s="17">
        <f t="shared" si="9"/>
        <v>0.66666666666666663</v>
      </c>
      <c r="W157" s="12" t="str" cm="1">
        <f t="array" ref="W157">IF(T157="",R157,_xlfn.LET(_xlpm.inv, TRIM(_xlfn.TEXTSPLIT(R157,";")),_xlpm.fol, TRIM(_xlfn.TEXTSPLIT(T157,";")),_xlfn.TEXTJOIN("; ", TRUE, _xlfn._xlws.FILTER(_xlpm.inv, ISNA(MATCH(_xlpm.inv, _xlpm.fol, 0)), ""))
  )
)</f>
        <v>Genoa Ventures; Schreiber Ventures; Synthesis Capital</v>
      </c>
      <c r="X157" s="16" cm="1">
        <f t="array" ref="X157">IF(W157="","N/A",COUNTA(_xlfn._xlws.FILTER(_xlfn.TEXTSPLIT(W157,";"), _xlfn.TEXTSPLIT(W157,";")&lt;&gt;"")))</f>
        <v>3</v>
      </c>
      <c r="Y157" s="17">
        <f t="shared" si="10"/>
        <v>0.33333333333333331</v>
      </c>
      <c r="Z157" s="4" t="s">
        <v>810</v>
      </c>
      <c r="AA157" s="4" t="s">
        <v>831</v>
      </c>
      <c r="AB157" s="4" t="s">
        <v>821</v>
      </c>
      <c r="AC157" s="4" t="s">
        <v>517</v>
      </c>
    </row>
    <row r="158" spans="1:29" x14ac:dyDescent="0.35">
      <c r="A158" s="4">
        <f t="shared" si="11"/>
        <v>156</v>
      </c>
      <c r="B158" s="4" t="s">
        <v>117</v>
      </c>
      <c r="C158" s="4" t="s">
        <v>342</v>
      </c>
      <c r="D158" s="4">
        <v>2018</v>
      </c>
      <c r="E158" s="12" t="s">
        <v>223</v>
      </c>
      <c r="F158" s="4" t="s">
        <v>557</v>
      </c>
      <c r="G158" s="4" t="s">
        <v>1209</v>
      </c>
      <c r="H158" s="4" t="s">
        <v>1210</v>
      </c>
      <c r="I158" s="14"/>
      <c r="J158" s="13">
        <v>44586</v>
      </c>
      <c r="K158" s="25"/>
      <c r="L158" s="14"/>
      <c r="M158" s="14"/>
      <c r="N158" s="4"/>
      <c r="O158" s="18"/>
      <c r="P158" s="14"/>
      <c r="Q158" s="15" t="str">
        <f t="shared" si="8"/>
        <v>N/A</v>
      </c>
      <c r="R158" s="12" t="s">
        <v>688</v>
      </c>
      <c r="S158" s="16" cm="1">
        <f t="array" ref="S158">IF(R158="",0,COUNTA(_xlfn._xlws.FILTER(_xlfn.TEXTSPLIT(R158,";"), _xlfn.TEXTSPLIT(R158,";")&lt;&gt;"")))</f>
        <v>1</v>
      </c>
      <c r="T158" s="12"/>
      <c r="U158" s="16" cm="1">
        <f t="array" ref="U158">IF(T158="",0,COUNTA(_xlfn._xlws.FILTER(_xlfn.TEXTSPLIT(T158,";"), _xlfn.TEXTSPLIT(T158,";")&lt;&gt;"")))</f>
        <v>0</v>
      </c>
      <c r="V158" s="17">
        <f t="shared" si="9"/>
        <v>0</v>
      </c>
      <c r="W158" s="12" t="str" cm="1">
        <f t="array" ref="W158">IF(T158="",R158,_xlfn.LET(_xlpm.inv, TRIM(_xlfn.TEXTSPLIT(R158,";")),_xlpm.fol, TRIM(_xlfn.TEXTSPLIT(T158,";")),_xlfn.TEXTJOIN("; ", TRUE, _xlfn._xlws.FILTER(_xlpm.inv, ISNA(MATCH(_xlpm.inv, _xlpm.fol, 0)), ""))
  )
)</f>
        <v xml:space="preserve">Greenbacker Capital Management </v>
      </c>
      <c r="X158" s="16" cm="1">
        <f t="array" ref="X158">IF(W158="","N/A",COUNTA(_xlfn._xlws.FILTER(_xlfn.TEXTSPLIT(W158,";"), _xlfn.TEXTSPLIT(W158,";")&lt;&gt;"")))</f>
        <v>1</v>
      </c>
      <c r="Y158" s="17">
        <f t="shared" si="10"/>
        <v>1</v>
      </c>
      <c r="Z158" s="4" t="s">
        <v>815</v>
      </c>
      <c r="AA158" s="4"/>
      <c r="AB158" s="4" t="s">
        <v>822</v>
      </c>
      <c r="AC158" s="4" t="s">
        <v>517</v>
      </c>
    </row>
    <row r="159" spans="1:29" ht="29" x14ac:dyDescent="0.35">
      <c r="A159" s="4">
        <f t="shared" si="11"/>
        <v>157</v>
      </c>
      <c r="B159" s="4" t="s">
        <v>343</v>
      </c>
      <c r="C159" s="4" t="s">
        <v>344</v>
      </c>
      <c r="D159" s="4">
        <v>2008</v>
      </c>
      <c r="E159" s="12" t="s">
        <v>939</v>
      </c>
      <c r="F159" s="4" t="s">
        <v>958</v>
      </c>
      <c r="G159" s="4" t="s">
        <v>1211</v>
      </c>
      <c r="H159" s="4" t="s">
        <v>1212</v>
      </c>
      <c r="I159" s="14">
        <v>48.88</v>
      </c>
      <c r="J159" s="13">
        <v>43455</v>
      </c>
      <c r="K159" s="25">
        <v>1.43</v>
      </c>
      <c r="L159" s="14">
        <v>1.7</v>
      </c>
      <c r="M159" s="14">
        <v>30</v>
      </c>
      <c r="N159" s="4" t="s">
        <v>471</v>
      </c>
      <c r="O159" s="18">
        <v>1.95</v>
      </c>
      <c r="P159" s="14"/>
      <c r="Q159" s="15">
        <f t="shared" si="8"/>
        <v>0</v>
      </c>
      <c r="R159" s="12" t="s">
        <v>689</v>
      </c>
      <c r="S159" s="16" cm="1">
        <f t="array" ref="S159">IF(R159="",0,COUNTA(_xlfn._xlws.FILTER(_xlfn.TEXTSPLIT(R159,";"), _xlfn.TEXTSPLIT(R159,";")&lt;&gt;"")))</f>
        <v>2</v>
      </c>
      <c r="T159" s="12" t="s">
        <v>794</v>
      </c>
      <c r="U159" s="16" cm="1">
        <f t="array" ref="U159">IF(T159="",0,COUNTA(_xlfn._xlws.FILTER(_xlfn.TEXTSPLIT(T159,";"), _xlfn.TEXTSPLIT(T159,";")&lt;&gt;"")))</f>
        <v>1</v>
      </c>
      <c r="V159" s="17">
        <f t="shared" si="9"/>
        <v>0.5</v>
      </c>
      <c r="W159" s="12" t="str" cm="1">
        <f t="array" ref="W159">IF(T159="",R159,_xlfn.LET(_xlpm.inv, TRIM(_xlfn.TEXTSPLIT(R159,";")),_xlpm.fol, TRIM(_xlfn.TEXTSPLIT(T159,";")),_xlfn.TEXTJOIN("; ", TRUE, _xlfn._xlws.FILTER(_xlpm.inv, ISNA(MATCH(_xlpm.inv, _xlpm.fol, 0)), ""))
  )
)</f>
        <v>Arsenal Growth</v>
      </c>
      <c r="X159" s="16" cm="1">
        <f t="array" ref="X159">IF(W159="","N/A",COUNTA(_xlfn._xlws.FILTER(_xlfn.TEXTSPLIT(W159,";"), _xlfn.TEXTSPLIT(W159,";")&lt;&gt;"")))</f>
        <v>1</v>
      </c>
      <c r="Y159" s="17">
        <f t="shared" si="10"/>
        <v>0.5</v>
      </c>
      <c r="Z159" s="4" t="s">
        <v>810</v>
      </c>
      <c r="AA159" s="4" t="s">
        <v>823</v>
      </c>
      <c r="AB159" s="4" t="s">
        <v>867</v>
      </c>
      <c r="AC159" s="4" t="s">
        <v>517</v>
      </c>
    </row>
    <row r="160" spans="1:29" ht="29" x14ac:dyDescent="0.35">
      <c r="A160" s="4">
        <f t="shared" si="11"/>
        <v>158</v>
      </c>
      <c r="B160" s="4" t="s">
        <v>343</v>
      </c>
      <c r="C160" s="4" t="s">
        <v>344</v>
      </c>
      <c r="D160" s="4">
        <v>2008</v>
      </c>
      <c r="E160" s="12" t="s">
        <v>939</v>
      </c>
      <c r="F160" s="4" t="s">
        <v>958</v>
      </c>
      <c r="G160" s="4" t="s">
        <v>1211</v>
      </c>
      <c r="H160" s="4" t="s">
        <v>1212</v>
      </c>
      <c r="I160" s="14">
        <v>56.53</v>
      </c>
      <c r="J160" s="13">
        <v>44922</v>
      </c>
      <c r="K160" s="25">
        <v>4.0199999999999996</v>
      </c>
      <c r="L160" s="14">
        <v>7.65</v>
      </c>
      <c r="M160" s="14">
        <v>37.65</v>
      </c>
      <c r="N160" s="4" t="s">
        <v>499</v>
      </c>
      <c r="O160" s="18">
        <v>1</v>
      </c>
      <c r="P160" s="14"/>
      <c r="Q160" s="15">
        <f t="shared" si="8"/>
        <v>0</v>
      </c>
      <c r="R160" s="12"/>
      <c r="S160" s="16" cm="1">
        <f t="array" ref="S160">IF(R160="",0,COUNTA(_xlfn._xlws.FILTER(_xlfn.TEXTSPLIT(R160,";"), _xlfn.TEXTSPLIT(R160,";")&lt;&gt;"")))</f>
        <v>0</v>
      </c>
      <c r="T160" s="12"/>
      <c r="U160" s="16" cm="1">
        <f t="array" ref="U160">IF(T160="",0,COUNTA(_xlfn._xlws.FILTER(_xlfn.TEXTSPLIT(T160,";"), _xlfn.TEXTSPLIT(T160,";")&lt;&gt;"")))</f>
        <v>0</v>
      </c>
      <c r="V160" s="17" t="str">
        <f t="shared" si="9"/>
        <v>N/A</v>
      </c>
      <c r="W160" s="12" cm="1">
        <f t="array" ref="W160">IF(T160="",R160,_xlfn.LET(_xlpm.inv, TRIM(_xlfn.TEXTSPLIT(R160,";")),_xlpm.fol, TRIM(_xlfn.TEXTSPLIT(T160,";")),_xlfn.TEXTJOIN("; ", TRUE, _xlfn._xlws.FILTER(_xlpm.inv, ISNA(MATCH(_xlpm.inv, _xlpm.fol, 0)), ""))
  )
)</f>
        <v>0</v>
      </c>
      <c r="X160" s="16" cm="1">
        <f t="array" ref="X160">IF(W160="","N/A",COUNTA(_xlfn._xlws.FILTER(_xlfn.TEXTSPLIT(W160,";"), _xlfn.TEXTSPLIT(W160,";")&lt;&gt;"")))</f>
        <v>1</v>
      </c>
      <c r="Y160" s="17" t="str">
        <f t="shared" si="10"/>
        <v>N/A</v>
      </c>
      <c r="Z160" s="4" t="s">
        <v>810</v>
      </c>
      <c r="AA160" s="4" t="s">
        <v>823</v>
      </c>
      <c r="AB160" s="4" t="s">
        <v>867</v>
      </c>
      <c r="AC160" s="4" t="s">
        <v>517</v>
      </c>
    </row>
    <row r="161" spans="1:29" ht="29" x14ac:dyDescent="0.35">
      <c r="A161" s="4">
        <f t="shared" si="11"/>
        <v>159</v>
      </c>
      <c r="B161" s="4" t="s">
        <v>343</v>
      </c>
      <c r="C161" s="4" t="s">
        <v>344</v>
      </c>
      <c r="D161" s="4">
        <v>2008</v>
      </c>
      <c r="E161" s="12" t="s">
        <v>939</v>
      </c>
      <c r="F161" s="4" t="s">
        <v>958</v>
      </c>
      <c r="G161" s="4" t="s">
        <v>1211</v>
      </c>
      <c r="H161" s="4" t="s">
        <v>1212</v>
      </c>
      <c r="I161" s="14">
        <v>63.53</v>
      </c>
      <c r="J161" s="13">
        <v>45559</v>
      </c>
      <c r="K161" s="25">
        <v>1.75</v>
      </c>
      <c r="L161" s="14">
        <v>7</v>
      </c>
      <c r="M161" s="14">
        <v>44.65</v>
      </c>
      <c r="N161" s="4" t="s">
        <v>499</v>
      </c>
      <c r="O161" s="18">
        <v>1</v>
      </c>
      <c r="P161" s="14"/>
      <c r="Q161" s="15">
        <f t="shared" si="8"/>
        <v>0</v>
      </c>
      <c r="R161" s="12"/>
      <c r="S161" s="16" cm="1">
        <f t="array" ref="S161">IF(R161="",0,COUNTA(_xlfn._xlws.FILTER(_xlfn.TEXTSPLIT(R161,";"), _xlfn.TEXTSPLIT(R161,";")&lt;&gt;"")))</f>
        <v>0</v>
      </c>
      <c r="T161" s="12"/>
      <c r="U161" s="16" cm="1">
        <f t="array" ref="U161">IF(T161="",0,COUNTA(_xlfn._xlws.FILTER(_xlfn.TEXTSPLIT(T161,";"), _xlfn.TEXTSPLIT(T161,";")&lt;&gt;"")))</f>
        <v>0</v>
      </c>
      <c r="V161" s="17" t="str">
        <f t="shared" si="9"/>
        <v>N/A</v>
      </c>
      <c r="W161" s="12" cm="1">
        <f t="array" ref="W161">IF(T161="",R161,_xlfn.LET(_xlpm.inv, TRIM(_xlfn.TEXTSPLIT(R161,";")),_xlpm.fol, TRIM(_xlfn.TEXTSPLIT(T161,";")),_xlfn.TEXTJOIN("; ", TRUE, _xlfn._xlws.FILTER(_xlpm.inv, ISNA(MATCH(_xlpm.inv, _xlpm.fol, 0)), ""))
  )
)</f>
        <v>0</v>
      </c>
      <c r="X161" s="16" cm="1">
        <f t="array" ref="X161">IF(W161="","N/A",COUNTA(_xlfn._xlws.FILTER(_xlfn.TEXTSPLIT(W161,";"), _xlfn.TEXTSPLIT(W161,";")&lt;&gt;"")))</f>
        <v>1</v>
      </c>
      <c r="Y161" s="17" t="str">
        <f t="shared" si="10"/>
        <v>N/A</v>
      </c>
      <c r="Z161" s="4" t="s">
        <v>810</v>
      </c>
      <c r="AA161" s="4" t="s">
        <v>842</v>
      </c>
      <c r="AB161" s="4" t="s">
        <v>867</v>
      </c>
      <c r="AC161" s="4" t="s">
        <v>517</v>
      </c>
    </row>
    <row r="162" spans="1:29" ht="29" x14ac:dyDescent="0.35">
      <c r="A162" s="4">
        <f t="shared" si="11"/>
        <v>160</v>
      </c>
      <c r="B162" s="4" t="s">
        <v>345</v>
      </c>
      <c r="C162" s="4" t="s">
        <v>346</v>
      </c>
      <c r="D162" s="4">
        <v>2019</v>
      </c>
      <c r="E162" s="12" t="s">
        <v>940</v>
      </c>
      <c r="F162" s="4" t="s">
        <v>958</v>
      </c>
      <c r="G162" s="4" t="s">
        <v>1213</v>
      </c>
      <c r="H162" s="4" t="s">
        <v>1214</v>
      </c>
      <c r="I162" s="14">
        <v>4.5</v>
      </c>
      <c r="J162" s="13">
        <v>44835</v>
      </c>
      <c r="K162" s="25"/>
      <c r="L162" s="14">
        <v>4.5</v>
      </c>
      <c r="M162" s="14">
        <v>21</v>
      </c>
      <c r="N162" s="4"/>
      <c r="O162" s="18"/>
      <c r="P162" s="14"/>
      <c r="Q162" s="15">
        <f t="shared" si="8"/>
        <v>0</v>
      </c>
      <c r="R162" s="12" t="s">
        <v>690</v>
      </c>
      <c r="S162" s="16" cm="1">
        <f t="array" ref="S162">IF(R162="",0,COUNTA(_xlfn._xlws.FILTER(_xlfn.TEXTSPLIT(R162,";"), _xlfn.TEXTSPLIT(R162,";")&lt;&gt;"")))</f>
        <v>6</v>
      </c>
      <c r="T162" s="12"/>
      <c r="U162" s="16" cm="1">
        <f t="array" ref="U162">IF(T162="",0,COUNTA(_xlfn._xlws.FILTER(_xlfn.TEXTSPLIT(T162,";"), _xlfn.TEXTSPLIT(T162,";")&lt;&gt;"")))</f>
        <v>0</v>
      </c>
      <c r="V162" s="17">
        <f t="shared" si="9"/>
        <v>0</v>
      </c>
      <c r="W162" s="12" t="str" cm="1">
        <f t="array" ref="W162">IF(T162="",R162,_xlfn.LET(_xlpm.inv, TRIM(_xlfn.TEXTSPLIT(R162,";")),_xlpm.fol, TRIM(_xlfn.TEXTSPLIT(T162,";")),_xlfn.TEXTJOIN("; ", TRUE, _xlfn._xlws.FILTER(_xlpm.inv, ISNA(MATCH(_xlpm.inv, _xlpm.fol, 0)), ""))
  )
)</f>
        <v>Blue Horizon Corporation; Leaps by Bayer; Lever VC; Lifely VC; Mudcake; The House Fund</v>
      </c>
      <c r="X162" s="16" cm="1">
        <f t="array" ref="X162">IF(W162="","N/A",COUNTA(_xlfn._xlws.FILTER(_xlfn.TEXTSPLIT(W162,";"), _xlfn.TEXTSPLIT(W162,";")&lt;&gt;"")))</f>
        <v>6</v>
      </c>
      <c r="Y162" s="17">
        <f t="shared" si="10"/>
        <v>1</v>
      </c>
      <c r="Z162" s="4" t="s">
        <v>812</v>
      </c>
      <c r="AA162" s="4" t="s">
        <v>79</v>
      </c>
      <c r="AB162" s="4" t="s">
        <v>821</v>
      </c>
      <c r="AC162" s="4" t="s">
        <v>517</v>
      </c>
    </row>
    <row r="163" spans="1:29" ht="29" x14ac:dyDescent="0.35">
      <c r="A163" s="4">
        <f t="shared" si="11"/>
        <v>161</v>
      </c>
      <c r="B163" s="4" t="s">
        <v>345</v>
      </c>
      <c r="C163" s="4" t="s">
        <v>346</v>
      </c>
      <c r="D163" s="4">
        <v>2019</v>
      </c>
      <c r="E163" s="12" t="s">
        <v>940</v>
      </c>
      <c r="F163" s="4" t="s">
        <v>958</v>
      </c>
      <c r="G163" s="4" t="s">
        <v>1213</v>
      </c>
      <c r="H163" s="4" t="s">
        <v>1214</v>
      </c>
      <c r="I163" s="14">
        <v>11.5</v>
      </c>
      <c r="J163" s="13">
        <v>44866</v>
      </c>
      <c r="K163" s="25"/>
      <c r="L163" s="14">
        <v>7</v>
      </c>
      <c r="M163" s="14">
        <v>34</v>
      </c>
      <c r="N163" s="4" t="s">
        <v>471</v>
      </c>
      <c r="O163" s="18">
        <v>1.29</v>
      </c>
      <c r="P163" s="14"/>
      <c r="Q163" s="15">
        <f t="shared" si="8"/>
        <v>0</v>
      </c>
      <c r="R163" s="12" t="s">
        <v>691</v>
      </c>
      <c r="S163" s="16" cm="1">
        <f t="array" ref="S163">IF(R163="",0,COUNTA(_xlfn._xlws.FILTER(_xlfn.TEXTSPLIT(R163,";"), _xlfn.TEXTSPLIT(R163,";")&lt;&gt;"")))</f>
        <v>4</v>
      </c>
      <c r="T163" s="12" t="s">
        <v>691</v>
      </c>
      <c r="U163" s="16" cm="1">
        <f t="array" ref="U163">IF(T163="",0,COUNTA(_xlfn._xlws.FILTER(_xlfn.TEXTSPLIT(T163,";"), _xlfn.TEXTSPLIT(T163,";")&lt;&gt;"")))</f>
        <v>4</v>
      </c>
      <c r="V163" s="17">
        <f t="shared" si="9"/>
        <v>1</v>
      </c>
      <c r="W163" s="12" t="str" cm="1">
        <f t="array" ref="W163">IF(T163="",R163,_xlfn.LET(_xlpm.inv, TRIM(_xlfn.TEXTSPLIT(R163,";")),_xlpm.fol, TRIM(_xlfn.TEXTSPLIT(T163,";")),_xlfn.TEXTJOIN("; ", TRUE, _xlfn._xlws.FILTER(_xlpm.inv, ISNA(MATCH(_xlpm.inv, _xlpm.fol, 0)), ""))
  )
)</f>
        <v/>
      </c>
      <c r="X163" s="16" t="str" cm="1">
        <f t="array" ref="X163">IF(W163="","N/A",COUNTA(_xlfn._xlws.FILTER(_xlfn.TEXTSPLIT(W163,";"), _xlfn.TEXTSPLIT(W163,";")&lt;&gt;"")))</f>
        <v>N/A</v>
      </c>
      <c r="Y163" s="17" t="str">
        <f t="shared" si="10"/>
        <v>N/A</v>
      </c>
      <c r="Z163" s="4" t="s">
        <v>812</v>
      </c>
      <c r="AA163" s="4" t="s">
        <v>813</v>
      </c>
      <c r="AB163" s="4" t="s">
        <v>821</v>
      </c>
      <c r="AC163" s="4" t="s">
        <v>517</v>
      </c>
    </row>
    <row r="164" spans="1:29" x14ac:dyDescent="0.35">
      <c r="A164" s="4">
        <f t="shared" si="11"/>
        <v>162</v>
      </c>
      <c r="B164" s="4" t="s">
        <v>347</v>
      </c>
      <c r="C164" s="4" t="s">
        <v>257</v>
      </c>
      <c r="D164" s="4">
        <v>2017</v>
      </c>
      <c r="E164" s="12" t="s">
        <v>553</v>
      </c>
      <c r="F164" s="4" t="s">
        <v>961</v>
      </c>
      <c r="G164" s="4" t="s">
        <v>1215</v>
      </c>
      <c r="H164" s="4" t="s">
        <v>1216</v>
      </c>
      <c r="I164" s="14">
        <v>2.7</v>
      </c>
      <c r="J164" s="13">
        <v>44562</v>
      </c>
      <c r="K164" s="25"/>
      <c r="L164" s="14">
        <v>0.1</v>
      </c>
      <c r="M164" s="14"/>
      <c r="N164" s="4"/>
      <c r="O164" s="18"/>
      <c r="P164" s="14"/>
      <c r="Q164" s="15">
        <f t="shared" si="8"/>
        <v>0</v>
      </c>
      <c r="R164" s="12"/>
      <c r="S164" s="16" cm="1">
        <f t="array" ref="S164">IF(R164="",0,COUNTA(_xlfn._xlws.FILTER(_xlfn.TEXTSPLIT(R164,";"), _xlfn.TEXTSPLIT(R164,";")&lt;&gt;"")))</f>
        <v>0</v>
      </c>
      <c r="T164" s="12"/>
      <c r="U164" s="16" cm="1">
        <f t="array" ref="U164">IF(T164="",0,COUNTA(_xlfn._xlws.FILTER(_xlfn.TEXTSPLIT(T164,";"), _xlfn.TEXTSPLIT(T164,";")&lt;&gt;"")))</f>
        <v>0</v>
      </c>
      <c r="V164" s="17" t="str">
        <f t="shared" si="9"/>
        <v>N/A</v>
      </c>
      <c r="W164" s="12" cm="1">
        <f t="array" ref="W164">IF(T164="",R164,_xlfn.LET(_xlpm.inv, TRIM(_xlfn.TEXTSPLIT(R164,";")),_xlpm.fol, TRIM(_xlfn.TEXTSPLIT(T164,";")),_xlfn.TEXTJOIN("; ", TRUE, _xlfn._xlws.FILTER(_xlpm.inv, ISNA(MATCH(_xlpm.inv, _xlpm.fol, 0)), ""))
  )
)</f>
        <v>0</v>
      </c>
      <c r="X164" s="16" cm="1">
        <f t="array" ref="X164">IF(W164="","N/A",COUNTA(_xlfn._xlws.FILTER(_xlfn.TEXTSPLIT(W164,";"), _xlfn.TEXTSPLIT(W164,";")&lt;&gt;"")))</f>
        <v>1</v>
      </c>
      <c r="Y164" s="17" t="str">
        <f t="shared" si="10"/>
        <v>N/A</v>
      </c>
      <c r="Z164" s="4" t="s">
        <v>846</v>
      </c>
      <c r="AA164" s="4" t="s">
        <v>813</v>
      </c>
      <c r="AB164" s="4" t="s">
        <v>871</v>
      </c>
      <c r="AC164" s="4" t="s">
        <v>517</v>
      </c>
    </row>
    <row r="165" spans="1:29" x14ac:dyDescent="0.35">
      <c r="A165" s="4">
        <f t="shared" si="11"/>
        <v>163</v>
      </c>
      <c r="B165" s="4" t="s">
        <v>348</v>
      </c>
      <c r="C165" s="4" t="s">
        <v>349</v>
      </c>
      <c r="D165" s="4">
        <v>2004</v>
      </c>
      <c r="E165" s="12" t="s">
        <v>938</v>
      </c>
      <c r="F165" s="4" t="s">
        <v>557</v>
      </c>
      <c r="G165" s="4" t="s">
        <v>1217</v>
      </c>
      <c r="H165" s="4" t="s">
        <v>1218</v>
      </c>
      <c r="I165" s="14">
        <v>22.74</v>
      </c>
      <c r="J165" s="13">
        <v>43776</v>
      </c>
      <c r="K165" s="25"/>
      <c r="L165" s="14">
        <v>7.46</v>
      </c>
      <c r="M165" s="14">
        <v>29.46</v>
      </c>
      <c r="N165" s="4"/>
      <c r="O165" s="18"/>
      <c r="P165" s="14"/>
      <c r="Q165" s="15">
        <f t="shared" si="8"/>
        <v>0</v>
      </c>
      <c r="R165" s="12" t="s">
        <v>692</v>
      </c>
      <c r="S165" s="16" cm="1">
        <f t="array" ref="S165">IF(R165="",0,COUNTA(_xlfn._xlws.FILTER(_xlfn.TEXTSPLIT(R165,";"), _xlfn.TEXTSPLIT(R165,";")&lt;&gt;"")))</f>
        <v>1</v>
      </c>
      <c r="T165" s="12"/>
      <c r="U165" s="16" cm="1">
        <f t="array" ref="U165">IF(T165="",0,COUNTA(_xlfn._xlws.FILTER(_xlfn.TEXTSPLIT(T165,";"), _xlfn.TEXTSPLIT(T165,";")&lt;&gt;"")))</f>
        <v>0</v>
      </c>
      <c r="V165" s="17">
        <f t="shared" si="9"/>
        <v>0</v>
      </c>
      <c r="W165" s="12" t="str" cm="1">
        <f t="array" ref="W165">IF(T165="",R165,_xlfn.LET(_xlpm.inv, TRIM(_xlfn.TEXTSPLIT(R165,";")),_xlpm.fol, TRIM(_xlfn.TEXTSPLIT(T165,";")),_xlfn.TEXTJOIN("; ", TRUE, _xlfn._xlws.FILTER(_xlpm.inv, ISNA(MATCH(_xlpm.inv, _xlpm.fol, 0)), ""))
  )
)</f>
        <v xml:space="preserve">Netcapital </v>
      </c>
      <c r="X165" s="16" cm="1">
        <f t="array" ref="X165">IF(W165="","N/A",COUNTA(_xlfn._xlws.FILTER(_xlfn.TEXTSPLIT(W165,";"), _xlfn.TEXTSPLIT(W165,";")&lt;&gt;"")))</f>
        <v>1</v>
      </c>
      <c r="Y165" s="17">
        <f t="shared" si="10"/>
        <v>1</v>
      </c>
      <c r="Z165" s="4" t="s">
        <v>815</v>
      </c>
      <c r="AA165" s="4"/>
      <c r="AB165" s="4" t="s">
        <v>811</v>
      </c>
      <c r="AC165" s="4" t="s">
        <v>517</v>
      </c>
    </row>
    <row r="166" spans="1:29" x14ac:dyDescent="0.35">
      <c r="A166" s="4">
        <f t="shared" si="11"/>
        <v>164</v>
      </c>
      <c r="B166" s="4" t="s">
        <v>348</v>
      </c>
      <c r="C166" s="4" t="s">
        <v>349</v>
      </c>
      <c r="D166" s="4">
        <v>2004</v>
      </c>
      <c r="E166" s="12" t="s">
        <v>938</v>
      </c>
      <c r="F166" s="4" t="s">
        <v>557</v>
      </c>
      <c r="G166" s="4" t="s">
        <v>1217</v>
      </c>
      <c r="H166" s="4" t="s">
        <v>1218</v>
      </c>
      <c r="I166" s="14">
        <v>47.74</v>
      </c>
      <c r="J166" s="13">
        <v>44424</v>
      </c>
      <c r="K166" s="25"/>
      <c r="L166" s="14">
        <v>25</v>
      </c>
      <c r="M166" s="14"/>
      <c r="N166" s="4"/>
      <c r="O166" s="18"/>
      <c r="P166" s="14"/>
      <c r="Q166" s="15">
        <f t="shared" si="8"/>
        <v>0</v>
      </c>
      <c r="R166" s="12" t="s">
        <v>693</v>
      </c>
      <c r="S166" s="16" cm="1">
        <f t="array" ref="S166">IF(R166="",0,COUNTA(_xlfn._xlws.FILTER(_xlfn.TEXTSPLIT(R166,";"), _xlfn.TEXTSPLIT(R166,";")&lt;&gt;"")))</f>
        <v>2</v>
      </c>
      <c r="T166" s="12"/>
      <c r="U166" s="16" cm="1">
        <f t="array" ref="U166">IF(T166="",0,COUNTA(_xlfn._xlws.FILTER(_xlfn.TEXTSPLIT(T166,";"), _xlfn.TEXTSPLIT(T166,";")&lt;&gt;"")))</f>
        <v>0</v>
      </c>
      <c r="V166" s="17">
        <f t="shared" si="9"/>
        <v>0</v>
      </c>
      <c r="W166" s="12" t="str" cm="1">
        <f t="array" ref="W166">IF(T166="",R166,_xlfn.LET(_xlpm.inv, TRIM(_xlfn.TEXTSPLIT(R166,";")),_xlpm.fol, TRIM(_xlfn.TEXTSPLIT(T166,";")),_xlfn.TEXTJOIN("; ", TRUE, _xlfn._xlws.FILTER(_xlpm.inv, ISNA(MATCH(_xlpm.inv, _xlpm.fol, 0)), ""))
  )
)</f>
        <v xml:space="preserve">Canadian Shield Capital; Hatch </v>
      </c>
      <c r="X166" s="16" cm="1">
        <f t="array" ref="X166">IF(W166="","N/A",COUNTA(_xlfn._xlws.FILTER(_xlfn.TEXTSPLIT(W166,";"), _xlfn.TEXTSPLIT(W166,";")&lt;&gt;"")))</f>
        <v>2</v>
      </c>
      <c r="Y166" s="17">
        <f t="shared" si="10"/>
        <v>1</v>
      </c>
      <c r="Z166" s="4" t="s">
        <v>815</v>
      </c>
      <c r="AA166" s="4"/>
      <c r="AB166" s="4" t="s">
        <v>811</v>
      </c>
      <c r="AC166" s="4" t="s">
        <v>517</v>
      </c>
    </row>
    <row r="167" spans="1:29" x14ac:dyDescent="0.35">
      <c r="A167" s="4">
        <f t="shared" si="11"/>
        <v>165</v>
      </c>
      <c r="B167" s="4" t="s">
        <v>351</v>
      </c>
      <c r="C167" s="4" t="s">
        <v>350</v>
      </c>
      <c r="D167" s="4">
        <v>2019</v>
      </c>
      <c r="E167" s="12" t="s">
        <v>211</v>
      </c>
      <c r="F167" s="4" t="s">
        <v>960</v>
      </c>
      <c r="G167" s="4" t="s">
        <v>1219</v>
      </c>
      <c r="H167" s="4" t="s">
        <v>1220</v>
      </c>
      <c r="I167" s="14">
        <v>3.82</v>
      </c>
      <c r="J167" s="13">
        <v>44624</v>
      </c>
      <c r="K167" s="25"/>
      <c r="L167" s="14">
        <v>1</v>
      </c>
      <c r="M167" s="14"/>
      <c r="N167" s="4"/>
      <c r="O167" s="18"/>
      <c r="P167" s="14"/>
      <c r="Q167" s="15">
        <f t="shared" si="8"/>
        <v>0</v>
      </c>
      <c r="R167" s="12" t="s">
        <v>504</v>
      </c>
      <c r="S167" s="16" cm="1">
        <f t="array" ref="S167">IF(R167="",0,COUNTA(_xlfn._xlws.FILTER(_xlfn.TEXTSPLIT(R167,";"), _xlfn.TEXTSPLIT(R167,";")&lt;&gt;"")))</f>
        <v>1</v>
      </c>
      <c r="T167" s="12"/>
      <c r="U167" s="16" cm="1">
        <f t="array" ref="U167">IF(T167="",0,COUNTA(_xlfn._xlws.FILTER(_xlfn.TEXTSPLIT(T167,";"), _xlfn.TEXTSPLIT(T167,";")&lt;&gt;"")))</f>
        <v>0</v>
      </c>
      <c r="V167" s="17">
        <f t="shared" si="9"/>
        <v>0</v>
      </c>
      <c r="W167" s="12" t="str" cm="1">
        <f t="array" ref="W167">IF(T167="",R167,_xlfn.LET(_xlpm.inv, TRIM(_xlfn.TEXTSPLIT(R167,";")),_xlpm.fol, TRIM(_xlfn.TEXTSPLIT(T167,";")),_xlfn.TEXTJOIN("; ", TRUE, _xlfn._xlws.FILTER(_xlpm.inv, ISNA(MATCH(_xlpm.inv, _xlpm.fol, 0)), ""))
  )
)</f>
        <v>Red Devil Investors</v>
      </c>
      <c r="X167" s="16" cm="1">
        <f t="array" ref="X167">IF(W167="","N/A",COUNTA(_xlfn._xlws.FILTER(_xlfn.TEXTSPLIT(W167,";"), _xlfn.TEXTSPLIT(W167,";")&lt;&gt;"")))</f>
        <v>1</v>
      </c>
      <c r="Y167" s="17">
        <f t="shared" si="10"/>
        <v>1</v>
      </c>
      <c r="Z167" s="4" t="s">
        <v>817</v>
      </c>
      <c r="AA167" s="4" t="s">
        <v>813</v>
      </c>
      <c r="AB167" s="4" t="s">
        <v>873</v>
      </c>
      <c r="AC167" s="4" t="s">
        <v>517</v>
      </c>
    </row>
    <row r="168" spans="1:29" x14ac:dyDescent="0.35">
      <c r="A168" s="4">
        <f t="shared" si="11"/>
        <v>166</v>
      </c>
      <c r="B168" s="4" t="s">
        <v>351</v>
      </c>
      <c r="C168" s="4" t="s">
        <v>350</v>
      </c>
      <c r="D168" s="4">
        <v>2019</v>
      </c>
      <c r="E168" s="12" t="s">
        <v>211</v>
      </c>
      <c r="F168" s="4" t="s">
        <v>960</v>
      </c>
      <c r="G168" s="4" t="s">
        <v>1219</v>
      </c>
      <c r="H168" s="4" t="s">
        <v>1220</v>
      </c>
      <c r="I168" s="14">
        <v>2.8</v>
      </c>
      <c r="J168" s="13">
        <v>44057</v>
      </c>
      <c r="K168" s="25"/>
      <c r="L168" s="14">
        <v>2.8</v>
      </c>
      <c r="M168" s="14"/>
      <c r="N168" s="4"/>
      <c r="O168" s="18"/>
      <c r="P168" s="14"/>
      <c r="Q168" s="15">
        <f t="shared" si="8"/>
        <v>0</v>
      </c>
      <c r="R168" s="12"/>
      <c r="S168" s="16" cm="1">
        <f t="array" ref="S168">IF(R168="",0,COUNTA(_xlfn._xlws.FILTER(_xlfn.TEXTSPLIT(R168,";"), _xlfn.TEXTSPLIT(R168,";")&lt;&gt;"")))</f>
        <v>0</v>
      </c>
      <c r="T168" s="12"/>
      <c r="U168" s="16" cm="1">
        <f t="array" ref="U168">IF(T168="",0,COUNTA(_xlfn._xlws.FILTER(_xlfn.TEXTSPLIT(T168,";"), _xlfn.TEXTSPLIT(T168,";")&lt;&gt;"")))</f>
        <v>0</v>
      </c>
      <c r="V168" s="17" t="str">
        <f t="shared" si="9"/>
        <v>N/A</v>
      </c>
      <c r="W168" s="12" cm="1">
        <f t="array" ref="W168">IF(T168="",R168,_xlfn.LET(_xlpm.inv, TRIM(_xlfn.TEXTSPLIT(R168,";")),_xlpm.fol, TRIM(_xlfn.TEXTSPLIT(T168,";")),_xlfn.TEXTJOIN("; ", TRUE, _xlfn._xlws.FILTER(_xlpm.inv, ISNA(MATCH(_xlpm.inv, _xlpm.fol, 0)), ""))
  )
)</f>
        <v>0</v>
      </c>
      <c r="X168" s="16" cm="1">
        <f t="array" ref="X168">IF(W168="","N/A",COUNTA(_xlfn._xlws.FILTER(_xlfn.TEXTSPLIT(W168,";"), _xlfn.TEXTSPLIT(W168,";")&lt;&gt;"")))</f>
        <v>1</v>
      </c>
      <c r="Y168" s="17" t="str">
        <f t="shared" si="10"/>
        <v>N/A</v>
      </c>
      <c r="Z168" s="4" t="s">
        <v>812</v>
      </c>
      <c r="AA168" s="4" t="s">
        <v>79</v>
      </c>
      <c r="AB168" s="4" t="s">
        <v>873</v>
      </c>
      <c r="AC168" s="4" t="s">
        <v>517</v>
      </c>
    </row>
    <row r="169" spans="1:29" ht="29" x14ac:dyDescent="0.35">
      <c r="A169" s="4">
        <f t="shared" si="11"/>
        <v>167</v>
      </c>
      <c r="B169" s="4" t="s">
        <v>352</v>
      </c>
      <c r="C169" s="4" t="s">
        <v>353</v>
      </c>
      <c r="D169" s="4">
        <v>2023</v>
      </c>
      <c r="E169" s="12" t="s">
        <v>907</v>
      </c>
      <c r="F169" s="4" t="s">
        <v>960</v>
      </c>
      <c r="G169" s="4" t="s">
        <v>1221</v>
      </c>
      <c r="H169" s="4" t="s">
        <v>1222</v>
      </c>
      <c r="I169" s="14">
        <v>8.43</v>
      </c>
      <c r="J169" s="13">
        <v>45748</v>
      </c>
      <c r="K169" s="25"/>
      <c r="L169" s="14">
        <v>7</v>
      </c>
      <c r="M169" s="14"/>
      <c r="N169" s="4"/>
      <c r="O169" s="18"/>
      <c r="P169" s="14"/>
      <c r="Q169" s="15">
        <f t="shared" si="8"/>
        <v>0</v>
      </c>
      <c r="R169" s="12" t="s">
        <v>694</v>
      </c>
      <c r="S169" s="16" cm="1">
        <f t="array" ref="S169">IF(R169="",0,COUNTA(_xlfn._xlws.FILTER(_xlfn.TEXTSPLIT(R169,";"), _xlfn.TEXTSPLIT(R169,";")&lt;&gt;"")))</f>
        <v>1</v>
      </c>
      <c r="T169" s="12"/>
      <c r="U169" s="16" cm="1">
        <f t="array" ref="U169">IF(T169="",0,COUNTA(_xlfn._xlws.FILTER(_xlfn.TEXTSPLIT(T169,";"), _xlfn.TEXTSPLIT(T169,";")&lt;&gt;"")))</f>
        <v>0</v>
      </c>
      <c r="V169" s="17">
        <f t="shared" si="9"/>
        <v>0</v>
      </c>
      <c r="W169" s="12" t="str" cm="1">
        <f t="array" ref="W169">IF(T169="",R169,_xlfn.LET(_xlpm.inv, TRIM(_xlfn.TEXTSPLIT(R169,";")),_xlpm.fol, TRIM(_xlfn.TEXTSPLIT(T169,";")),_xlfn.TEXTJOIN("; ", TRUE, _xlfn._xlws.FILTER(_xlpm.inv, ISNA(MATCH(_xlpm.inv, _xlpm.fol, 0)), ""))
  )
)</f>
        <v xml:space="preserve">Khasma Capital </v>
      </c>
      <c r="X169" s="16" cm="1">
        <f t="array" ref="X169">IF(W169="","N/A",COUNTA(_xlfn._xlws.FILTER(_xlfn.TEXTSPLIT(W169,";"), _xlfn.TEXTSPLIT(W169,";")&lt;&gt;"")))</f>
        <v>1</v>
      </c>
      <c r="Y169" s="17">
        <f t="shared" si="10"/>
        <v>1</v>
      </c>
      <c r="Z169" s="4" t="s">
        <v>812</v>
      </c>
      <c r="AA169" s="4" t="s">
        <v>831</v>
      </c>
      <c r="AB169" s="4" t="s">
        <v>811</v>
      </c>
      <c r="AC169" s="4" t="s">
        <v>517</v>
      </c>
    </row>
    <row r="170" spans="1:29" ht="43.5" x14ac:dyDescent="0.35">
      <c r="A170" s="4">
        <f t="shared" si="11"/>
        <v>168</v>
      </c>
      <c r="B170" s="4" t="s">
        <v>354</v>
      </c>
      <c r="C170" s="4" t="s">
        <v>355</v>
      </c>
      <c r="D170" s="4">
        <v>2017</v>
      </c>
      <c r="E170" s="12" t="s">
        <v>941</v>
      </c>
      <c r="F170" s="4" t="s">
        <v>958</v>
      </c>
      <c r="G170" s="4" t="s">
        <v>1223</v>
      </c>
      <c r="H170" s="4" t="s">
        <v>1224</v>
      </c>
      <c r="I170" s="14">
        <v>12.5</v>
      </c>
      <c r="J170" s="13">
        <v>44075</v>
      </c>
      <c r="K170" s="25"/>
      <c r="L170" s="14">
        <v>12</v>
      </c>
      <c r="M170" s="14">
        <v>72</v>
      </c>
      <c r="N170" s="4" t="s">
        <v>471</v>
      </c>
      <c r="O170" s="18">
        <v>8.57</v>
      </c>
      <c r="P170" s="14"/>
      <c r="Q170" s="15">
        <f t="shared" si="8"/>
        <v>0</v>
      </c>
      <c r="R170" s="12" t="s">
        <v>695</v>
      </c>
      <c r="S170" s="16" cm="1">
        <f t="array" ref="S170">IF(R170="",0,COUNTA(_xlfn._xlws.FILTER(_xlfn.TEXTSPLIT(R170,";"), _xlfn.TEXTSPLIT(R170,";")&lt;&gt;"")))</f>
        <v>10</v>
      </c>
      <c r="T170" s="12" t="s">
        <v>797</v>
      </c>
      <c r="U170" s="16" cm="1">
        <f t="array" ref="U170">IF(T170="",0,COUNTA(_xlfn._xlws.FILTER(_xlfn.TEXTSPLIT(T170,";"), _xlfn.TEXTSPLIT(T170,";")&lt;&gt;"")))</f>
        <v>1</v>
      </c>
      <c r="V170" s="17">
        <f t="shared" si="9"/>
        <v>0.1</v>
      </c>
      <c r="W170" s="12" t="str" cm="1">
        <f t="array" ref="W170">IF(T170="",R170,_xlfn.LET(_xlpm.inv, TRIM(_xlfn.TEXTSPLIT(R170,";")),_xlpm.fol, TRIM(_xlfn.TEXTSPLIT(T170,";")),_xlfn.TEXTJOIN("; ", TRUE, _xlfn._xlws.FILTER(_xlpm.inv, ISNA(MATCH(_xlpm.inv, _xlpm.fol, 0)), ""))
  )
)</f>
        <v>Chamaeleon; Eric Lamb; Frederic Luddy; KBW Ventures; Kenneth Birdwell; Michael Heffernanl Novak Djokovic; Southland Industries; Steve Chen; Western Technology Investment</v>
      </c>
      <c r="X170" s="16" cm="1">
        <f t="array" ref="X170">IF(W170="","N/A",COUNTA(_xlfn._xlws.FILTER(_xlfn.TEXTSPLIT(W170,";"), _xlfn.TEXTSPLIT(W170,";")&lt;&gt;"")))</f>
        <v>9</v>
      </c>
      <c r="Y170" s="17">
        <f t="shared" si="10"/>
        <v>0.9</v>
      </c>
      <c r="Z170" s="4" t="s">
        <v>812</v>
      </c>
      <c r="AA170" s="4" t="s">
        <v>813</v>
      </c>
      <c r="AB170" s="4" t="s">
        <v>866</v>
      </c>
      <c r="AC170" s="4" t="s">
        <v>517</v>
      </c>
    </row>
    <row r="171" spans="1:29" ht="29" x14ac:dyDescent="0.35">
      <c r="A171" s="4">
        <f t="shared" si="11"/>
        <v>169</v>
      </c>
      <c r="B171" s="4" t="s">
        <v>356</v>
      </c>
      <c r="C171" s="4" t="s">
        <v>357</v>
      </c>
      <c r="D171" s="4">
        <v>2012</v>
      </c>
      <c r="E171" s="12" t="s">
        <v>932</v>
      </c>
      <c r="F171" s="4" t="s">
        <v>978</v>
      </c>
      <c r="G171" s="4" t="s">
        <v>1225</v>
      </c>
      <c r="H171" s="4" t="s">
        <v>1226</v>
      </c>
      <c r="I171" s="14">
        <v>11.04</v>
      </c>
      <c r="J171" s="13">
        <v>45747</v>
      </c>
      <c r="K171" s="25">
        <v>2.67</v>
      </c>
      <c r="L171" s="14"/>
      <c r="M171" s="14"/>
      <c r="N171" s="4"/>
      <c r="O171" s="18"/>
      <c r="P171" s="14"/>
      <c r="Q171" s="15" t="str">
        <f t="shared" si="8"/>
        <v>N/A</v>
      </c>
      <c r="R171" s="12" t="s">
        <v>696</v>
      </c>
      <c r="S171" s="16" cm="1">
        <f t="array" ref="S171">IF(R171="",0,COUNTA(_xlfn._xlws.FILTER(_xlfn.TEXTSPLIT(R171,";"), _xlfn.TEXTSPLIT(R171,";")&lt;&gt;"")))</f>
        <v>4</v>
      </c>
      <c r="T171" s="12" t="s">
        <v>799</v>
      </c>
      <c r="U171" s="16" cm="1">
        <f t="array" ref="U171">IF(T171="",0,COUNTA(_xlfn._xlws.FILTER(_xlfn.TEXTSPLIT(T171,";"), _xlfn.TEXTSPLIT(T171,";")&lt;&gt;"")))</f>
        <v>2</v>
      </c>
      <c r="V171" s="17">
        <f t="shared" si="9"/>
        <v>0.5</v>
      </c>
      <c r="W171" s="12" t="str" cm="1">
        <f t="array" ref="W171">IF(T171="",R171,_xlfn.LET(_xlpm.inv, TRIM(_xlfn.TEXTSPLIT(R171,";")),_xlpm.fol, TRIM(_xlfn.TEXTSPLIT(T171,";")),_xlfn.TEXTJOIN("; ", TRUE, _xlfn._xlws.FILTER(_xlpm.inv, ISNA(MATCH(_xlpm.inv, _xlpm.fol, 0)), ""))
  )
)</f>
        <v>Ecovyst; Kia</v>
      </c>
      <c r="X171" s="16" cm="1">
        <f t="array" ref="X171">IF(W171="","N/A",COUNTA(_xlfn._xlws.FILTER(_xlfn.TEXTSPLIT(W171,";"), _xlfn.TEXTSPLIT(W171,";")&lt;&gt;"")))</f>
        <v>2</v>
      </c>
      <c r="Y171" s="17">
        <f t="shared" si="10"/>
        <v>0.5</v>
      </c>
      <c r="Z171" s="4" t="s">
        <v>810</v>
      </c>
      <c r="AA171" s="4" t="s">
        <v>842</v>
      </c>
      <c r="AB171" s="4" t="s">
        <v>839</v>
      </c>
      <c r="AC171" s="4" t="s">
        <v>517</v>
      </c>
    </row>
    <row r="172" spans="1:29" ht="29" x14ac:dyDescent="0.35">
      <c r="A172" s="4">
        <f t="shared" si="11"/>
        <v>170</v>
      </c>
      <c r="B172" s="4" t="s">
        <v>358</v>
      </c>
      <c r="C172" s="4" t="s">
        <v>224</v>
      </c>
      <c r="D172" s="4">
        <v>2009</v>
      </c>
      <c r="E172" s="12" t="s">
        <v>900</v>
      </c>
      <c r="F172" s="4" t="s">
        <v>557</v>
      </c>
      <c r="G172" s="4" t="s">
        <v>1227</v>
      </c>
      <c r="H172" s="4" t="s">
        <v>1228</v>
      </c>
      <c r="I172" s="14">
        <v>9</v>
      </c>
      <c r="J172" s="13">
        <v>44250</v>
      </c>
      <c r="K172" s="25">
        <v>2.2599999999999998</v>
      </c>
      <c r="L172" s="14">
        <v>6</v>
      </c>
      <c r="M172" s="14">
        <v>19</v>
      </c>
      <c r="N172" s="4" t="s">
        <v>471</v>
      </c>
      <c r="O172" s="18"/>
      <c r="P172" s="14"/>
      <c r="Q172" s="15">
        <f t="shared" si="8"/>
        <v>0</v>
      </c>
      <c r="R172" s="12" t="s">
        <v>697</v>
      </c>
      <c r="S172" s="16" cm="1">
        <f t="array" ref="S172">IF(R172="",0,COUNTA(_xlfn._xlws.FILTER(_xlfn.TEXTSPLIT(R172,";"), _xlfn.TEXTSPLIT(R172,";")&lt;&gt;"")))</f>
        <v>2</v>
      </c>
      <c r="T172" s="12" t="s">
        <v>798</v>
      </c>
      <c r="U172" s="16" cm="1">
        <f t="array" ref="U172">IF(T172="",0,COUNTA(_xlfn._xlws.FILTER(_xlfn.TEXTSPLIT(T172,";"), _xlfn.TEXTSPLIT(T172,";")&lt;&gt;"")))</f>
        <v>1</v>
      </c>
      <c r="V172" s="17">
        <f t="shared" si="9"/>
        <v>0.5</v>
      </c>
      <c r="W172" s="12" t="str" cm="1">
        <f t="array" ref="W172">IF(T172="",R172,_xlfn.LET(_xlpm.inv, TRIM(_xlfn.TEXTSPLIT(R172,";")),_xlpm.fol, TRIM(_xlfn.TEXTSPLIT(T172,";")),_xlfn.TEXTJOIN("; ", TRUE, _xlfn._xlws.FILTER(_xlpm.inv, ISNA(MATCH(_xlpm.inv, _xlpm.fol, 0)), ""))
  )
)</f>
        <v>Fortistar (Nadeem Nisar)</v>
      </c>
      <c r="X172" s="16" cm="1">
        <f t="array" ref="X172">IF(W172="","N/A",COUNTA(_xlfn._xlws.FILTER(_xlfn.TEXTSPLIT(W172,";"), _xlfn.TEXTSPLIT(W172,";")&lt;&gt;"")))</f>
        <v>1</v>
      </c>
      <c r="Y172" s="17">
        <f t="shared" si="10"/>
        <v>0.5</v>
      </c>
      <c r="Z172" s="4" t="s">
        <v>810</v>
      </c>
      <c r="AA172" s="4" t="s">
        <v>831</v>
      </c>
      <c r="AB172" s="4" t="s">
        <v>811</v>
      </c>
      <c r="AC172" s="4" t="s">
        <v>517</v>
      </c>
    </row>
    <row r="173" spans="1:29" ht="29" x14ac:dyDescent="0.35">
      <c r="A173" s="4">
        <f t="shared" si="11"/>
        <v>171</v>
      </c>
      <c r="B173" s="4" t="s">
        <v>359</v>
      </c>
      <c r="C173" s="4" t="s">
        <v>360</v>
      </c>
      <c r="D173" s="4">
        <v>2021</v>
      </c>
      <c r="E173" s="12" t="s">
        <v>942</v>
      </c>
      <c r="F173" s="4" t="s">
        <v>958</v>
      </c>
      <c r="G173" s="4" t="s">
        <v>1229</v>
      </c>
      <c r="H173" s="4" t="s">
        <v>1230</v>
      </c>
      <c r="I173" s="14">
        <v>0.02</v>
      </c>
      <c r="J173" s="13">
        <v>44740</v>
      </c>
      <c r="K173" s="25"/>
      <c r="L173" s="14">
        <v>0.02</v>
      </c>
      <c r="M173" s="14"/>
      <c r="N173" s="4"/>
      <c r="O173" s="18"/>
      <c r="P173" s="14"/>
      <c r="Q173" s="15">
        <f t="shared" si="8"/>
        <v>0</v>
      </c>
      <c r="R173" s="12" t="s">
        <v>698</v>
      </c>
      <c r="S173" s="16" cm="1">
        <f t="array" ref="S173">IF(R173="",0,COUNTA(_xlfn._xlws.FILTER(_xlfn.TEXTSPLIT(R173,";"), _xlfn.TEXTSPLIT(R173,";")&lt;&gt;"")))</f>
        <v>1</v>
      </c>
      <c r="T173" s="12"/>
      <c r="U173" s="16" cm="1">
        <f t="array" ref="U173">IF(T173="",0,COUNTA(_xlfn._xlws.FILTER(_xlfn.TEXTSPLIT(T173,";"), _xlfn.TEXTSPLIT(T173,";")&lt;&gt;"")))</f>
        <v>0</v>
      </c>
      <c r="V173" s="17">
        <f t="shared" si="9"/>
        <v>0</v>
      </c>
      <c r="W173" s="12" t="str" cm="1">
        <f t="array" ref="W173">IF(T173="",R173,_xlfn.LET(_xlpm.inv, TRIM(_xlfn.TEXTSPLIT(R173,";")),_xlpm.fol, TRIM(_xlfn.TEXTSPLIT(T173,";")),_xlfn.TEXTJOIN("; ", TRUE, _xlfn._xlws.FILTER(_xlpm.inv, ISNA(MATCH(_xlpm.inv, _xlpm.fol, 0)), ""))
  )
)</f>
        <v>Elevate Ventures</v>
      </c>
      <c r="X173" s="16" cm="1">
        <f t="array" ref="X173">IF(W173="","N/A",COUNTA(_xlfn._xlws.FILTER(_xlfn.TEXTSPLIT(W173,";"), _xlfn.TEXTSPLIT(W173,";")&lt;&gt;"")))</f>
        <v>1</v>
      </c>
      <c r="Y173" s="17">
        <f t="shared" si="10"/>
        <v>1</v>
      </c>
      <c r="Z173" s="4" t="s">
        <v>812</v>
      </c>
      <c r="AA173" s="4" t="s">
        <v>79</v>
      </c>
      <c r="AB173" s="4" t="s">
        <v>824</v>
      </c>
      <c r="AC173" s="4" t="s">
        <v>517</v>
      </c>
    </row>
    <row r="174" spans="1:29" ht="29" x14ac:dyDescent="0.35">
      <c r="A174" s="4">
        <f t="shared" si="11"/>
        <v>172</v>
      </c>
      <c r="B174" s="4" t="s">
        <v>361</v>
      </c>
      <c r="C174" s="4" t="s">
        <v>278</v>
      </c>
      <c r="D174" s="4">
        <v>2014</v>
      </c>
      <c r="E174" s="12" t="s">
        <v>943</v>
      </c>
      <c r="F174" s="4" t="s">
        <v>958</v>
      </c>
      <c r="G174" s="4" t="s">
        <v>1231</v>
      </c>
      <c r="H174" s="4" t="s">
        <v>1232</v>
      </c>
      <c r="I174" s="14">
        <v>26.79</v>
      </c>
      <c r="J174" s="13">
        <v>43158</v>
      </c>
      <c r="K174" s="25">
        <v>2.04</v>
      </c>
      <c r="L174" s="14">
        <v>20.5</v>
      </c>
      <c r="M174" s="14">
        <v>65.5</v>
      </c>
      <c r="N174" s="4" t="s">
        <v>471</v>
      </c>
      <c r="O174" s="18">
        <v>2.34</v>
      </c>
      <c r="P174" s="14"/>
      <c r="Q174" s="15">
        <f t="shared" si="8"/>
        <v>0</v>
      </c>
      <c r="R174" s="12" t="s">
        <v>699</v>
      </c>
      <c r="S174" s="16" cm="1">
        <f t="array" ref="S174">IF(R174="",0,COUNTA(_xlfn._xlws.FILTER(_xlfn.TEXTSPLIT(R174,";"), _xlfn.TEXTSPLIT(R174,";")&lt;&gt;"")))</f>
        <v>7</v>
      </c>
      <c r="T174" s="12" t="s">
        <v>800</v>
      </c>
      <c r="U174" s="16" cm="1">
        <f t="array" ref="U174">IF(T174="",0,COUNTA(_xlfn._xlws.FILTER(_xlfn.TEXTSPLIT(T174,";"), _xlfn.TEXTSPLIT(T174,";")&lt;&gt;"")))</f>
        <v>1</v>
      </c>
      <c r="V174" s="17">
        <f t="shared" si="9"/>
        <v>0.14285714285714285</v>
      </c>
      <c r="W174" s="12" t="str" cm="1">
        <f t="array" ref="W174">IF(T174="",R174,_xlfn.LET(_xlpm.inv, TRIM(_xlfn.TEXTSPLIT(R174,";")),_xlpm.fol, TRIM(_xlfn.TEXTSPLIT(T174,";")),_xlfn.TEXTJOIN("; ", TRUE, _xlfn._xlws.FILTER(_xlpm.inv, ISNA(MATCH(_xlpm.inv, _xlpm.fol, 0)), ""))
  )
)</f>
        <v>Conti Ventures; Five Seasons Ventures; ICONIQ Growth; Lion Ventures; Temasek Holdings; Verus International</v>
      </c>
      <c r="X174" s="16" cm="1">
        <f t="array" ref="X174">IF(W174="","N/A",COUNTA(_xlfn._xlws.FILTER(_xlfn.TEXTSPLIT(W174,";"), _xlfn.TEXTSPLIT(W174,";")&lt;&gt;"")))</f>
        <v>6</v>
      </c>
      <c r="Y174" s="17">
        <f t="shared" si="10"/>
        <v>0.8571428571428571</v>
      </c>
      <c r="Z174" s="4" t="s">
        <v>817</v>
      </c>
      <c r="AA174" s="4" t="s">
        <v>828</v>
      </c>
      <c r="AB174" s="4" t="s">
        <v>821</v>
      </c>
      <c r="AC174" s="4" t="s">
        <v>517</v>
      </c>
    </row>
    <row r="175" spans="1:29" ht="29" x14ac:dyDescent="0.35">
      <c r="A175" s="4">
        <f t="shared" si="11"/>
        <v>173</v>
      </c>
      <c r="B175" s="4" t="s">
        <v>361</v>
      </c>
      <c r="C175" s="4" t="s">
        <v>278</v>
      </c>
      <c r="D175" s="4">
        <v>2014</v>
      </c>
      <c r="E175" s="12" t="s">
        <v>943</v>
      </c>
      <c r="F175" s="4" t="s">
        <v>958</v>
      </c>
      <c r="G175" s="4" t="s">
        <v>1231</v>
      </c>
      <c r="H175" s="4" t="s">
        <v>1232</v>
      </c>
      <c r="I175" s="14">
        <v>6.29</v>
      </c>
      <c r="J175" s="13">
        <v>42415</v>
      </c>
      <c r="K175" s="25"/>
      <c r="L175" s="14">
        <v>4.2</v>
      </c>
      <c r="M175" s="14">
        <v>19.2</v>
      </c>
      <c r="N175" s="4" t="s">
        <v>471</v>
      </c>
      <c r="O175" s="18">
        <v>3</v>
      </c>
      <c r="P175" s="14"/>
      <c r="Q175" s="15">
        <f t="shared" si="8"/>
        <v>0</v>
      </c>
      <c r="R175" s="12" t="s">
        <v>700</v>
      </c>
      <c r="S175" s="16" cm="1">
        <f t="array" ref="S175">IF(R175="",0,COUNTA(_xlfn._xlws.FILTER(_xlfn.TEXTSPLIT(R175,";"), _xlfn.TEXTSPLIT(R175,";")&lt;&gt;"")))</f>
        <v>3</v>
      </c>
      <c r="T175" s="12" t="s">
        <v>800</v>
      </c>
      <c r="U175" s="16" cm="1">
        <f t="array" ref="U175">IF(T175="",0,COUNTA(_xlfn._xlws.FILTER(_xlfn.TEXTSPLIT(T175,";"), _xlfn.TEXTSPLIT(T175,";")&lt;&gt;"")))</f>
        <v>1</v>
      </c>
      <c r="V175" s="17">
        <f t="shared" si="9"/>
        <v>0.33333333333333331</v>
      </c>
      <c r="W175" s="12" t="str" cm="1">
        <f t="array" ref="W175">IF(T175="",R175,_xlfn.LET(_xlpm.inv, TRIM(_xlfn.TEXTSPLIT(R175,";")),_xlpm.fol, TRIM(_xlfn.TEXTSPLIT(T175,";")),_xlfn.TEXTJOIN("; ", TRUE, _xlfn._xlws.FILTER(_xlpm.inv, ISNA(MATCH(_xlpm.inv, _xlpm.fol, 0)), ""))
  )
)</f>
        <v>B37 Ventures; Sonny Vu</v>
      </c>
      <c r="X175" s="16" cm="1">
        <f t="array" ref="X175">IF(W175="","N/A",COUNTA(_xlfn._xlws.FILTER(_xlfn.TEXTSPLIT(W175,";"), _xlfn.TEXTSPLIT(W175,";")&lt;&gt;"")))</f>
        <v>2</v>
      </c>
      <c r="Y175" s="17">
        <f t="shared" si="10"/>
        <v>0.66666666666666663</v>
      </c>
      <c r="Z175" s="4" t="s">
        <v>817</v>
      </c>
      <c r="AA175" s="4" t="s">
        <v>831</v>
      </c>
      <c r="AB175" s="4" t="s">
        <v>821</v>
      </c>
      <c r="AC175" s="4" t="s">
        <v>517</v>
      </c>
    </row>
    <row r="176" spans="1:29" x14ac:dyDescent="0.35">
      <c r="A176" s="4">
        <f t="shared" si="11"/>
        <v>174</v>
      </c>
      <c r="B176" s="4" t="s">
        <v>362</v>
      </c>
      <c r="C176" s="4" t="s">
        <v>363</v>
      </c>
      <c r="D176" s="4" t="s">
        <v>364</v>
      </c>
      <c r="E176" s="12" t="s">
        <v>899</v>
      </c>
      <c r="F176" s="4" t="s">
        <v>959</v>
      </c>
      <c r="G176" s="4" t="s">
        <v>1233</v>
      </c>
      <c r="H176" s="4" t="s">
        <v>1234</v>
      </c>
      <c r="I176" s="14">
        <v>27.5</v>
      </c>
      <c r="J176" s="13">
        <v>43487</v>
      </c>
      <c r="K176" s="25"/>
      <c r="L176" s="14"/>
      <c r="M176" s="14"/>
      <c r="N176" s="4"/>
      <c r="O176" s="18"/>
      <c r="P176" s="14"/>
      <c r="Q176" s="15" t="str">
        <f t="shared" si="8"/>
        <v>N/A</v>
      </c>
      <c r="R176" s="12" t="s">
        <v>701</v>
      </c>
      <c r="S176" s="16" cm="1">
        <f t="array" ref="S176">IF(R176="",0,COUNTA(_xlfn._xlws.FILTER(_xlfn.TEXTSPLIT(R176,";"), _xlfn.TEXTSPLIT(R176,";")&lt;&gt;"")))</f>
        <v>3</v>
      </c>
      <c r="T176" s="12"/>
      <c r="U176" s="16" cm="1">
        <f t="array" ref="U176">IF(T176="",0,COUNTA(_xlfn._xlws.FILTER(_xlfn.TEXTSPLIT(T176,";"), _xlfn.TEXTSPLIT(T176,";")&lt;&gt;"")))</f>
        <v>0</v>
      </c>
      <c r="V176" s="17">
        <f t="shared" si="9"/>
        <v>0</v>
      </c>
      <c r="W176" s="12" t="str" cm="1">
        <f t="array" ref="W176">IF(T176="",R176,_xlfn.LET(_xlpm.inv, TRIM(_xlfn.TEXTSPLIT(R176,";")),_xlpm.fol, TRIM(_xlfn.TEXTSPLIT(T176,";")),_xlfn.TEXTJOIN("; ", TRUE, _xlfn._xlws.FILTER(_xlpm.inv, ISNA(MATCH(_xlpm.inv, _xlpm.fol, 0)), ""))
  )
)</f>
        <v>Emerald Technology Ventures; Pegasus Capital Advisors; Third Prime</v>
      </c>
      <c r="X176" s="16" cm="1">
        <f t="array" ref="X176">IF(W176="","N/A",COUNTA(_xlfn._xlws.FILTER(_xlfn.TEXTSPLIT(W176,";"), _xlfn.TEXTSPLIT(W176,";")&lt;&gt;"")))</f>
        <v>3</v>
      </c>
      <c r="Y176" s="17">
        <f t="shared" si="10"/>
        <v>1</v>
      </c>
      <c r="Z176" s="4" t="s">
        <v>815</v>
      </c>
      <c r="AA176" s="4"/>
      <c r="AB176" s="4" t="s">
        <v>826</v>
      </c>
      <c r="AC176" s="4" t="s">
        <v>517</v>
      </c>
    </row>
    <row r="177" spans="1:29" x14ac:dyDescent="0.35">
      <c r="A177" s="4">
        <f t="shared" si="11"/>
        <v>175</v>
      </c>
      <c r="B177" s="4" t="s">
        <v>362</v>
      </c>
      <c r="C177" s="4" t="s">
        <v>363</v>
      </c>
      <c r="D177" s="4">
        <v>2011</v>
      </c>
      <c r="E177" s="12" t="s">
        <v>899</v>
      </c>
      <c r="F177" s="4" t="s">
        <v>959</v>
      </c>
      <c r="G177" s="4" t="s">
        <v>1233</v>
      </c>
      <c r="H177" s="4" t="s">
        <v>1234</v>
      </c>
      <c r="I177" s="14">
        <v>27.5</v>
      </c>
      <c r="J177" s="13">
        <v>43845</v>
      </c>
      <c r="K177" s="25"/>
      <c r="L177" s="14"/>
      <c r="M177" s="14"/>
      <c r="N177" s="4"/>
      <c r="O177" s="18"/>
      <c r="P177" s="14"/>
      <c r="Q177" s="15" t="str">
        <f t="shared" si="8"/>
        <v>N/A</v>
      </c>
      <c r="R177" s="12" t="s">
        <v>702</v>
      </c>
      <c r="S177" s="16" cm="1">
        <f t="array" ref="S177">IF(R177="",0,COUNTA(_xlfn._xlws.FILTER(_xlfn.TEXTSPLIT(R177,";"), _xlfn.TEXTSPLIT(R177,";")&lt;&gt;"")))</f>
        <v>2</v>
      </c>
      <c r="T177" s="12"/>
      <c r="U177" s="16" cm="1">
        <f t="array" ref="U177">IF(T177="",0,COUNTA(_xlfn._xlws.FILTER(_xlfn.TEXTSPLIT(T177,";"), _xlfn.TEXTSPLIT(T177,";")&lt;&gt;"")))</f>
        <v>0</v>
      </c>
      <c r="V177" s="17">
        <f t="shared" si="9"/>
        <v>0</v>
      </c>
      <c r="W177" s="12" t="str" cm="1">
        <f t="array" ref="W177">IF(T177="",R177,_xlfn.LET(_xlpm.inv, TRIM(_xlfn.TEXTSPLIT(R177,";")),_xlpm.fol, TRIM(_xlfn.TEXTSPLIT(T177,";")),_xlfn.TEXTJOIN("; ", TRUE, _xlfn._xlws.FILTER(_xlpm.inv, ISNA(MATCH(_xlpm.inv, _xlpm.fol, 0)), ""))
  )
)</f>
        <v>Decathlon Capital Partners; Nexter Ventures</v>
      </c>
      <c r="X177" s="16" cm="1">
        <f t="array" ref="X177">IF(W177="","N/A",COUNTA(_xlfn._xlws.FILTER(_xlfn.TEXTSPLIT(W177,";"), _xlfn.TEXTSPLIT(W177,";")&lt;&gt;"")))</f>
        <v>2</v>
      </c>
      <c r="Y177" s="17">
        <f t="shared" si="10"/>
        <v>1</v>
      </c>
      <c r="Z177" s="4" t="s">
        <v>815</v>
      </c>
      <c r="AA177" s="4"/>
      <c r="AB177" s="4" t="s">
        <v>826</v>
      </c>
      <c r="AC177" s="4" t="s">
        <v>517</v>
      </c>
    </row>
    <row r="178" spans="1:29" ht="29" x14ac:dyDescent="0.35">
      <c r="A178" s="4">
        <f t="shared" si="11"/>
        <v>176</v>
      </c>
      <c r="B178" s="4" t="s">
        <v>120</v>
      </c>
      <c r="C178" s="4" t="s">
        <v>365</v>
      </c>
      <c r="D178" s="4">
        <v>2016</v>
      </c>
      <c r="E178" s="12" t="s">
        <v>944</v>
      </c>
      <c r="F178" s="4" t="s">
        <v>962</v>
      </c>
      <c r="G178" s="4" t="s">
        <v>1235</v>
      </c>
      <c r="H178" s="4" t="s">
        <v>1236</v>
      </c>
      <c r="I178" s="14">
        <v>4.5</v>
      </c>
      <c r="J178" s="13">
        <v>44987</v>
      </c>
      <c r="K178" s="25"/>
      <c r="L178" s="14">
        <v>4.5</v>
      </c>
      <c r="M178" s="14">
        <v>67.5</v>
      </c>
      <c r="N178" s="4"/>
      <c r="O178" s="18"/>
      <c r="P178" s="14"/>
      <c r="Q178" s="15">
        <f t="shared" si="8"/>
        <v>0</v>
      </c>
      <c r="R178" s="12"/>
      <c r="S178" s="16" cm="1">
        <f t="array" ref="S178">IF(R178="",0,COUNTA(_xlfn._xlws.FILTER(_xlfn.TEXTSPLIT(R178,";"), _xlfn.TEXTSPLIT(R178,";")&lt;&gt;"")))</f>
        <v>0</v>
      </c>
      <c r="T178" s="12"/>
      <c r="U178" s="16" cm="1">
        <f t="array" ref="U178">IF(T178="",0,COUNTA(_xlfn._xlws.FILTER(_xlfn.TEXTSPLIT(T178,";"), _xlfn.TEXTSPLIT(T178,";")&lt;&gt;"")))</f>
        <v>0</v>
      </c>
      <c r="V178" s="17" t="str">
        <f t="shared" si="9"/>
        <v>N/A</v>
      </c>
      <c r="W178" s="12" cm="1">
        <f t="array" ref="W178">IF(T178="",R178,_xlfn.LET(_xlpm.inv, TRIM(_xlfn.TEXTSPLIT(R178,";")),_xlpm.fol, TRIM(_xlfn.TEXTSPLIT(T178,";")),_xlfn.TEXTJOIN("; ", TRUE, _xlfn._xlws.FILTER(_xlpm.inv, ISNA(MATCH(_xlpm.inv, _xlpm.fol, 0)), ""))
  )
)</f>
        <v>0</v>
      </c>
      <c r="X178" s="16" cm="1">
        <f t="array" ref="X178">IF(W178="","N/A",COUNTA(_xlfn._xlws.FILTER(_xlfn.TEXTSPLIT(W178,";"), _xlfn.TEXTSPLIT(W178,";")&lt;&gt;"")))</f>
        <v>1</v>
      </c>
      <c r="Y178" s="17" t="str">
        <f t="shared" si="10"/>
        <v>N/A</v>
      </c>
      <c r="Z178" s="4" t="s">
        <v>810</v>
      </c>
      <c r="AA178" s="4" t="s">
        <v>79</v>
      </c>
      <c r="AB178" s="4" t="s">
        <v>814</v>
      </c>
      <c r="AC178" s="4" t="s">
        <v>517</v>
      </c>
    </row>
    <row r="179" spans="1:29" ht="43.5" x14ac:dyDescent="0.35">
      <c r="A179" s="4">
        <f t="shared" si="11"/>
        <v>177</v>
      </c>
      <c r="B179" s="4" t="s">
        <v>121</v>
      </c>
      <c r="C179" s="4" t="s">
        <v>331</v>
      </c>
      <c r="D179" s="4">
        <v>2020</v>
      </c>
      <c r="E179" s="12" t="s">
        <v>945</v>
      </c>
      <c r="F179" s="4" t="s">
        <v>978</v>
      </c>
      <c r="G179" s="4" t="s">
        <v>1237</v>
      </c>
      <c r="H179" s="4" t="s">
        <v>1238</v>
      </c>
      <c r="I179" s="14">
        <v>2.5</v>
      </c>
      <c r="J179" s="13">
        <v>44986</v>
      </c>
      <c r="K179" s="25"/>
      <c r="L179" s="14">
        <v>2</v>
      </c>
      <c r="M179" s="14">
        <v>15</v>
      </c>
      <c r="N179" s="4"/>
      <c r="O179" s="18"/>
      <c r="P179" s="14"/>
      <c r="Q179" s="15">
        <f t="shared" si="8"/>
        <v>0</v>
      </c>
      <c r="R179" s="12" t="s">
        <v>703</v>
      </c>
      <c r="S179" s="16" cm="1">
        <f t="array" ref="S179">IF(R179="",0,COUNTA(_xlfn._xlws.FILTER(_xlfn.TEXTSPLIT(R179,";"), _xlfn.TEXTSPLIT(R179,";")&lt;&gt;"")))</f>
        <v>9</v>
      </c>
      <c r="T179" s="12" t="s">
        <v>801</v>
      </c>
      <c r="U179" s="16" cm="1">
        <f t="array" ref="U179">IF(T179="",0,COUNTA(_xlfn._xlws.FILTER(_xlfn.TEXTSPLIT(T179,";"), _xlfn.TEXTSPLIT(T179,";")&lt;&gt;"")))</f>
        <v>1</v>
      </c>
      <c r="V179" s="17">
        <f t="shared" si="9"/>
        <v>0.1111111111111111</v>
      </c>
      <c r="W179" s="12" t="str" cm="1">
        <f t="array" ref="W179">IF(T179="",R179,_xlfn.LET(_xlpm.inv, TRIM(_xlfn.TEXTSPLIT(R179,";")),_xlpm.fol, TRIM(_xlfn.TEXTSPLIT(T179,";")),_xlfn.TEXTJOIN("; ", TRUE, _xlfn._xlws.FILTER(_xlpm.inv, ISNA(MATCH(_xlpm.inv, _xlpm.fol, 0)), ""))
  )
)</f>
        <v>Asymmetry Ventures; Climate Capital; Collaborative Fund; Ecosphere Ventures; Leap Forward Ventures; Liquid 2 Ventures; Shared Future Fund; Soma Capital</v>
      </c>
      <c r="X179" s="16" cm="1">
        <f t="array" ref="X179">IF(W179="","N/A",COUNTA(_xlfn._xlws.FILTER(_xlfn.TEXTSPLIT(W179,";"), _xlfn.TEXTSPLIT(W179,";")&lt;&gt;"")))</f>
        <v>8</v>
      </c>
      <c r="Y179" s="17">
        <f t="shared" si="10"/>
        <v>0.88888888888888884</v>
      </c>
      <c r="Z179" s="4" t="s">
        <v>812</v>
      </c>
      <c r="AA179" s="4" t="s">
        <v>79</v>
      </c>
      <c r="AB179" s="4" t="s">
        <v>844</v>
      </c>
      <c r="AC179" s="4" t="s">
        <v>517</v>
      </c>
    </row>
    <row r="180" spans="1:29" ht="72.5" x14ac:dyDescent="0.35">
      <c r="A180" s="4">
        <f t="shared" si="11"/>
        <v>178</v>
      </c>
      <c r="B180" s="4" t="s">
        <v>366</v>
      </c>
      <c r="C180" s="4" t="s">
        <v>367</v>
      </c>
      <c r="D180" s="4">
        <v>2016</v>
      </c>
      <c r="E180" s="12" t="s">
        <v>946</v>
      </c>
      <c r="F180" s="4" t="s">
        <v>958</v>
      </c>
      <c r="G180" s="4" t="s">
        <v>1239</v>
      </c>
      <c r="H180" s="4" t="s">
        <v>1240</v>
      </c>
      <c r="I180" s="14">
        <v>26.47</v>
      </c>
      <c r="J180" s="13">
        <v>45178</v>
      </c>
      <c r="K180" s="25">
        <v>1.24</v>
      </c>
      <c r="L180" s="14">
        <v>14.65</v>
      </c>
      <c r="M180" s="14">
        <v>90</v>
      </c>
      <c r="N180" s="4" t="s">
        <v>471</v>
      </c>
      <c r="O180" s="18">
        <v>3.01</v>
      </c>
      <c r="P180" s="14"/>
      <c r="Q180" s="15">
        <f t="shared" si="8"/>
        <v>0</v>
      </c>
      <c r="R180" s="12" t="s">
        <v>803</v>
      </c>
      <c r="S180" s="16" cm="1">
        <f t="array" ref="S180">IF(R180="",0,COUNTA(_xlfn._xlws.FILTER(_xlfn.TEXTSPLIT(R180,";"), _xlfn.TEXTSPLIT(R180,";")&lt;&gt;"")))</f>
        <v>10</v>
      </c>
      <c r="T180" s="12" t="s">
        <v>802</v>
      </c>
      <c r="U180" s="16" cm="1">
        <f t="array" ref="U180">IF(T180="",0,COUNTA(_xlfn._xlws.FILTER(_xlfn.TEXTSPLIT(T180,";"), _xlfn.TEXTSPLIT(T180,";")&lt;&gt;"")))</f>
        <v>6</v>
      </c>
      <c r="V180" s="17">
        <f t="shared" si="9"/>
        <v>0.6</v>
      </c>
      <c r="W180" s="12" t="str" cm="1">
        <f t="array" ref="W180">IF(T180="",R180,_xlfn.LET(_xlpm.inv, TRIM(_xlfn.TEXTSPLIT(R180,";")),_xlpm.fol, TRIM(_xlfn.TEXTSPLIT(T180,";")),_xlfn.TEXTJOIN("; ", TRUE, _xlfn._xlws.FILTER(_xlpm.inv, ISNA(MATCH(_xlpm.inv, _xlpm.fol, 0)), ""))
  )
)</f>
        <v>Advantage Capital; H/L Ventures; Keytrade; Ospraie Ag Science</v>
      </c>
      <c r="X180" s="16" cm="1">
        <f t="array" ref="X180">IF(W180="","N/A",COUNTA(_xlfn._xlws.FILTER(_xlfn.TEXTSPLIT(W180,";"), _xlfn.TEXTSPLIT(W180,";")&lt;&gt;"")))</f>
        <v>4</v>
      </c>
      <c r="Y180" s="17">
        <f t="shared" si="10"/>
        <v>0.4</v>
      </c>
      <c r="Z180" s="4" t="s">
        <v>810</v>
      </c>
      <c r="AA180" s="4" t="s">
        <v>830</v>
      </c>
      <c r="AB180" s="4" t="s">
        <v>867</v>
      </c>
      <c r="AC180" s="4" t="s">
        <v>517</v>
      </c>
    </row>
    <row r="181" spans="1:29" ht="72.5" x14ac:dyDescent="0.35">
      <c r="A181" s="4">
        <f t="shared" si="11"/>
        <v>179</v>
      </c>
      <c r="B181" s="4" t="s">
        <v>122</v>
      </c>
      <c r="C181" s="4" t="s">
        <v>368</v>
      </c>
      <c r="D181" s="4">
        <v>2021</v>
      </c>
      <c r="E181" s="12" t="s">
        <v>553</v>
      </c>
      <c r="F181" s="4" t="s">
        <v>959</v>
      </c>
      <c r="G181" s="4" t="s">
        <v>1241</v>
      </c>
      <c r="H181" s="4" t="s">
        <v>1242</v>
      </c>
      <c r="I181" s="14">
        <v>4.3</v>
      </c>
      <c r="J181" s="13">
        <v>44734</v>
      </c>
      <c r="K181" s="25"/>
      <c r="L181" s="14">
        <v>3.8</v>
      </c>
      <c r="M181" s="14">
        <v>25</v>
      </c>
      <c r="N181" s="4"/>
      <c r="O181" s="18"/>
      <c r="P181" s="14"/>
      <c r="Q181" s="15">
        <f t="shared" si="8"/>
        <v>0</v>
      </c>
      <c r="R181" s="12" t="s">
        <v>704</v>
      </c>
      <c r="S181" s="16" cm="1">
        <f t="array" ref="S181">IF(R181="",0,COUNTA(_xlfn._xlws.FILTER(_xlfn.TEXTSPLIT(R181,";"), _xlfn.TEXTSPLIT(R181,";")&lt;&gt;"")))</f>
        <v>19</v>
      </c>
      <c r="T181" s="12" t="s">
        <v>801</v>
      </c>
      <c r="U181" s="16" cm="1">
        <f t="array" ref="U181">IF(T181="",0,COUNTA(_xlfn._xlws.FILTER(_xlfn.TEXTSPLIT(T181,";"), _xlfn.TEXTSPLIT(T181,";")&lt;&gt;"")))</f>
        <v>1</v>
      </c>
      <c r="V181" s="17">
        <f t="shared" si="9"/>
        <v>5.2631578947368418E-2</v>
      </c>
      <c r="W181" s="12" t="str" cm="1">
        <f t="array" ref="W181">IF(T181="",R181,_xlfn.LET(_xlpm.inv, TRIM(_xlfn.TEXTSPLIT(R181,";")),_xlpm.fol, TRIM(_xlfn.TEXTSPLIT(T181,";")),_xlfn.TEXTJOIN("; ", TRUE, _xlfn._xlws.FILTER(_xlpm.inv, ISNA(MATCH(_xlpm.inv, _xlpm.fol, 0)), ""))
  )
)</f>
        <v>Asymmetry Ventures; Beni Venture Capital; Climate Capital; Collaborative Fund; Deloitte; Global Founders Capital; Hat-trick Capital; Helium-3 Ventures; Metaplanet Holdings; Outbound Capital; Pegasus Tech Ventures; Shenzen Capital Group; Starling Ventures; The Atlas Capital; Tim Seears; UpHonest Capital; World Economic Forum; WorldQuant Ventures; Y Combinatot</v>
      </c>
      <c r="X181" s="16" cm="1">
        <f t="array" ref="X181">IF(W181="","N/A",COUNTA(_xlfn._xlws.FILTER(_xlfn.TEXTSPLIT(W181,";"), _xlfn.TEXTSPLIT(W181,";")&lt;&gt;"")))</f>
        <v>19</v>
      </c>
      <c r="Y181" s="17">
        <f t="shared" si="10"/>
        <v>1</v>
      </c>
      <c r="Z181" s="4" t="s">
        <v>812</v>
      </c>
      <c r="AA181" s="4" t="s">
        <v>79</v>
      </c>
      <c r="AB181" s="4" t="s">
        <v>844</v>
      </c>
      <c r="AC181" s="4" t="s">
        <v>517</v>
      </c>
    </row>
    <row r="182" spans="1:29" ht="43.5" x14ac:dyDescent="0.35">
      <c r="A182" s="4">
        <f t="shared" si="11"/>
        <v>180</v>
      </c>
      <c r="B182" s="4" t="s">
        <v>123</v>
      </c>
      <c r="C182" s="4" t="s">
        <v>369</v>
      </c>
      <c r="D182" s="4">
        <v>2019</v>
      </c>
      <c r="E182" s="12" t="s">
        <v>897</v>
      </c>
      <c r="F182" s="4" t="s">
        <v>960</v>
      </c>
      <c r="G182" s="4" t="s">
        <v>1243</v>
      </c>
      <c r="H182" s="4" t="s">
        <v>1244</v>
      </c>
      <c r="I182" s="14">
        <v>41.3</v>
      </c>
      <c r="J182" s="13">
        <v>45425</v>
      </c>
      <c r="K182" s="25">
        <v>2.0099999999999998</v>
      </c>
      <c r="L182" s="14">
        <v>34.299999999999997</v>
      </c>
      <c r="M182" s="14">
        <v>104</v>
      </c>
      <c r="N182" s="4" t="s">
        <v>471</v>
      </c>
      <c r="O182" s="18"/>
      <c r="P182" s="14"/>
      <c r="Q182" s="15">
        <f t="shared" si="8"/>
        <v>0</v>
      </c>
      <c r="R182" s="12" t="s">
        <v>805</v>
      </c>
      <c r="S182" s="16" cm="1">
        <f t="array" ref="S182">IF(R182="",0,COUNTA(_xlfn._xlws.FILTER(_xlfn.TEXTSPLIT(R182,";"), _xlfn.TEXTSPLIT(R182,";")&lt;&gt;"")))</f>
        <v>14</v>
      </c>
      <c r="T182" s="12" t="s">
        <v>804</v>
      </c>
      <c r="U182" s="16" cm="1">
        <f t="array" ref="U182">IF(T182="",0,COUNTA(_xlfn._xlws.FILTER(_xlfn.TEXTSPLIT(T182,";"), _xlfn.TEXTSPLIT(T182,";")&lt;&gt;"")))</f>
        <v>3</v>
      </c>
      <c r="V182" s="17">
        <f t="shared" si="9"/>
        <v>0.21428571428571427</v>
      </c>
      <c r="W182" s="12" t="str" cm="1">
        <f t="array" ref="W182">IF(T182="",R182,_xlfn.LET(_xlpm.inv, TRIM(_xlfn.TEXTSPLIT(R182,";")),_xlpm.fol, TRIM(_xlfn.TEXTSPLIT(T182,";")),_xlfn.TEXTJOIN("; ", TRUE, _xlfn._xlws.FILTER(_xlpm.inv, ISNA(MATCH(_xlpm.inv, _xlpm.fol, 0)), ""))
  )
)</f>
        <v>Climate Capital; Course Correction Capital; GS Futures; Helium-3 Ventures; Honda Motor; LKQ; Samsung Venture Investment; SCG Chemicals; Tech Council Ventures; Traxys; Wistron Medical Technology</v>
      </c>
      <c r="X182" s="16" cm="1">
        <f t="array" ref="X182">IF(W182="","N/A",COUNTA(_xlfn._xlws.FILTER(_xlfn.TEXTSPLIT(W182,";"), _xlfn.TEXTSPLIT(W182,";")&lt;&gt;"")))</f>
        <v>11</v>
      </c>
      <c r="Y182" s="17">
        <f t="shared" si="10"/>
        <v>0.7857142857142857</v>
      </c>
      <c r="Z182" s="4" t="s">
        <v>810</v>
      </c>
      <c r="AA182" s="4" t="s">
        <v>831</v>
      </c>
      <c r="AB182" s="4" t="s">
        <v>853</v>
      </c>
      <c r="AC182" s="4" t="s">
        <v>517</v>
      </c>
    </row>
    <row r="183" spans="1:29" x14ac:dyDescent="0.35">
      <c r="A183" s="4">
        <f t="shared" si="11"/>
        <v>181</v>
      </c>
      <c r="B183" s="4" t="s">
        <v>124</v>
      </c>
      <c r="C183" s="4" t="s">
        <v>370</v>
      </c>
      <c r="D183" s="4">
        <v>2018</v>
      </c>
      <c r="E183" s="12" t="s">
        <v>947</v>
      </c>
      <c r="F183" s="4" t="s">
        <v>958</v>
      </c>
      <c r="G183" s="4" t="s">
        <v>1245</v>
      </c>
      <c r="H183" s="4" t="s">
        <v>1246</v>
      </c>
      <c r="I183" s="14">
        <v>20</v>
      </c>
      <c r="J183" s="13">
        <v>44044</v>
      </c>
      <c r="K183" s="25"/>
      <c r="L183" s="14">
        <v>20</v>
      </c>
      <c r="M183" s="14"/>
      <c r="N183" s="4"/>
      <c r="O183" s="18"/>
      <c r="P183" s="14"/>
      <c r="Q183" s="15">
        <f t="shared" si="8"/>
        <v>0</v>
      </c>
      <c r="R183" s="12" t="s">
        <v>705</v>
      </c>
      <c r="S183" s="16" cm="1">
        <f t="array" ref="S183">IF(R183="",0,COUNTA(_xlfn._xlws.FILTER(_xlfn.TEXTSPLIT(R183,";"), _xlfn.TEXTSPLIT(R183,";")&lt;&gt;"")))</f>
        <v>1</v>
      </c>
      <c r="T183" s="12"/>
      <c r="U183" s="16" cm="1">
        <f t="array" ref="U183">IF(T183="",0,COUNTA(_xlfn._xlws.FILTER(_xlfn.TEXTSPLIT(T183,";"), _xlfn.TEXTSPLIT(T183,";")&lt;&gt;"")))</f>
        <v>0</v>
      </c>
      <c r="V183" s="17">
        <f t="shared" si="9"/>
        <v>0</v>
      </c>
      <c r="W183" s="12" t="str" cm="1">
        <f t="array" ref="W183">IF(T183="",R183,_xlfn.LET(_xlpm.inv, TRIM(_xlfn.TEXTSPLIT(R183,";")),_xlpm.fol, TRIM(_xlfn.TEXTSPLIT(T183,";")),_xlfn.TEXTJOIN("; ", TRUE, _xlfn._xlws.FILTER(_xlpm.inv, ISNA(MATCH(_xlpm.inv, _xlpm.fol, 0)), ""))
  )
)</f>
        <v xml:space="preserve">Ceres Partners </v>
      </c>
      <c r="X183" s="16" cm="1">
        <f t="array" ref="X183">IF(W183="","N/A",COUNTA(_xlfn._xlws.FILTER(_xlfn.TEXTSPLIT(W183,";"), _xlfn.TEXTSPLIT(W183,";")&lt;&gt;"")))</f>
        <v>1</v>
      </c>
      <c r="Y183" s="17">
        <f t="shared" si="10"/>
        <v>1</v>
      </c>
      <c r="Z183" s="4" t="s">
        <v>815</v>
      </c>
      <c r="AA183" s="4"/>
      <c r="AB183" s="4" t="s">
        <v>875</v>
      </c>
      <c r="AC183" s="4" t="s">
        <v>517</v>
      </c>
    </row>
    <row r="184" spans="1:29" ht="29" x14ac:dyDescent="0.35">
      <c r="A184" s="4">
        <f t="shared" si="11"/>
        <v>182</v>
      </c>
      <c r="B184" s="4" t="s">
        <v>544</v>
      </c>
      <c r="C184" s="4" t="s">
        <v>371</v>
      </c>
      <c r="D184" s="4">
        <v>2017</v>
      </c>
      <c r="E184" s="12" t="s">
        <v>897</v>
      </c>
      <c r="F184" s="4" t="s">
        <v>960</v>
      </c>
      <c r="G184" s="4" t="s">
        <v>1247</v>
      </c>
      <c r="H184" s="4" t="s">
        <v>1248</v>
      </c>
      <c r="I184" s="14">
        <v>4.8499999999999996</v>
      </c>
      <c r="J184" s="13">
        <v>44380</v>
      </c>
      <c r="K184" s="25"/>
      <c r="L184" s="14">
        <v>2.23</v>
      </c>
      <c r="M184" s="14">
        <v>10.23</v>
      </c>
      <c r="N184" s="4" t="s">
        <v>471</v>
      </c>
      <c r="O184" s="18">
        <v>1.1299999999999999</v>
      </c>
      <c r="P184" s="14"/>
      <c r="Q184" s="15">
        <f t="shared" si="8"/>
        <v>0</v>
      </c>
      <c r="R184" s="12" t="s">
        <v>706</v>
      </c>
      <c r="S184" s="16" cm="1">
        <f t="array" ref="S184">IF(R184="",0,COUNTA(_xlfn._xlws.FILTER(_xlfn.TEXTSPLIT(R184,";"), _xlfn.TEXTSPLIT(R184,";")&lt;&gt;"")))</f>
        <v>3</v>
      </c>
      <c r="T184" s="12"/>
      <c r="U184" s="16" cm="1">
        <f t="array" ref="U184">IF(T184="",0,COUNTA(_xlfn._xlws.FILTER(_xlfn.TEXTSPLIT(T184,";"), _xlfn.TEXTSPLIT(T184,";")&lt;&gt;"")))</f>
        <v>0</v>
      </c>
      <c r="V184" s="17">
        <f t="shared" si="9"/>
        <v>0</v>
      </c>
      <c r="W184" s="12" t="str" cm="1">
        <f t="array" ref="W184">IF(T184="",R184,_xlfn.LET(_xlpm.inv, TRIM(_xlfn.TEXTSPLIT(R184,";")),_xlpm.fol, TRIM(_xlfn.TEXTSPLIT(T184,";")),_xlfn.TEXTJOIN("; ", TRUE, _xlfn._xlws.FILTER(_xlpm.inv, ISNA(MATCH(_xlpm.inv, _xlpm.fol, 0)), ""))
  )
)</f>
        <v>Arosa Capital Management; BrightStar Wisconsin Foundation; WARF Ventures</v>
      </c>
      <c r="X184" s="16" cm="1">
        <f t="array" ref="X184">IF(W184="","N/A",COUNTA(_xlfn._xlws.FILTER(_xlfn.TEXTSPLIT(W184,";"), _xlfn.TEXTSPLIT(W184,";")&lt;&gt;"")))</f>
        <v>3</v>
      </c>
      <c r="Y184" s="17">
        <f t="shared" si="10"/>
        <v>1</v>
      </c>
      <c r="Z184" s="4" t="s">
        <v>817</v>
      </c>
      <c r="AA184" s="4" t="s">
        <v>820</v>
      </c>
      <c r="AB184" s="4" t="s">
        <v>818</v>
      </c>
      <c r="AC184" s="4" t="s">
        <v>517</v>
      </c>
    </row>
    <row r="185" spans="1:29" ht="29" x14ac:dyDescent="0.35">
      <c r="A185" s="4">
        <f t="shared" si="11"/>
        <v>183</v>
      </c>
      <c r="B185" s="4" t="s">
        <v>372</v>
      </c>
      <c r="C185" s="4" t="s">
        <v>176</v>
      </c>
      <c r="D185" s="4">
        <v>2018</v>
      </c>
      <c r="E185" s="12" t="s">
        <v>948</v>
      </c>
      <c r="F185" s="4" t="s">
        <v>557</v>
      </c>
      <c r="G185" s="4" t="s">
        <v>1249</v>
      </c>
      <c r="H185" s="4" t="s">
        <v>1250</v>
      </c>
      <c r="I185" s="14">
        <v>91.02</v>
      </c>
      <c r="J185" s="13">
        <v>45363</v>
      </c>
      <c r="K185" s="25">
        <v>1.76</v>
      </c>
      <c r="L185" s="14">
        <v>21</v>
      </c>
      <c r="M185" s="14">
        <v>190</v>
      </c>
      <c r="N185" s="4" t="s">
        <v>471</v>
      </c>
      <c r="O185" s="18">
        <v>1.51</v>
      </c>
      <c r="P185" s="14"/>
      <c r="Q185" s="15">
        <f t="shared" si="8"/>
        <v>0</v>
      </c>
      <c r="R185" s="12" t="s">
        <v>707</v>
      </c>
      <c r="S185" s="16" cm="1">
        <f t="array" ref="S185">IF(R185="",0,COUNTA(_xlfn._xlws.FILTER(_xlfn.TEXTSPLIT(R185,";"), _xlfn.TEXTSPLIT(R185,";")&lt;&gt;"")))</f>
        <v>6</v>
      </c>
      <c r="T185" s="12" t="s">
        <v>806</v>
      </c>
      <c r="U185" s="16" cm="1">
        <f t="array" ref="U185">IF(T185="",0,COUNTA(_xlfn._xlws.FILTER(_xlfn.TEXTSPLIT(T185,";"), _xlfn.TEXTSPLIT(T185,";")&lt;&gt;"")))</f>
        <v>2</v>
      </c>
      <c r="V185" s="17">
        <f t="shared" si="9"/>
        <v>0.33333333333333331</v>
      </c>
      <c r="W185" s="12" t="str" cm="1">
        <f t="array" ref="W185">IF(T185="",R185,_xlfn.LET(_xlpm.inv, TRIM(_xlfn.TEXTSPLIT(R185,";")),_xlpm.fol, TRIM(_xlfn.TEXTSPLIT(T185,";")),_xlfn.TEXTJOIN("; ", TRUE, _xlfn._xlws.FILTER(_xlpm.inv, ISNA(MATCH(_xlpm.inv, _xlpm.fol, 0)), ""))
  )
)</f>
        <v>Milano Investment Partners; Mintz; Mitsubishi; Standard Investments</v>
      </c>
      <c r="X185" s="16" cm="1">
        <f t="array" ref="X185">IF(W185="","N/A",COUNTA(_xlfn._xlws.FILTER(_xlfn.TEXTSPLIT(W185,";"), _xlfn.TEXTSPLIT(W185,";")&lt;&gt;"")))</f>
        <v>4</v>
      </c>
      <c r="Y185" s="17">
        <f t="shared" si="10"/>
        <v>0.66666666666666663</v>
      </c>
      <c r="Z185" s="4" t="s">
        <v>810</v>
      </c>
      <c r="AA185" s="4" t="s">
        <v>831</v>
      </c>
      <c r="AB185" s="4" t="s">
        <v>816</v>
      </c>
      <c r="AC185" s="4" t="s">
        <v>517</v>
      </c>
    </row>
    <row r="186" spans="1:29" ht="29" x14ac:dyDescent="0.35">
      <c r="A186" s="4">
        <f t="shared" si="11"/>
        <v>184</v>
      </c>
      <c r="B186" s="4" t="s">
        <v>125</v>
      </c>
      <c r="C186" s="4" t="s">
        <v>373</v>
      </c>
      <c r="D186" s="4">
        <v>2011</v>
      </c>
      <c r="E186" s="12" t="s">
        <v>934</v>
      </c>
      <c r="F186" s="4" t="s">
        <v>958</v>
      </c>
      <c r="G186" s="4" t="s">
        <v>1251</v>
      </c>
      <c r="H186" s="4" t="s">
        <v>1252</v>
      </c>
      <c r="I186" s="14"/>
      <c r="J186" s="13">
        <v>44317</v>
      </c>
      <c r="K186" s="25"/>
      <c r="L186" s="14"/>
      <c r="M186" s="14"/>
      <c r="N186" s="4"/>
      <c r="O186" s="18"/>
      <c r="P186" s="14"/>
      <c r="Q186" s="15" t="str">
        <f t="shared" si="8"/>
        <v>N/A</v>
      </c>
      <c r="R186" s="12" t="s">
        <v>708</v>
      </c>
      <c r="S186" s="16" cm="1">
        <f t="array" ref="S186">IF(R186="",0,COUNTA(_xlfn._xlws.FILTER(_xlfn.TEXTSPLIT(R186,";"), _xlfn.TEXTSPLIT(R186,";")&lt;&gt;"")))</f>
        <v>2</v>
      </c>
      <c r="T186" s="12"/>
      <c r="U186" s="16" cm="1">
        <f t="array" ref="U186">IF(T186="",0,COUNTA(_xlfn._xlws.FILTER(_xlfn.TEXTSPLIT(T186,";"), _xlfn.TEXTSPLIT(T186,";")&lt;&gt;"")))</f>
        <v>0</v>
      </c>
      <c r="V186" s="17">
        <f t="shared" si="9"/>
        <v>0</v>
      </c>
      <c r="W186" s="12" t="str" cm="1">
        <f t="array" ref="W186">IF(T186="",R186,_xlfn.LET(_xlpm.inv, TRIM(_xlfn.TEXTSPLIT(R186,";")),_xlpm.fol, TRIM(_xlfn.TEXTSPLIT(T186,";")),_xlfn.TEXTJOIN("; ", TRUE, _xlfn._xlws.FILTER(_xlpm.inv, ISNA(MATCH(_xlpm.inv, _xlpm.fol, 0)), ""))
  )
)</f>
        <v>Cowles Ventures; Keiretsu Capital</v>
      </c>
      <c r="X186" s="16" cm="1">
        <f t="array" ref="X186">IF(W186="","N/A",COUNTA(_xlfn._xlws.FILTER(_xlfn.TEXTSPLIT(W186,";"), _xlfn.TEXTSPLIT(W186,";")&lt;&gt;"")))</f>
        <v>2</v>
      </c>
      <c r="Y186" s="17">
        <f t="shared" si="10"/>
        <v>1</v>
      </c>
      <c r="Z186" s="4" t="s">
        <v>815</v>
      </c>
      <c r="AA186" s="4"/>
      <c r="AB186" s="4" t="s">
        <v>876</v>
      </c>
      <c r="AC186" s="4" t="s">
        <v>517</v>
      </c>
    </row>
    <row r="187" spans="1:29" ht="29" x14ac:dyDescent="0.35">
      <c r="A187" s="4">
        <f t="shared" si="11"/>
        <v>185</v>
      </c>
      <c r="B187" s="4" t="s">
        <v>125</v>
      </c>
      <c r="C187" s="4" t="s">
        <v>373</v>
      </c>
      <c r="D187" s="4">
        <v>2011</v>
      </c>
      <c r="E187" s="12" t="s">
        <v>934</v>
      </c>
      <c r="F187" s="4" t="s">
        <v>958</v>
      </c>
      <c r="G187" s="4" t="s">
        <v>1251</v>
      </c>
      <c r="H187" s="4" t="s">
        <v>1252</v>
      </c>
      <c r="I187" s="14">
        <v>16.63</v>
      </c>
      <c r="J187" s="13">
        <v>45693</v>
      </c>
      <c r="K187" s="25"/>
      <c r="L187" s="14">
        <v>16.63</v>
      </c>
      <c r="M187" s="14">
        <v>40</v>
      </c>
      <c r="N187" s="4"/>
      <c r="O187" s="18"/>
      <c r="P187" s="14"/>
      <c r="Q187" s="15">
        <f t="shared" si="8"/>
        <v>0</v>
      </c>
      <c r="R187" s="12"/>
      <c r="S187" s="16" cm="1">
        <f t="array" ref="S187">IF(R187="",0,COUNTA(_xlfn._xlws.FILTER(_xlfn.TEXTSPLIT(R187,";"), _xlfn.TEXTSPLIT(R187,";")&lt;&gt;"")))</f>
        <v>0</v>
      </c>
      <c r="T187" s="12"/>
      <c r="U187" s="16" cm="1">
        <f t="array" ref="U187">IF(T187="",0,COUNTA(_xlfn._xlws.FILTER(_xlfn.TEXTSPLIT(T187,";"), _xlfn.TEXTSPLIT(T187,";")&lt;&gt;"")))</f>
        <v>0</v>
      </c>
      <c r="V187" s="17" t="str">
        <f t="shared" si="9"/>
        <v>N/A</v>
      </c>
      <c r="W187" s="12" cm="1">
        <f t="array" ref="W187">IF(T187="",R187,_xlfn.LET(_xlpm.inv, TRIM(_xlfn.TEXTSPLIT(R187,";")),_xlpm.fol, TRIM(_xlfn.TEXTSPLIT(T187,";")),_xlfn.TEXTJOIN("; ", TRUE, _xlfn._xlws.FILTER(_xlpm.inv, ISNA(MATCH(_xlpm.inv, _xlpm.fol, 0)), ""))
  )
)</f>
        <v>0</v>
      </c>
      <c r="X187" s="16" cm="1">
        <f t="array" ref="X187">IF(W187="","N/A",COUNTA(_xlfn._xlws.FILTER(_xlfn.TEXTSPLIT(W187,";"), _xlfn.TEXTSPLIT(W187,";")&lt;&gt;"")))</f>
        <v>1</v>
      </c>
      <c r="Y187" s="17" t="str">
        <f t="shared" si="10"/>
        <v>N/A</v>
      </c>
      <c r="Z187" s="4" t="s">
        <v>815</v>
      </c>
      <c r="AA187" s="4"/>
      <c r="AB187" s="4" t="s">
        <v>876</v>
      </c>
      <c r="AC187" s="4" t="s">
        <v>517</v>
      </c>
    </row>
    <row r="188" spans="1:29" ht="43.5" x14ac:dyDescent="0.35">
      <c r="A188" s="4">
        <f t="shared" si="11"/>
        <v>186</v>
      </c>
      <c r="B188" s="4" t="s">
        <v>545</v>
      </c>
      <c r="C188" s="4" t="s">
        <v>182</v>
      </c>
      <c r="D188" s="4">
        <v>2010</v>
      </c>
      <c r="E188" s="12" t="s">
        <v>949</v>
      </c>
      <c r="F188" s="4" t="s">
        <v>961</v>
      </c>
      <c r="G188" s="4" t="s">
        <v>1253</v>
      </c>
      <c r="H188" s="4" t="s">
        <v>1254</v>
      </c>
      <c r="I188" s="14">
        <v>102.32</v>
      </c>
      <c r="J188" s="13">
        <v>41802</v>
      </c>
      <c r="K188" s="25">
        <v>1.43</v>
      </c>
      <c r="L188" s="14">
        <v>25.32</v>
      </c>
      <c r="M188" s="14">
        <v>325</v>
      </c>
      <c r="N188" s="4" t="s">
        <v>471</v>
      </c>
      <c r="O188" s="18">
        <v>1.48</v>
      </c>
      <c r="P188" s="14"/>
      <c r="Q188" s="15">
        <f t="shared" si="8"/>
        <v>0</v>
      </c>
      <c r="R188" s="12" t="s">
        <v>709</v>
      </c>
      <c r="S188" s="16" cm="1">
        <f t="array" ref="S188">IF(R188="",0,COUNTA(_xlfn._xlws.FILTER(_xlfn.TEXTSPLIT(R188,";"), _xlfn.TEXTSPLIT(R188,";")&lt;&gt;"")))</f>
        <v>1</v>
      </c>
      <c r="T188" s="12"/>
      <c r="U188" s="16" cm="1">
        <f t="array" ref="U188">IF(T188="",0,COUNTA(_xlfn._xlws.FILTER(_xlfn.TEXTSPLIT(T188,";"), _xlfn.TEXTSPLIT(T188,";")&lt;&gt;"")))</f>
        <v>0</v>
      </c>
      <c r="V188" s="17">
        <f t="shared" si="9"/>
        <v>0</v>
      </c>
      <c r="W188" s="12" t="str" cm="1">
        <f t="array" ref="W188">IF(T188="",R188,_xlfn.LET(_xlpm.inv, TRIM(_xlfn.TEXTSPLIT(R188,";")),_xlpm.fol, TRIM(_xlfn.TEXTSPLIT(T188,";")),_xlfn.TEXTJOIN("; ", TRUE, _xlfn._xlws.FILTER(_xlpm.inv, ISNA(MATCH(_xlpm.inv, _xlpm.fol, 0)), ""))
  )
)</f>
        <v xml:space="preserve">Volkswagen Group </v>
      </c>
      <c r="X188" s="16" cm="1">
        <f t="array" ref="X188">IF(W188="","N/A",COUNTA(_xlfn._xlws.FILTER(_xlfn.TEXTSPLIT(W188,";"), _xlfn.TEXTSPLIT(W188,";")&lt;&gt;"")))</f>
        <v>1</v>
      </c>
      <c r="Y188" s="17">
        <f t="shared" si="10"/>
        <v>1</v>
      </c>
      <c r="Z188" s="4" t="s">
        <v>817</v>
      </c>
      <c r="AA188" s="4" t="s">
        <v>830</v>
      </c>
      <c r="AB188" s="4" t="s">
        <v>824</v>
      </c>
      <c r="AC188" s="4" t="s">
        <v>517</v>
      </c>
    </row>
    <row r="189" spans="1:29" x14ac:dyDescent="0.35">
      <c r="A189" s="4">
        <f t="shared" si="11"/>
        <v>187</v>
      </c>
      <c r="B189" s="4" t="s">
        <v>374</v>
      </c>
      <c r="C189" s="4" t="s">
        <v>375</v>
      </c>
      <c r="D189" s="4">
        <v>2018</v>
      </c>
      <c r="E189" s="12" t="s">
        <v>897</v>
      </c>
      <c r="F189" s="4" t="s">
        <v>978</v>
      </c>
      <c r="G189" s="4" t="s">
        <v>1255</v>
      </c>
      <c r="H189" s="4" t="s">
        <v>1256</v>
      </c>
      <c r="I189" s="14"/>
      <c r="J189" s="13">
        <v>44348</v>
      </c>
      <c r="K189" s="25"/>
      <c r="L189" s="14"/>
      <c r="M189" s="14"/>
      <c r="N189" s="4"/>
      <c r="O189" s="18"/>
      <c r="P189" s="14"/>
      <c r="Q189" s="15" t="str">
        <f t="shared" si="8"/>
        <v>N/A</v>
      </c>
      <c r="R189" s="12" t="s">
        <v>710</v>
      </c>
      <c r="S189" s="16" cm="1">
        <f t="array" ref="S189">IF(R189="",0,COUNTA(_xlfn._xlws.FILTER(_xlfn.TEXTSPLIT(R189,";"), _xlfn.TEXTSPLIT(R189,";")&lt;&gt;"")))</f>
        <v>1</v>
      </c>
      <c r="T189" s="12"/>
      <c r="U189" s="16" cm="1">
        <f t="array" ref="U189">IF(T189="",0,COUNTA(_xlfn._xlws.FILTER(_xlfn.TEXTSPLIT(T189,";"), _xlfn.TEXTSPLIT(T189,";")&lt;&gt;"")))</f>
        <v>0</v>
      </c>
      <c r="V189" s="17">
        <f t="shared" si="9"/>
        <v>0</v>
      </c>
      <c r="W189" s="12" t="str" cm="1">
        <f t="array" ref="W189">IF(T189="",R189,_xlfn.LET(_xlpm.inv, TRIM(_xlfn.TEXTSPLIT(R189,";")),_xlpm.fol, TRIM(_xlfn.TEXTSPLIT(T189,";")),_xlfn.TEXTJOIN("; ", TRUE, _xlfn._xlws.FILTER(_xlpm.inv, ISNA(MATCH(_xlpm.inv, _xlpm.fol, 0)), ""))
  )
)</f>
        <v xml:space="preserve">Ascent Funds </v>
      </c>
      <c r="X189" s="16" cm="1">
        <f t="array" ref="X189">IF(W189="","N/A",COUNTA(_xlfn._xlws.FILTER(_xlfn.TEXTSPLIT(W189,";"), _xlfn.TEXTSPLIT(W189,";")&lt;&gt;"")))</f>
        <v>1</v>
      </c>
      <c r="Y189" s="17">
        <f t="shared" si="10"/>
        <v>1</v>
      </c>
      <c r="Z189" s="4" t="s">
        <v>815</v>
      </c>
      <c r="AA189" s="4"/>
      <c r="AB189" s="4" t="s">
        <v>816</v>
      </c>
      <c r="AC189" s="4" t="s">
        <v>517</v>
      </c>
    </row>
    <row r="190" spans="1:29" x14ac:dyDescent="0.35">
      <c r="A190" s="4">
        <f t="shared" si="11"/>
        <v>188</v>
      </c>
      <c r="B190" s="4" t="s">
        <v>374</v>
      </c>
      <c r="C190" s="4" t="s">
        <v>375</v>
      </c>
      <c r="D190" s="4">
        <v>2018</v>
      </c>
      <c r="E190" s="12" t="s">
        <v>897</v>
      </c>
      <c r="F190" s="4" t="s">
        <v>978</v>
      </c>
      <c r="G190" s="4" t="s">
        <v>1255</v>
      </c>
      <c r="H190" s="4" t="s">
        <v>1256</v>
      </c>
      <c r="I190" s="14">
        <v>20</v>
      </c>
      <c r="J190" s="13">
        <v>44420</v>
      </c>
      <c r="K190" s="25"/>
      <c r="L190" s="14">
        <v>20</v>
      </c>
      <c r="M190" s="14"/>
      <c r="N190" s="4"/>
      <c r="O190" s="18"/>
      <c r="P190" s="14"/>
      <c r="Q190" s="15">
        <f t="shared" si="8"/>
        <v>0</v>
      </c>
      <c r="R190" s="12" t="s">
        <v>711</v>
      </c>
      <c r="S190" s="16" cm="1">
        <f t="array" ref="S190">IF(R190="",0,COUNTA(_xlfn._xlws.FILTER(_xlfn.TEXTSPLIT(R190,";"), _xlfn.TEXTSPLIT(R190,";")&lt;&gt;"")))</f>
        <v>4</v>
      </c>
      <c r="T190" s="12"/>
      <c r="U190" s="16" cm="1">
        <f t="array" ref="U190">IF(T190="",0,COUNTA(_xlfn._xlws.FILTER(_xlfn.TEXTSPLIT(T190,";"), _xlfn.TEXTSPLIT(T190,";")&lt;&gt;"")))</f>
        <v>0</v>
      </c>
      <c r="V190" s="17">
        <f t="shared" si="9"/>
        <v>0</v>
      </c>
      <c r="W190" s="12" t="str" cm="1">
        <f t="array" ref="W190">IF(T190="",R190,_xlfn.LET(_xlpm.inv, TRIM(_xlfn.TEXTSPLIT(R190,";")),_xlpm.fol, TRIM(_xlfn.TEXTSPLIT(T190,";")),_xlfn.TEXTJOIN("; ", TRUE, _xlfn._xlws.FILTER(_xlpm.inv, ISNA(MATCH(_xlpm.inv, _xlpm.fol, 0)), ""))
  )
)</f>
        <v xml:space="preserve">Ascent Funds; Chevron ; Hyzon Fuel Cell; Itochu </v>
      </c>
      <c r="X190" s="16" cm="1">
        <f t="array" ref="X190">IF(W190="","N/A",COUNTA(_xlfn._xlws.FILTER(_xlfn.TEXTSPLIT(W190,";"), _xlfn.TEXTSPLIT(W190,";")&lt;&gt;"")))</f>
        <v>4</v>
      </c>
      <c r="Y190" s="17">
        <f t="shared" si="10"/>
        <v>1</v>
      </c>
      <c r="Z190" s="4" t="s">
        <v>815</v>
      </c>
      <c r="AA190" s="4"/>
      <c r="AB190" s="4" t="s">
        <v>816</v>
      </c>
      <c r="AC190" s="4" t="s">
        <v>517</v>
      </c>
    </row>
    <row r="191" spans="1:29" x14ac:dyDescent="0.35">
      <c r="A191" s="4">
        <f t="shared" si="11"/>
        <v>189</v>
      </c>
      <c r="B191" s="4" t="s">
        <v>374</v>
      </c>
      <c r="C191" s="4" t="s">
        <v>375</v>
      </c>
      <c r="D191" s="4">
        <v>2018</v>
      </c>
      <c r="E191" s="12" t="s">
        <v>897</v>
      </c>
      <c r="F191" s="4" t="s">
        <v>978</v>
      </c>
      <c r="G191" s="4" t="s">
        <v>1255</v>
      </c>
      <c r="H191" s="4" t="s">
        <v>1256</v>
      </c>
      <c r="I191" s="14">
        <v>20</v>
      </c>
      <c r="J191" s="13">
        <v>44634</v>
      </c>
      <c r="K191" s="25"/>
      <c r="L191" s="14"/>
      <c r="M191" s="14"/>
      <c r="N191" s="4"/>
      <c r="O191" s="18"/>
      <c r="P191" s="14"/>
      <c r="Q191" s="15" t="str">
        <f t="shared" si="8"/>
        <v>N/A</v>
      </c>
      <c r="R191" s="12" t="s">
        <v>712</v>
      </c>
      <c r="S191" s="16" cm="1">
        <f t="array" ref="S191">IF(R191="",0,COUNTA(_xlfn._xlws.FILTER(_xlfn.TEXTSPLIT(R191,";"), _xlfn.TEXTSPLIT(R191,";")&lt;&gt;"")))</f>
        <v>1</v>
      </c>
      <c r="T191" s="12"/>
      <c r="U191" s="16" cm="1">
        <f t="array" ref="U191">IF(T191="",0,COUNTA(_xlfn._xlws.FILTER(_xlfn.TEXTSPLIT(T191,";"), _xlfn.TEXTSPLIT(T191,";")&lt;&gt;"")))</f>
        <v>0</v>
      </c>
      <c r="V191" s="17">
        <f t="shared" si="9"/>
        <v>0</v>
      </c>
      <c r="W191" s="12" t="str" cm="1">
        <f t="array" ref="W191">IF(T191="",R191,_xlfn.LET(_xlpm.inv, TRIM(_xlfn.TEXTSPLIT(R191,";")),_xlpm.fol, TRIM(_xlfn.TEXTSPLIT(T191,";")),_xlfn.TEXTJOIN("; ", TRUE, _xlfn._xlws.FILTER(_xlpm.inv, ISNA(MATCH(_xlpm.inv, _xlpm.fol, 0)), ""))
  )
)</f>
        <v xml:space="preserve">Samsung Venture Investment </v>
      </c>
      <c r="X191" s="16" cm="1">
        <f t="array" ref="X191">IF(W191="","N/A",COUNTA(_xlfn._xlws.FILTER(_xlfn.TEXTSPLIT(W191,";"), _xlfn.TEXTSPLIT(W191,";")&lt;&gt;"")))</f>
        <v>1</v>
      </c>
      <c r="Y191" s="17">
        <f t="shared" si="10"/>
        <v>1</v>
      </c>
      <c r="Z191" s="4" t="s">
        <v>815</v>
      </c>
      <c r="AA191" s="4"/>
      <c r="AB191" s="4" t="s">
        <v>816</v>
      </c>
      <c r="AC191" s="4" t="s">
        <v>517</v>
      </c>
    </row>
    <row r="192" spans="1:29" x14ac:dyDescent="0.35">
      <c r="A192" s="4">
        <f t="shared" si="11"/>
        <v>190</v>
      </c>
      <c r="B192" s="4" t="s">
        <v>374</v>
      </c>
      <c r="C192" s="4" t="s">
        <v>375</v>
      </c>
      <c r="D192" s="4">
        <v>2018</v>
      </c>
      <c r="E192" s="12" t="s">
        <v>897</v>
      </c>
      <c r="F192" s="4" t="s">
        <v>978</v>
      </c>
      <c r="G192" s="4" t="s">
        <v>1255</v>
      </c>
      <c r="H192" s="4" t="s">
        <v>1256</v>
      </c>
      <c r="I192" s="14">
        <v>20</v>
      </c>
      <c r="J192" s="13">
        <v>45132</v>
      </c>
      <c r="K192" s="25"/>
      <c r="L192" s="14"/>
      <c r="M192" s="14"/>
      <c r="N192" s="4"/>
      <c r="O192" s="18"/>
      <c r="P192" s="14"/>
      <c r="Q192" s="15" t="str">
        <f t="shared" si="8"/>
        <v>N/A</v>
      </c>
      <c r="R192" s="12" t="s">
        <v>713</v>
      </c>
      <c r="S192" s="16" cm="1">
        <f t="array" ref="S192">IF(R192="",0,COUNTA(_xlfn._xlws.FILTER(_xlfn.TEXTSPLIT(R192,";"), _xlfn.TEXTSPLIT(R192,";")&lt;&gt;"")))</f>
        <v>1</v>
      </c>
      <c r="T192" s="12"/>
      <c r="U192" s="16" cm="1">
        <f t="array" ref="U192">IF(T192="",0,COUNTA(_xlfn._xlws.FILTER(_xlfn.TEXTSPLIT(T192,";"), _xlfn.TEXTSPLIT(T192,";")&lt;&gt;"")))</f>
        <v>0</v>
      </c>
      <c r="V192" s="17">
        <f t="shared" si="9"/>
        <v>0</v>
      </c>
      <c r="W192" s="12" t="str" cm="1">
        <f t="array" ref="W192">IF(T192="",R192,_xlfn.LET(_xlpm.inv, TRIM(_xlfn.TEXTSPLIT(R192,";")),_xlpm.fol, TRIM(_xlfn.TEXTSPLIT(T192,";")),_xlfn.TEXTJOIN("; ", TRUE, _xlfn._xlws.FILTER(_xlpm.inv, ISNA(MATCH(_xlpm.inv, _xlpm.fol, 0)), ""))
  )
)</f>
        <v xml:space="preserve">The RockCreek Group </v>
      </c>
      <c r="X192" s="16" cm="1">
        <f t="array" ref="X192">IF(W192="","N/A",COUNTA(_xlfn._xlws.FILTER(_xlfn.TEXTSPLIT(W192,";"), _xlfn.TEXTSPLIT(W192,";")&lt;&gt;"")))</f>
        <v>1</v>
      </c>
      <c r="Y192" s="17">
        <f t="shared" si="10"/>
        <v>1</v>
      </c>
      <c r="Z192" s="4" t="s">
        <v>815</v>
      </c>
      <c r="AA192" s="4"/>
      <c r="AB192" s="4" t="s">
        <v>816</v>
      </c>
      <c r="AC192" s="4" t="s">
        <v>517</v>
      </c>
    </row>
    <row r="193" spans="1:29" ht="29" x14ac:dyDescent="0.35">
      <c r="A193" s="4">
        <f t="shared" si="11"/>
        <v>191</v>
      </c>
      <c r="B193" s="4" t="s">
        <v>374</v>
      </c>
      <c r="C193" s="4" t="s">
        <v>375</v>
      </c>
      <c r="D193" s="4">
        <v>2018</v>
      </c>
      <c r="E193" s="12" t="s">
        <v>897</v>
      </c>
      <c r="F193" s="4" t="s">
        <v>978</v>
      </c>
      <c r="G193" s="4" t="s">
        <v>1255</v>
      </c>
      <c r="H193" s="4" t="s">
        <v>1256</v>
      </c>
      <c r="I193" s="14">
        <v>35</v>
      </c>
      <c r="J193" s="13">
        <v>45384</v>
      </c>
      <c r="K193" s="25"/>
      <c r="L193" s="14">
        <v>15</v>
      </c>
      <c r="M193" s="14"/>
      <c r="N193" s="4"/>
      <c r="O193" s="18"/>
      <c r="P193" s="14"/>
      <c r="Q193" s="15">
        <f t="shared" si="8"/>
        <v>0</v>
      </c>
      <c r="R193" s="12" t="s">
        <v>714</v>
      </c>
      <c r="S193" s="16" cm="1">
        <f t="array" ref="S193">IF(R193="",0,COUNTA(_xlfn._xlws.FILTER(_xlfn.TEXTSPLIT(R193,";"), _xlfn.TEXTSPLIT(R193,";")&lt;&gt;"")))</f>
        <v>4</v>
      </c>
      <c r="T193" s="12" t="s">
        <v>714</v>
      </c>
      <c r="U193" s="16" cm="1">
        <f t="array" ref="U193">IF(T193="",0,COUNTA(_xlfn._xlws.FILTER(_xlfn.TEXTSPLIT(T193,";"), _xlfn.TEXTSPLIT(T193,";")&lt;&gt;"")))</f>
        <v>4</v>
      </c>
      <c r="V193" s="17">
        <f t="shared" si="9"/>
        <v>1</v>
      </c>
      <c r="W193" s="12" t="str" cm="1">
        <f t="array" ref="W193">IF(T193="",R193,_xlfn.LET(_xlpm.inv, TRIM(_xlfn.TEXTSPLIT(R193,";")),_xlpm.fol, TRIM(_xlfn.TEXTSPLIT(T193,";")),_xlfn.TEXTJOIN("; ", TRUE, _xlfn._xlws.FILTER(_xlpm.inv, ISNA(MATCH(_xlpm.inv, _xlpm.fol, 0)), ""))
  )
)</f>
        <v/>
      </c>
      <c r="X193" s="16" t="str" cm="1">
        <f t="array" ref="X193">IF(W193="","N/A",COUNTA(_xlfn._xlws.FILTER(_xlfn.TEXTSPLIT(W193,";"), _xlfn.TEXTSPLIT(W193,";")&lt;&gt;"")))</f>
        <v>N/A</v>
      </c>
      <c r="Y193" s="17" t="str">
        <f t="shared" si="10"/>
        <v>N/A</v>
      </c>
      <c r="Z193" s="4" t="s">
        <v>815</v>
      </c>
      <c r="AA193" s="4"/>
      <c r="AB193" s="4" t="s">
        <v>816</v>
      </c>
      <c r="AC193" s="4" t="s">
        <v>517</v>
      </c>
    </row>
    <row r="194" spans="1:29" x14ac:dyDescent="0.35">
      <c r="A194" s="4">
        <f t="shared" si="11"/>
        <v>192</v>
      </c>
      <c r="B194" s="4" t="s">
        <v>376</v>
      </c>
      <c r="C194" s="4" t="s">
        <v>377</v>
      </c>
      <c r="D194" s="4">
        <v>2011</v>
      </c>
      <c r="E194" s="12" t="s">
        <v>897</v>
      </c>
      <c r="F194" s="4" t="s">
        <v>960</v>
      </c>
      <c r="G194" s="4" t="s">
        <v>1257</v>
      </c>
      <c r="H194" s="4" t="s">
        <v>1258</v>
      </c>
      <c r="I194" s="14">
        <v>42</v>
      </c>
      <c r="J194" s="13">
        <v>44428</v>
      </c>
      <c r="K194" s="25">
        <v>1.48</v>
      </c>
      <c r="L194" s="14">
        <v>27</v>
      </c>
      <c r="M194" s="14">
        <v>157</v>
      </c>
      <c r="N194" s="4" t="s">
        <v>471</v>
      </c>
      <c r="O194" s="18">
        <v>2.2799999999999998</v>
      </c>
      <c r="P194" s="14"/>
      <c r="Q194" s="15">
        <f t="shared" si="8"/>
        <v>0</v>
      </c>
      <c r="R194" s="12" t="s">
        <v>715</v>
      </c>
      <c r="S194" s="16" cm="1">
        <f t="array" ref="S194">IF(R194="",0,COUNTA(_xlfn._xlws.FILTER(_xlfn.TEXTSPLIT(R194,";"), _xlfn.TEXTSPLIT(R194,";")&lt;&gt;"")))</f>
        <v>3</v>
      </c>
      <c r="T194" s="12"/>
      <c r="U194" s="16" cm="1">
        <f t="array" ref="U194">IF(T194="",0,COUNTA(_xlfn._xlws.FILTER(_xlfn.TEXTSPLIT(T194,";"), _xlfn.TEXTSPLIT(T194,";")&lt;&gt;"")))</f>
        <v>0</v>
      </c>
      <c r="V194" s="17">
        <f t="shared" si="9"/>
        <v>0</v>
      </c>
      <c r="W194" s="12" t="str" cm="1">
        <f t="array" ref="W194">IF(T194="",R194,_xlfn.LET(_xlpm.inv, TRIM(_xlfn.TEXTSPLIT(R194,";")),_xlpm.fol, TRIM(_xlfn.TEXTSPLIT(T194,";")),_xlfn.TEXTJOIN("; ", TRUE, _xlfn._xlws.FILTER(_xlpm.inv, ISNA(MATCH(_xlpm.inv, _xlpm.fol, 0)), ""))
  )
)</f>
        <v xml:space="preserve">D3 Jubilee partners; GS Holdings; POSCO Holdings </v>
      </c>
      <c r="X194" s="16" cm="1">
        <f t="array" ref="X194">IF(W194="","N/A",COUNTA(_xlfn._xlws.FILTER(_xlfn.TEXTSPLIT(W194,";"), _xlfn.TEXTSPLIT(W194,";")&lt;&gt;"")))</f>
        <v>3</v>
      </c>
      <c r="Y194" s="17">
        <f t="shared" si="10"/>
        <v>1</v>
      </c>
      <c r="Z194" s="4" t="s">
        <v>810</v>
      </c>
      <c r="AA194" s="4" t="s">
        <v>830</v>
      </c>
      <c r="AB194" s="4" t="s">
        <v>825</v>
      </c>
      <c r="AC194" s="4" t="s">
        <v>517</v>
      </c>
    </row>
    <row r="195" spans="1:29" x14ac:dyDescent="0.35">
      <c r="A195" s="4">
        <f t="shared" si="11"/>
        <v>193</v>
      </c>
      <c r="B195" s="4" t="s">
        <v>378</v>
      </c>
      <c r="C195" s="4" t="s">
        <v>379</v>
      </c>
      <c r="D195" s="4">
        <v>2016</v>
      </c>
      <c r="E195" s="12" t="s">
        <v>553</v>
      </c>
      <c r="F195" s="4" t="s">
        <v>960</v>
      </c>
      <c r="G195" s="4" t="s">
        <v>1259</v>
      </c>
      <c r="H195" s="4" t="s">
        <v>1260</v>
      </c>
      <c r="I195" s="14">
        <v>170</v>
      </c>
      <c r="J195" s="13">
        <v>45810</v>
      </c>
      <c r="K195" s="25"/>
      <c r="L195" s="14">
        <v>150</v>
      </c>
      <c r="M195" s="14"/>
      <c r="N195" s="4"/>
      <c r="O195" s="18"/>
      <c r="P195" s="14"/>
      <c r="Q195" s="15">
        <f t="shared" ref="Q195:Q258" si="12">IF(L195&gt;0,P195/L195,"N/A")</f>
        <v>0</v>
      </c>
      <c r="R195" s="12" t="s">
        <v>505</v>
      </c>
      <c r="S195" s="16" cm="1">
        <f t="array" ref="S195">IF(R195="",0,COUNTA(_xlfn._xlws.FILTER(_xlfn.TEXTSPLIT(R195,";"), _xlfn.TEXTSPLIT(R195,";")&lt;&gt;"")))</f>
        <v>1</v>
      </c>
      <c r="T195" s="12"/>
      <c r="U195" s="16" cm="1">
        <f t="array" ref="U195">IF(T195="",0,COUNTA(_xlfn._xlws.FILTER(_xlfn.TEXTSPLIT(T195,";"), _xlfn.TEXTSPLIT(T195,";")&lt;&gt;"")))</f>
        <v>0</v>
      </c>
      <c r="V195" s="17">
        <f t="shared" si="9"/>
        <v>0</v>
      </c>
      <c r="W195" s="12" t="str" cm="1">
        <f t="array" ref="W195">IF(T195="",R195,_xlfn.LET(_xlpm.inv, TRIM(_xlfn.TEXTSPLIT(R195,";")),_xlpm.fol, TRIM(_xlfn.TEXTSPLIT(T195,";")),_xlfn.TEXTJOIN("; ", TRUE, _xlfn._xlws.FILTER(_xlpm.inv, ISNA(MATCH(_xlpm.inv, _xlpm.fol, 0)), ""))
  )
)</f>
        <v>Novare</v>
      </c>
      <c r="X195" s="16" cm="1">
        <f t="array" ref="X195">IF(W195="","N/A",COUNTA(_xlfn._xlws.FILTER(_xlfn.TEXTSPLIT(W195,";"), _xlfn.TEXTSPLIT(W195,";")&lt;&gt;"")))</f>
        <v>1</v>
      </c>
      <c r="Y195" s="17">
        <f t="shared" si="10"/>
        <v>1</v>
      </c>
      <c r="Z195" s="4" t="s">
        <v>815</v>
      </c>
      <c r="AA195" s="4"/>
      <c r="AB195" s="4" t="s">
        <v>853</v>
      </c>
      <c r="AC195" s="4" t="s">
        <v>517</v>
      </c>
    </row>
    <row r="196" spans="1:29" ht="29" x14ac:dyDescent="0.35">
      <c r="A196" s="4">
        <f t="shared" si="11"/>
        <v>194</v>
      </c>
      <c r="B196" s="4" t="s">
        <v>380</v>
      </c>
      <c r="C196" s="4" t="s">
        <v>300</v>
      </c>
      <c r="D196" s="4">
        <v>2020</v>
      </c>
      <c r="E196" s="12" t="s">
        <v>931</v>
      </c>
      <c r="F196" s="4" t="s">
        <v>978</v>
      </c>
      <c r="G196" s="4" t="s">
        <v>1261</v>
      </c>
      <c r="H196" s="4" t="s">
        <v>1262</v>
      </c>
      <c r="I196" s="14">
        <v>6.25</v>
      </c>
      <c r="J196" s="13">
        <v>44756</v>
      </c>
      <c r="K196" s="25"/>
      <c r="L196" s="14">
        <v>5.25</v>
      </c>
      <c r="M196" s="14">
        <v>15.25</v>
      </c>
      <c r="N196" s="4" t="s">
        <v>471</v>
      </c>
      <c r="O196" s="18">
        <v>3.33</v>
      </c>
      <c r="P196" s="14"/>
      <c r="Q196" s="15">
        <f t="shared" si="12"/>
        <v>0</v>
      </c>
      <c r="R196" s="12" t="s">
        <v>716</v>
      </c>
      <c r="S196" s="16" cm="1">
        <f t="array" ref="S196">IF(R196="",0,COUNTA(_xlfn._xlws.FILTER(_xlfn.TEXTSPLIT(R196,";"), _xlfn.TEXTSPLIT(R196,";")&lt;&gt;"")))</f>
        <v>3</v>
      </c>
      <c r="T196" s="12"/>
      <c r="U196" s="16" cm="1">
        <f t="array" ref="U196">IF(T196="",0,COUNTA(_xlfn._xlws.FILTER(_xlfn.TEXTSPLIT(T196,";"), _xlfn.TEXTSPLIT(T196,";")&lt;&gt;"")))</f>
        <v>0</v>
      </c>
      <c r="V196" s="17">
        <f t="shared" ref="V196:V259" si="13">IF(S196=0,"N/A",U196/$S196)</f>
        <v>0</v>
      </c>
      <c r="W196" s="12" t="str" cm="1">
        <f t="array" ref="W196">IF(T196="",R196,_xlfn.LET(_xlpm.inv, TRIM(_xlfn.TEXTSPLIT(R196,";")),_xlpm.fol, TRIM(_xlfn.TEXTSPLIT(T196,";")),_xlfn.TEXTJOIN("; ", TRUE, _xlfn._xlws.FILTER(_xlpm.inv, ISNA(MATCH(_xlpm.inv, _xlpm.fol, 0)), ""))
  )
)</f>
        <v>AiiM Partners; Breakthrough Energy; Darco Capital</v>
      </c>
      <c r="X196" s="16" cm="1">
        <f t="array" ref="X196">IF(W196="","N/A",COUNTA(_xlfn._xlws.FILTER(_xlfn.TEXTSPLIT(W196,";"), _xlfn.TEXTSPLIT(W196,";")&lt;&gt;"")))</f>
        <v>3</v>
      </c>
      <c r="Y196" s="17">
        <f t="shared" ref="Y196:Y259" si="14">IF(S196&gt;0,IF(X196="N/A","N/A",X196/$S196),"N/A")</f>
        <v>1</v>
      </c>
      <c r="Z196" s="4" t="s">
        <v>817</v>
      </c>
      <c r="AA196" s="4" t="s">
        <v>813</v>
      </c>
      <c r="AB196" s="4" t="s">
        <v>867</v>
      </c>
      <c r="AC196" s="4" t="s">
        <v>517</v>
      </c>
    </row>
    <row r="197" spans="1:29" ht="29" x14ac:dyDescent="0.35">
      <c r="A197" s="4">
        <f t="shared" ref="A197:A260" si="15">A196+1</f>
        <v>195</v>
      </c>
      <c r="B197" s="4" t="s">
        <v>381</v>
      </c>
      <c r="C197" s="4" t="s">
        <v>307</v>
      </c>
      <c r="D197" s="4">
        <v>2020</v>
      </c>
      <c r="E197" s="12" t="s">
        <v>897</v>
      </c>
      <c r="F197" s="4" t="s">
        <v>959</v>
      </c>
      <c r="G197" s="4" t="s">
        <v>1263</v>
      </c>
      <c r="H197" s="4" t="s">
        <v>1264</v>
      </c>
      <c r="I197" s="14">
        <v>85.12</v>
      </c>
      <c r="J197" s="13">
        <v>45140</v>
      </c>
      <c r="K197" s="25">
        <v>1.58</v>
      </c>
      <c r="L197" s="14">
        <v>60</v>
      </c>
      <c r="M197" s="14">
        <v>250</v>
      </c>
      <c r="N197" s="4" t="s">
        <v>471</v>
      </c>
      <c r="O197" s="18">
        <v>2</v>
      </c>
      <c r="P197" s="14"/>
      <c r="Q197" s="15">
        <f t="shared" si="12"/>
        <v>0</v>
      </c>
      <c r="R197" s="12" t="s">
        <v>719</v>
      </c>
      <c r="S197" s="16" cm="1">
        <f t="array" ref="S197">IF(R197="",0,COUNTA(_xlfn._xlws.FILTER(_xlfn.TEXTSPLIT(R197,";"), _xlfn.TEXTSPLIT(R197,";")&lt;&gt;"")))</f>
        <v>10</v>
      </c>
      <c r="T197" s="12" t="s">
        <v>807</v>
      </c>
      <c r="U197" s="16" cm="1">
        <f t="array" ref="U197">IF(T197="",0,COUNTA(_xlfn._xlws.FILTER(_xlfn.TEXTSPLIT(T197,";"), _xlfn.TEXTSPLIT(T197,";")&lt;&gt;"")))</f>
        <v>3</v>
      </c>
      <c r="V197" s="17">
        <f t="shared" si="13"/>
        <v>0.3</v>
      </c>
      <c r="W197" s="12" t="str" cm="1">
        <f t="array" ref="W197">IF(T197="",R197,_xlfn.LET(_xlpm.inv, TRIM(_xlfn.TEXTSPLIT(R197,";")),_xlpm.fol, TRIM(_xlfn.TEXTSPLIT(T197,";")),_xlfn.TEXTJOIN("; ", TRUE, _xlfn._xlws.FILTER(_xlpm.inv, ISNA(MATCH(_xlpm.inv, _xlpm.fol, 0)), ""))
  )
)</f>
        <v>Aramco Ventures; John Doerr; Microsoft Climate Fund; Rio Tinto; Saudi Basic Industries; SDCL Efficiency Income Trust; Siam Cement Public Company</v>
      </c>
      <c r="X197" s="16" cm="1">
        <f t="array" ref="X197">IF(W197="","N/A",COUNTA(_xlfn._xlws.FILTER(_xlfn.TEXTSPLIT(W197,";"), _xlfn.TEXTSPLIT(W197,";")&lt;&gt;"")))</f>
        <v>7</v>
      </c>
      <c r="Y197" s="17">
        <f t="shared" si="14"/>
        <v>0.7</v>
      </c>
      <c r="Z197" s="4" t="s">
        <v>817</v>
      </c>
      <c r="AA197" s="4" t="s">
        <v>831</v>
      </c>
      <c r="AB197" s="4" t="s">
        <v>811</v>
      </c>
      <c r="AC197" s="4" t="s">
        <v>517</v>
      </c>
    </row>
    <row r="198" spans="1:29" x14ac:dyDescent="0.35">
      <c r="A198" s="4">
        <f t="shared" si="15"/>
        <v>196</v>
      </c>
      <c r="B198" s="4" t="s">
        <v>382</v>
      </c>
      <c r="C198" s="4" t="s">
        <v>383</v>
      </c>
      <c r="D198" s="4">
        <v>2019</v>
      </c>
      <c r="E198" s="12" t="s">
        <v>211</v>
      </c>
      <c r="F198" s="4" t="s">
        <v>963</v>
      </c>
      <c r="G198" s="4" t="s">
        <v>1265</v>
      </c>
      <c r="H198" s="4" t="s">
        <v>1266</v>
      </c>
      <c r="I198" s="14"/>
      <c r="J198" s="13">
        <v>44197</v>
      </c>
      <c r="K198" s="25"/>
      <c r="L198" s="14"/>
      <c r="M198" s="14"/>
      <c r="N198" s="4"/>
      <c r="O198" s="18"/>
      <c r="P198" s="14"/>
      <c r="Q198" s="15" t="str">
        <f t="shared" si="12"/>
        <v>N/A</v>
      </c>
      <c r="R198" s="12" t="s">
        <v>717</v>
      </c>
      <c r="S198" s="16" cm="1">
        <f t="array" ref="S198">IF(R198="",0,COUNTA(_xlfn._xlws.FILTER(_xlfn.TEXTSPLIT(R198,";"), _xlfn.TEXTSPLIT(R198,";")&lt;&gt;"")))</f>
        <v>1</v>
      </c>
      <c r="T198" s="12"/>
      <c r="U198" s="16" cm="1">
        <f t="array" ref="U198">IF(T198="",0,COUNTA(_xlfn._xlws.FILTER(_xlfn.TEXTSPLIT(T198,";"), _xlfn.TEXTSPLIT(T198,";")&lt;&gt;"")))</f>
        <v>0</v>
      </c>
      <c r="V198" s="17">
        <f t="shared" si="13"/>
        <v>0</v>
      </c>
      <c r="W198" s="12" t="str" cm="1">
        <f t="array" ref="W198">IF(T198="",R198,_xlfn.LET(_xlpm.inv, TRIM(_xlfn.TEXTSPLIT(R198,";")),_xlpm.fol, TRIM(_xlfn.TEXTSPLIT(T198,";")),_xlfn.TEXTJOIN("; ", TRUE, _xlfn._xlws.FILTER(_xlpm.inv, ISNA(MATCH(_xlpm.inv, _xlpm.fol, 0)), ""))
  )
)</f>
        <v xml:space="preserve">Newlight Partners </v>
      </c>
      <c r="X198" s="16" cm="1">
        <f t="array" ref="X198">IF(W198="","N/A",COUNTA(_xlfn._xlws.FILTER(_xlfn.TEXTSPLIT(W198,";"), _xlfn.TEXTSPLIT(W198,";")&lt;&gt;"")))</f>
        <v>1</v>
      </c>
      <c r="Y198" s="17">
        <f t="shared" si="14"/>
        <v>1</v>
      </c>
      <c r="Z198" s="4" t="s">
        <v>815</v>
      </c>
      <c r="AA198" s="4"/>
      <c r="AB198" s="4" t="s">
        <v>877</v>
      </c>
      <c r="AC198" s="4" t="s">
        <v>517</v>
      </c>
    </row>
    <row r="199" spans="1:29" x14ac:dyDescent="0.35">
      <c r="A199" s="4">
        <f t="shared" si="15"/>
        <v>197</v>
      </c>
      <c r="B199" s="4" t="s">
        <v>384</v>
      </c>
      <c r="C199" s="4" t="s">
        <v>385</v>
      </c>
      <c r="D199" s="4">
        <v>2015</v>
      </c>
      <c r="E199" s="12" t="s">
        <v>553</v>
      </c>
      <c r="F199" s="4" t="s">
        <v>960</v>
      </c>
      <c r="G199" s="4" t="s">
        <v>1267</v>
      </c>
      <c r="H199" s="4" t="s">
        <v>1268</v>
      </c>
      <c r="I199" s="14">
        <v>13</v>
      </c>
      <c r="J199" s="13">
        <v>43383</v>
      </c>
      <c r="K199" s="25"/>
      <c r="L199" s="14">
        <v>13</v>
      </c>
      <c r="M199" s="14"/>
      <c r="N199" s="4"/>
      <c r="O199" s="18"/>
      <c r="P199" s="14"/>
      <c r="Q199" s="15">
        <f t="shared" si="12"/>
        <v>0</v>
      </c>
      <c r="R199" s="12" t="s">
        <v>718</v>
      </c>
      <c r="S199" s="16" cm="1">
        <f t="array" ref="S199">IF(R199="",0,COUNTA(_xlfn._xlws.FILTER(_xlfn.TEXTSPLIT(R199,";"), _xlfn.TEXTSPLIT(R199,";")&lt;&gt;"")))</f>
        <v>3</v>
      </c>
      <c r="T199" s="12"/>
      <c r="U199" s="16" cm="1">
        <f t="array" ref="U199">IF(T199="",0,COUNTA(_xlfn._xlws.FILTER(_xlfn.TEXTSPLIT(T199,";"), _xlfn.TEXTSPLIT(T199,";")&lt;&gt;"")))</f>
        <v>0</v>
      </c>
      <c r="V199" s="17">
        <f t="shared" si="13"/>
        <v>0</v>
      </c>
      <c r="W199" s="12" t="str" cm="1">
        <f t="array" ref="W199">IF(T199="",R199,_xlfn.LET(_xlpm.inv, TRIM(_xlfn.TEXTSPLIT(R199,";")),_xlpm.fol, TRIM(_xlfn.TEXTSPLIT(T199,";")),_xlfn.TEXTJOIN("; ", TRUE, _xlfn._xlws.FILTER(_xlpm.inv, ISNA(MATCH(_xlpm.inv, _xlpm.fol, 0)), ""))
  )
)</f>
        <v xml:space="preserve">Ridgevale Enterprises; Vickers Venture Partners; WI Harper Group </v>
      </c>
      <c r="X199" s="16" cm="1">
        <f t="array" ref="X199">IF(W199="","N/A",COUNTA(_xlfn._xlws.FILTER(_xlfn.TEXTSPLIT(W199,";"), _xlfn.TEXTSPLIT(W199,";")&lt;&gt;"")))</f>
        <v>3</v>
      </c>
      <c r="Y199" s="17">
        <f t="shared" si="14"/>
        <v>1</v>
      </c>
      <c r="Z199" s="4" t="s">
        <v>817</v>
      </c>
      <c r="AA199" s="4" t="s">
        <v>828</v>
      </c>
      <c r="AB199" s="4" t="s">
        <v>826</v>
      </c>
      <c r="AC199" s="4" t="s">
        <v>517</v>
      </c>
    </row>
    <row r="200" spans="1:29" ht="29" x14ac:dyDescent="0.35">
      <c r="A200" s="4">
        <f t="shared" si="15"/>
        <v>198</v>
      </c>
      <c r="B200" s="4" t="s">
        <v>384</v>
      </c>
      <c r="C200" s="4" t="s">
        <v>385</v>
      </c>
      <c r="D200" s="4">
        <v>2015</v>
      </c>
      <c r="E200" s="12" t="s">
        <v>553</v>
      </c>
      <c r="F200" s="4" t="s">
        <v>960</v>
      </c>
      <c r="G200" s="4" t="s">
        <v>1267</v>
      </c>
      <c r="H200" s="4" t="s">
        <v>1268</v>
      </c>
      <c r="I200" s="14">
        <v>35</v>
      </c>
      <c r="J200" s="13">
        <v>43578</v>
      </c>
      <c r="K200" s="25">
        <v>0.53</v>
      </c>
      <c r="L200" s="14">
        <v>22</v>
      </c>
      <c r="M200" s="14"/>
      <c r="N200" s="4"/>
      <c r="O200" s="18"/>
      <c r="P200" s="14"/>
      <c r="Q200" s="15">
        <f t="shared" si="12"/>
        <v>0</v>
      </c>
      <c r="R200" s="12" t="s">
        <v>720</v>
      </c>
      <c r="S200" s="16" cm="1">
        <f t="array" ref="S200">IF(R200="",0,COUNTA(_xlfn._xlws.FILTER(_xlfn.TEXTSPLIT(R200,";"), _xlfn.TEXTSPLIT(R200,";")&lt;&gt;"")))</f>
        <v>3</v>
      </c>
      <c r="T200" s="12" t="s">
        <v>808</v>
      </c>
      <c r="U200" s="16" cm="1">
        <f t="array" ref="U200">IF(T200="",0,COUNTA(_xlfn._xlws.FILTER(_xlfn.TEXTSPLIT(T200,";"), _xlfn.TEXTSPLIT(T200,";")&lt;&gt;"")))</f>
        <v>2</v>
      </c>
      <c r="V200" s="17">
        <f t="shared" si="13"/>
        <v>0.66666666666666663</v>
      </c>
      <c r="W200" s="12" t="str" cm="1">
        <f t="array" ref="W200">IF(T200="",R200,_xlfn.LET(_xlpm.inv, TRIM(_xlfn.TEXTSPLIT(R200,";")),_xlpm.fol, TRIM(_xlfn.TEXTSPLIT(T200,";")),_xlfn.TEXTJOIN("; ", TRUE, _xlfn._xlws.FILTER(_xlpm.inv, ISNA(MATCH(_xlpm.inv, _xlpm.fol, 0)), ""))
  )
)</f>
        <v>Eversource Retirement Plan Master Trust</v>
      </c>
      <c r="X200" s="16" cm="1">
        <f t="array" ref="X200">IF(W200="","N/A",COUNTA(_xlfn._xlws.FILTER(_xlfn.TEXTSPLIT(W200,";"), _xlfn.TEXTSPLIT(W200,";")&lt;&gt;"")))</f>
        <v>1</v>
      </c>
      <c r="Y200" s="17">
        <f t="shared" si="14"/>
        <v>0.33333333333333331</v>
      </c>
      <c r="Z200" s="4" t="s">
        <v>817</v>
      </c>
      <c r="AA200" s="4" t="s">
        <v>820</v>
      </c>
      <c r="AB200" s="4" t="s">
        <v>826</v>
      </c>
      <c r="AC200" s="4" t="s">
        <v>517</v>
      </c>
    </row>
    <row r="201" spans="1:29" ht="29" x14ac:dyDescent="0.35">
      <c r="A201" s="4">
        <f t="shared" si="15"/>
        <v>199</v>
      </c>
      <c r="B201" s="4" t="s">
        <v>384</v>
      </c>
      <c r="C201" s="4" t="s">
        <v>385</v>
      </c>
      <c r="D201" s="4">
        <v>2015</v>
      </c>
      <c r="E201" s="12" t="s">
        <v>553</v>
      </c>
      <c r="F201" s="4" t="s">
        <v>960</v>
      </c>
      <c r="G201" s="4" t="s">
        <v>1267</v>
      </c>
      <c r="H201" s="4" t="s">
        <v>1268</v>
      </c>
      <c r="I201" s="14">
        <v>263.10000000000002</v>
      </c>
      <c r="J201" s="13">
        <v>44523</v>
      </c>
      <c r="K201" s="25">
        <v>0.81</v>
      </c>
      <c r="L201" s="14">
        <v>95.1</v>
      </c>
      <c r="M201" s="14"/>
      <c r="N201" s="4"/>
      <c r="O201" s="18"/>
      <c r="P201" s="14"/>
      <c r="Q201" s="15">
        <f t="shared" si="12"/>
        <v>0</v>
      </c>
      <c r="R201" s="12" t="s">
        <v>721</v>
      </c>
      <c r="S201" s="16" cm="1">
        <f t="array" ref="S201">IF(R201="",0,COUNTA(_xlfn._xlws.FILTER(_xlfn.TEXTSPLIT(R201,";"), _xlfn.TEXTSPLIT(R201,";")&lt;&gt;"")))</f>
        <v>4</v>
      </c>
      <c r="T201" s="12" t="s">
        <v>809</v>
      </c>
      <c r="U201" s="16" cm="1">
        <f t="array" ref="U201">IF(T201="",0,COUNTA(_xlfn._xlws.FILTER(_xlfn.TEXTSPLIT(T201,";"), _xlfn.TEXTSPLIT(T201,";")&lt;&gt;"")))</f>
        <v>2</v>
      </c>
      <c r="V201" s="17">
        <f t="shared" si="13"/>
        <v>0.5</v>
      </c>
      <c r="W201" s="12" t="str" cm="1">
        <f t="array" ref="W201">IF(T201="",R201,_xlfn.LET(_xlpm.inv, TRIM(_xlfn.TEXTSPLIT(R201,";")),_xlpm.fol, TRIM(_xlfn.TEXTSPLIT(T201,";")),_xlfn.TEXTJOIN("; ", TRUE, _xlfn._xlws.FILTER(_xlpm.inv, ISNA(MATCH(_xlpm.inv, _xlpm.fol, 0)), ""))
  )
)</f>
        <v>CPV/CAP Pensionskasse Coop; Optimas Capital Partners; Temasek Holdings</v>
      </c>
      <c r="X201" s="16" cm="1">
        <f t="array" ref="X201">IF(W201="","N/A",COUNTA(_xlfn._xlws.FILTER(_xlfn.TEXTSPLIT(W201,";"), _xlfn.TEXTSPLIT(W201,";")&lt;&gt;"")))</f>
        <v>3</v>
      </c>
      <c r="Y201" s="17">
        <f t="shared" si="14"/>
        <v>0.75</v>
      </c>
      <c r="Z201" s="4" t="s">
        <v>810</v>
      </c>
      <c r="AA201" s="4" t="s">
        <v>823</v>
      </c>
      <c r="AB201" s="4" t="s">
        <v>826</v>
      </c>
      <c r="AC201" s="4" t="s">
        <v>517</v>
      </c>
    </row>
    <row r="202" spans="1:29" x14ac:dyDescent="0.35">
      <c r="A202" s="4">
        <f t="shared" si="15"/>
        <v>200</v>
      </c>
      <c r="B202" s="4" t="s">
        <v>129</v>
      </c>
      <c r="C202" s="4" t="s">
        <v>386</v>
      </c>
      <c r="D202" s="4">
        <v>2016</v>
      </c>
      <c r="E202" s="12" t="s">
        <v>897</v>
      </c>
      <c r="F202" s="4" t="s">
        <v>557</v>
      </c>
      <c r="G202" s="4" t="s">
        <v>1269</v>
      </c>
      <c r="H202" s="4" t="s">
        <v>1270</v>
      </c>
      <c r="I202" s="14">
        <v>300</v>
      </c>
      <c r="J202" s="13">
        <v>43857</v>
      </c>
      <c r="K202" s="25"/>
      <c r="L202" s="14">
        <v>300</v>
      </c>
      <c r="M202" s="14"/>
      <c r="N202" s="4"/>
      <c r="O202" s="18"/>
      <c r="P202" s="14"/>
      <c r="Q202" s="15">
        <f t="shared" si="12"/>
        <v>0</v>
      </c>
      <c r="R202" s="12" t="s">
        <v>677</v>
      </c>
      <c r="S202" s="16" cm="1">
        <f t="array" ref="S202">IF(R202="",0,COUNTA(_xlfn._xlws.FILTER(_xlfn.TEXTSPLIT(R202,";"), _xlfn.TEXTSPLIT(R202,";")&lt;&gt;"")))</f>
        <v>1</v>
      </c>
      <c r="T202" s="12"/>
      <c r="U202" s="16" cm="1">
        <f t="array" ref="U202">IF(T202="",0,COUNTA(_xlfn._xlws.FILTER(_xlfn.TEXTSPLIT(T202,";"), _xlfn.TEXTSPLIT(T202,";")&lt;&gt;"")))</f>
        <v>0</v>
      </c>
      <c r="V202" s="17">
        <f t="shared" si="13"/>
        <v>0</v>
      </c>
      <c r="W202" s="12" t="str" cm="1">
        <f t="array" ref="W202">IF(T202="",R202,_xlfn.LET(_xlpm.inv, TRIM(_xlfn.TEXTSPLIT(R202,";")),_xlpm.fol, TRIM(_xlfn.TEXTSPLIT(T202,";")),_xlfn.TEXTJOIN("; ", TRUE, _xlfn._xlws.FILTER(_xlpm.inv, ISNA(MATCH(_xlpm.inv, _xlpm.fol, 0)), ""))
  )
)</f>
        <v xml:space="preserve">Warburg Pincus </v>
      </c>
      <c r="X202" s="16" cm="1">
        <f t="array" ref="X202">IF(W202="","N/A",COUNTA(_xlfn._xlws.FILTER(_xlfn.TEXTSPLIT(W202,";"), _xlfn.TEXTSPLIT(W202,";")&lt;&gt;"")))</f>
        <v>1</v>
      </c>
      <c r="Y202" s="17">
        <f t="shared" si="14"/>
        <v>1</v>
      </c>
      <c r="Z202" s="4" t="s">
        <v>815</v>
      </c>
      <c r="AA202" s="4"/>
      <c r="AB202" s="4" t="s">
        <v>822</v>
      </c>
      <c r="AC202" s="4" t="s">
        <v>517</v>
      </c>
    </row>
    <row r="203" spans="1:29" x14ac:dyDescent="0.35">
      <c r="A203" s="4">
        <f t="shared" si="15"/>
        <v>201</v>
      </c>
      <c r="B203" s="4" t="s">
        <v>130</v>
      </c>
      <c r="C203" s="4" t="s">
        <v>331</v>
      </c>
      <c r="D203" s="4">
        <v>2022</v>
      </c>
      <c r="E203" s="12" t="s">
        <v>553</v>
      </c>
      <c r="F203" s="4" t="s">
        <v>963</v>
      </c>
      <c r="G203" s="4" t="s">
        <v>1271</v>
      </c>
      <c r="H203" s="4" t="s">
        <v>1272</v>
      </c>
      <c r="I203" s="14">
        <v>0.5</v>
      </c>
      <c r="J203" s="13">
        <v>45627</v>
      </c>
      <c r="K203" s="25"/>
      <c r="L203" s="14">
        <v>0.5</v>
      </c>
      <c r="M203" s="14">
        <v>5</v>
      </c>
      <c r="N203" s="4"/>
      <c r="O203" s="18"/>
      <c r="P203" s="14"/>
      <c r="Q203" s="15">
        <f t="shared" si="12"/>
        <v>0</v>
      </c>
      <c r="R203" s="12" t="s">
        <v>722</v>
      </c>
      <c r="S203" s="16" cm="1">
        <f t="array" ref="S203">IF(R203="",0,COUNTA(_xlfn._xlws.FILTER(_xlfn.TEXTSPLIT(R203,";"), _xlfn.TEXTSPLIT(R203,";")&lt;&gt;"")))</f>
        <v>3</v>
      </c>
      <c r="T203" s="12"/>
      <c r="U203" s="16" cm="1">
        <f t="array" ref="U203">IF(T203="",0,COUNTA(_xlfn._xlws.FILTER(_xlfn.TEXTSPLIT(T203,";"), _xlfn.TEXTSPLIT(T203,";")&lt;&gt;"")))</f>
        <v>0</v>
      </c>
      <c r="V203" s="17">
        <f t="shared" si="13"/>
        <v>0</v>
      </c>
      <c r="W203" s="12" t="str" cm="1">
        <f t="array" ref="W203">IF(T203="",R203,_xlfn.LET(_xlpm.inv, TRIM(_xlfn.TEXTSPLIT(R203,";")),_xlpm.fol, TRIM(_xlfn.TEXTSPLIT(T203,";")),_xlfn.TEXTJOIN("; ", TRUE, _xlfn._xlws.FILTER(_xlpm.inv, ISNA(MATCH(_xlpm.inv, _xlpm.fol, 0)), ""))
  )
)</f>
        <v>Anthropocene Ventures; E8; Five Two Five</v>
      </c>
      <c r="X203" s="16" cm="1">
        <f t="array" ref="X203">IF(W203="","N/A",COUNTA(_xlfn._xlws.FILTER(_xlfn.TEXTSPLIT(W203,";"), _xlfn.TEXTSPLIT(W203,";")&lt;&gt;"")))</f>
        <v>3</v>
      </c>
      <c r="Y203" s="17">
        <f t="shared" si="14"/>
        <v>1</v>
      </c>
      <c r="Z203" s="4" t="s">
        <v>817</v>
      </c>
      <c r="AA203" s="4" t="s">
        <v>79</v>
      </c>
      <c r="AB203" s="4" t="s">
        <v>825</v>
      </c>
      <c r="AC203" s="4" t="s">
        <v>517</v>
      </c>
    </row>
    <row r="204" spans="1:29" ht="29" x14ac:dyDescent="0.35">
      <c r="A204" s="4">
        <f t="shared" si="15"/>
        <v>202</v>
      </c>
      <c r="B204" s="4" t="s">
        <v>131</v>
      </c>
      <c r="C204" s="4" t="s">
        <v>198</v>
      </c>
      <c r="D204" s="4">
        <v>2016</v>
      </c>
      <c r="E204" s="12" t="s">
        <v>950</v>
      </c>
      <c r="F204" s="4" t="s">
        <v>961</v>
      </c>
      <c r="G204" s="4" t="s">
        <v>1273</v>
      </c>
      <c r="H204" s="4" t="s">
        <v>1274</v>
      </c>
      <c r="I204" s="14">
        <v>1.81</v>
      </c>
      <c r="J204" s="13">
        <v>42939</v>
      </c>
      <c r="K204" s="25"/>
      <c r="L204" s="14">
        <v>1.75</v>
      </c>
      <c r="M204" s="14">
        <v>15.25</v>
      </c>
      <c r="N204" s="4"/>
      <c r="O204" s="18"/>
      <c r="P204" s="14"/>
      <c r="Q204" s="15">
        <f t="shared" si="12"/>
        <v>0</v>
      </c>
      <c r="R204" s="12" t="s">
        <v>723</v>
      </c>
      <c r="S204" s="16" cm="1">
        <f t="array" ref="S204">IF(R204="",0,COUNTA(_xlfn._xlws.FILTER(_xlfn.TEXTSPLIT(R204,";"), _xlfn.TEXTSPLIT(R204,";")&lt;&gt;"")))</f>
        <v>7</v>
      </c>
      <c r="T204" s="12"/>
      <c r="U204" s="16" cm="1">
        <f t="array" ref="U204">IF(T204="",0,COUNTA(_xlfn._xlws.FILTER(_xlfn.TEXTSPLIT(T204,";"), _xlfn.TEXTSPLIT(T204,";")&lt;&gt;"")))</f>
        <v>0</v>
      </c>
      <c r="V204" s="17">
        <f t="shared" si="13"/>
        <v>0</v>
      </c>
      <c r="W204" s="12" t="str" cm="1">
        <f t="array" ref="W204">IF(T204="",R204,_xlfn.LET(_xlpm.inv, TRIM(_xlfn.TEXTSPLIT(R204,";")),_xlpm.fol, TRIM(_xlfn.TEXTSPLIT(T204,";")),_xlfn.TEXTJOIN("; ", TRUE, _xlfn._xlws.FILTER(_xlpm.inv, ISNA(MATCH(_xlpm.inv, _xlpm.fol, 0)), ""))
  )
)</f>
        <v>Aditya Mathur; Arsat Industries; Bhavya Khanna; Elev8.vc; Elevate Ventures; Sai Anurag; SM Ventures</v>
      </c>
      <c r="X204" s="16" cm="1">
        <f t="array" ref="X204">IF(W204="","N/A",COUNTA(_xlfn._xlws.FILTER(_xlfn.TEXTSPLIT(W204,";"), _xlfn.TEXTSPLIT(W204,";")&lt;&gt;"")))</f>
        <v>7</v>
      </c>
      <c r="Y204" s="17">
        <f t="shared" si="14"/>
        <v>1</v>
      </c>
      <c r="Z204" s="4" t="s">
        <v>812</v>
      </c>
      <c r="AA204" s="4" t="s">
        <v>79</v>
      </c>
      <c r="AB204" s="4" t="s">
        <v>849</v>
      </c>
      <c r="AC204" s="4" t="s">
        <v>517</v>
      </c>
    </row>
    <row r="205" spans="1:29" ht="29" x14ac:dyDescent="0.35">
      <c r="A205" s="4">
        <f t="shared" si="15"/>
        <v>203</v>
      </c>
      <c r="B205" s="4" t="s">
        <v>387</v>
      </c>
      <c r="C205" s="4" t="s">
        <v>167</v>
      </c>
      <c r="D205" s="4">
        <v>2012</v>
      </c>
      <c r="E205" s="12" t="s">
        <v>907</v>
      </c>
      <c r="F205" s="4" t="s">
        <v>960</v>
      </c>
      <c r="G205" s="4" t="s">
        <v>1275</v>
      </c>
      <c r="H205" s="4" t="s">
        <v>1276</v>
      </c>
      <c r="I205" s="14">
        <v>250</v>
      </c>
      <c r="J205" s="13">
        <v>45204</v>
      </c>
      <c r="K205" s="25"/>
      <c r="L205" s="14">
        <v>250</v>
      </c>
      <c r="M205" s="14"/>
      <c r="N205" s="4"/>
      <c r="O205" s="18"/>
      <c r="P205" s="14"/>
      <c r="Q205" s="15">
        <f t="shared" si="12"/>
        <v>0</v>
      </c>
      <c r="R205" s="12" t="s">
        <v>724</v>
      </c>
      <c r="S205" s="16" cm="1">
        <f t="array" ref="S205">IF(R205="",0,COUNTA(_xlfn._xlws.FILTER(_xlfn.TEXTSPLIT(R205,";"), _xlfn.TEXTSPLIT(R205,";")&lt;&gt;"")))</f>
        <v>1</v>
      </c>
      <c r="T205" s="12"/>
      <c r="U205" s="16" cm="1">
        <f t="array" ref="U205">IF(T205="",0,COUNTA(_xlfn._xlws.FILTER(_xlfn.TEXTSPLIT(T205,";"), _xlfn.TEXTSPLIT(T205,";")&lt;&gt;"")))</f>
        <v>0</v>
      </c>
      <c r="V205" s="17">
        <f t="shared" si="13"/>
        <v>0</v>
      </c>
      <c r="W205" s="12" t="str" cm="1">
        <f t="array" ref="W205">IF(T205="",R205,_xlfn.LET(_xlpm.inv, TRIM(_xlfn.TEXTSPLIT(R205,";")),_xlpm.fol, TRIM(_xlfn.TEXTSPLIT(T205,";")),_xlfn.TEXTJOIN("; ", TRUE, _xlfn._xlws.FILTER(_xlpm.inv, ISNA(MATCH(_xlpm.inv, _xlpm.fol, 0)), ""))
  )
)</f>
        <v xml:space="preserve">Global Emerging Markets </v>
      </c>
      <c r="X205" s="16" cm="1">
        <f t="array" ref="X205">IF(W205="","N/A",COUNTA(_xlfn._xlws.FILTER(_xlfn.TEXTSPLIT(W205,";"), _xlfn.TEXTSPLIT(W205,";")&lt;&gt;"")))</f>
        <v>1</v>
      </c>
      <c r="Y205" s="17">
        <f t="shared" si="14"/>
        <v>1</v>
      </c>
      <c r="Z205" s="4" t="s">
        <v>815</v>
      </c>
      <c r="AA205" s="4"/>
      <c r="AB205" s="4" t="s">
        <v>816</v>
      </c>
      <c r="AC205" s="4" t="s">
        <v>517</v>
      </c>
    </row>
    <row r="206" spans="1:29" x14ac:dyDescent="0.35">
      <c r="A206" s="4">
        <f t="shared" si="15"/>
        <v>204</v>
      </c>
      <c r="B206" s="4" t="s">
        <v>388</v>
      </c>
      <c r="C206" s="4" t="s">
        <v>389</v>
      </c>
      <c r="D206" s="4">
        <v>2002</v>
      </c>
      <c r="E206" s="12" t="s">
        <v>180</v>
      </c>
      <c r="F206" s="4" t="s">
        <v>959</v>
      </c>
      <c r="G206" s="4" t="s">
        <v>1277</v>
      </c>
      <c r="H206" s="4" t="s">
        <v>1278</v>
      </c>
      <c r="I206" s="14">
        <v>3.5</v>
      </c>
      <c r="J206" s="13">
        <v>42612</v>
      </c>
      <c r="K206" s="25"/>
      <c r="L206" s="14">
        <v>2</v>
      </c>
      <c r="M206" s="14"/>
      <c r="N206" s="4"/>
      <c r="O206" s="18"/>
      <c r="P206" s="14">
        <v>2</v>
      </c>
      <c r="Q206" s="15">
        <f t="shared" si="12"/>
        <v>1</v>
      </c>
      <c r="R206" s="12"/>
      <c r="S206" s="16" cm="1">
        <f t="array" ref="S206">IF(R206="",0,COUNTA(_xlfn._xlws.FILTER(_xlfn.TEXTSPLIT(R206,";"), _xlfn.TEXTSPLIT(R206,";")&lt;&gt;"")))</f>
        <v>0</v>
      </c>
      <c r="T206" s="12"/>
      <c r="U206" s="16" cm="1">
        <f t="array" ref="U206">IF(T206="",0,COUNTA(_xlfn._xlws.FILTER(_xlfn.TEXTSPLIT(T206,";"), _xlfn.TEXTSPLIT(T206,";")&lt;&gt;"")))</f>
        <v>0</v>
      </c>
      <c r="V206" s="17" t="str">
        <f t="shared" si="13"/>
        <v>N/A</v>
      </c>
      <c r="W206" s="12" cm="1">
        <f t="array" ref="W206">IF(T206="",R206,_xlfn.LET(_xlpm.inv, TRIM(_xlfn.TEXTSPLIT(R206,";")),_xlpm.fol, TRIM(_xlfn.TEXTSPLIT(T206,";")),_xlfn.TEXTJOIN("; ", TRUE, _xlfn._xlws.FILTER(_xlpm.inv, ISNA(MATCH(_xlpm.inv, _xlpm.fol, 0)), ""))
  )
)</f>
        <v>0</v>
      </c>
      <c r="X206" s="16" cm="1">
        <f t="array" ref="X206">IF(W206="","N/A",COUNTA(_xlfn._xlws.FILTER(_xlfn.TEXTSPLIT(W206,";"), _xlfn.TEXTSPLIT(W206,";")&lt;&gt;"")))</f>
        <v>1</v>
      </c>
      <c r="Y206" s="17" t="str">
        <f t="shared" si="14"/>
        <v>N/A</v>
      </c>
      <c r="Z206" s="4" t="s">
        <v>846</v>
      </c>
      <c r="AA206" s="4" t="s">
        <v>846</v>
      </c>
      <c r="AB206" s="4" t="s">
        <v>819</v>
      </c>
      <c r="AC206" s="4" t="s">
        <v>517</v>
      </c>
    </row>
    <row r="207" spans="1:29" x14ac:dyDescent="0.35">
      <c r="A207" s="4">
        <f t="shared" si="15"/>
        <v>205</v>
      </c>
      <c r="B207" s="4" t="s">
        <v>390</v>
      </c>
      <c r="C207" s="4" t="s">
        <v>391</v>
      </c>
      <c r="D207" s="4">
        <v>2007</v>
      </c>
      <c r="E207" s="12" t="s">
        <v>180</v>
      </c>
      <c r="F207" s="4" t="s">
        <v>557</v>
      </c>
      <c r="G207" s="4" t="s">
        <v>1279</v>
      </c>
      <c r="H207" s="4" t="s">
        <v>1280</v>
      </c>
      <c r="I207" s="14"/>
      <c r="J207" s="13">
        <v>45323</v>
      </c>
      <c r="K207" s="25"/>
      <c r="L207" s="14"/>
      <c r="M207" s="14"/>
      <c r="N207" s="4"/>
      <c r="O207" s="18"/>
      <c r="P207" s="14"/>
      <c r="Q207" s="15" t="str">
        <f t="shared" si="12"/>
        <v>N/A</v>
      </c>
      <c r="R207" s="12" t="s">
        <v>509</v>
      </c>
      <c r="S207" s="16" cm="1">
        <f t="array" ref="S207">IF(R207="",0,COUNTA(_xlfn._xlws.FILTER(_xlfn.TEXTSPLIT(R207,";"), _xlfn.TEXTSPLIT(R207,";")&lt;&gt;"")))</f>
        <v>1</v>
      </c>
      <c r="T207" s="12"/>
      <c r="U207" s="16" cm="1">
        <f t="array" ref="U207">IF(T207="",0,COUNTA(_xlfn._xlws.FILTER(_xlfn.TEXTSPLIT(T207,";"), _xlfn.TEXTSPLIT(T207,";")&lt;&gt;"")))</f>
        <v>0</v>
      </c>
      <c r="V207" s="17">
        <f t="shared" si="13"/>
        <v>0</v>
      </c>
      <c r="W207" s="12" t="str" cm="1">
        <f t="array" ref="W207">IF(T207="",R207,_xlfn.LET(_xlpm.inv, TRIM(_xlfn.TEXTSPLIT(R207,";")),_xlpm.fol, TRIM(_xlfn.TEXTSPLIT(T207,";")),_xlfn.TEXTJOIN("; ", TRUE, _xlfn._xlws.FILTER(_xlpm.inv, ISNA(MATCH(_xlpm.inv, _xlpm.fol, 0)), ""))
  )
)</f>
        <v xml:space="preserve">Eagle Private Capital </v>
      </c>
      <c r="X207" s="16" cm="1">
        <f t="array" ref="X207">IF(W207="","N/A",COUNTA(_xlfn._xlws.FILTER(_xlfn.TEXTSPLIT(W207,";"), _xlfn.TEXTSPLIT(W207,";")&lt;&gt;"")))</f>
        <v>1</v>
      </c>
      <c r="Y207" s="17">
        <f t="shared" si="14"/>
        <v>1</v>
      </c>
      <c r="Z207" s="4" t="s">
        <v>815</v>
      </c>
      <c r="AA207" s="4"/>
      <c r="AB207" s="4" t="s">
        <v>811</v>
      </c>
      <c r="AC207" s="4" t="s">
        <v>517</v>
      </c>
    </row>
    <row r="208" spans="1:29" ht="43.5" x14ac:dyDescent="0.35">
      <c r="A208" s="4">
        <f t="shared" si="15"/>
        <v>206</v>
      </c>
      <c r="B208" s="4" t="s">
        <v>392</v>
      </c>
      <c r="C208" s="4" t="s">
        <v>393</v>
      </c>
      <c r="D208" s="4">
        <v>2011</v>
      </c>
      <c r="E208" s="12" t="s">
        <v>927</v>
      </c>
      <c r="F208" s="4" t="s">
        <v>961</v>
      </c>
      <c r="G208" s="4" t="s">
        <v>1281</v>
      </c>
      <c r="H208" s="4" t="s">
        <v>1282</v>
      </c>
      <c r="I208" s="14">
        <v>11.14</v>
      </c>
      <c r="J208" s="13">
        <v>42657</v>
      </c>
      <c r="K208" s="25">
        <v>1.42</v>
      </c>
      <c r="L208" s="14">
        <v>6.5</v>
      </c>
      <c r="M208" s="14">
        <v>13.5</v>
      </c>
      <c r="N208" s="4" t="s">
        <v>471</v>
      </c>
      <c r="O208" s="18">
        <v>1.44</v>
      </c>
      <c r="P208" s="14"/>
      <c r="Q208" s="15">
        <f t="shared" si="12"/>
        <v>0</v>
      </c>
      <c r="R208" s="12" t="s">
        <v>725</v>
      </c>
      <c r="S208" s="16" cm="1">
        <f t="array" ref="S208">IF(R208="",0,COUNTA(_xlfn._xlws.FILTER(_xlfn.TEXTSPLIT(R208,";"), _xlfn.TEXTSPLIT(R208,";")&lt;&gt;"")))</f>
        <v>8</v>
      </c>
      <c r="T208" s="12"/>
      <c r="U208" s="16" cm="1">
        <f t="array" ref="U208">IF(T208="",0,COUNTA(_xlfn._xlws.FILTER(_xlfn.TEXTSPLIT(T208,";"), _xlfn.TEXTSPLIT(T208,";")&lt;&gt;"")))</f>
        <v>0</v>
      </c>
      <c r="V208" s="17">
        <f t="shared" si="13"/>
        <v>0</v>
      </c>
      <c r="W208" s="12" t="str" cm="1">
        <f t="array" ref="W208">IF(T208="",R208,_xlfn.LET(_xlpm.inv, TRIM(_xlfn.TEXTSPLIT(R208,";")),_xlpm.fol, TRIM(_xlfn.TEXTSPLIT(T208,";")),_xlfn.TEXTJOIN("; ", TRUE, _xlfn._xlws.FILTER(_xlpm.inv, ISNA(MATCH(_xlpm.inv, _xlpm.fol, 0)), ""))
  )
)</f>
        <v>Cornell University; Coulometrics; In-Q-Tel; New York Ventures; Phoenix Venture Partners; Rochester Institute of Technology Venture Fund; Syensqo Ventures; University of Colorado</v>
      </c>
      <c r="X208" s="16" cm="1">
        <f t="array" ref="X208">IF(W208="","N/A",COUNTA(_xlfn._xlws.FILTER(_xlfn.TEXTSPLIT(W208,";"), _xlfn.TEXTSPLIT(W208,";")&lt;&gt;"")))</f>
        <v>8</v>
      </c>
      <c r="Y208" s="17">
        <f t="shared" si="14"/>
        <v>1</v>
      </c>
      <c r="Z208" s="4" t="s">
        <v>810</v>
      </c>
      <c r="AA208" s="4" t="s">
        <v>830</v>
      </c>
      <c r="AB208" s="4" t="s">
        <v>888</v>
      </c>
      <c r="AC208" s="4" t="s">
        <v>517</v>
      </c>
    </row>
    <row r="209" spans="1:29" x14ac:dyDescent="0.35">
      <c r="A209" s="4">
        <f t="shared" si="15"/>
        <v>207</v>
      </c>
      <c r="B209" s="4" t="s">
        <v>394</v>
      </c>
      <c r="C209" s="4" t="s">
        <v>195</v>
      </c>
      <c r="D209" s="4">
        <v>2010</v>
      </c>
      <c r="E209" s="12" t="s">
        <v>925</v>
      </c>
      <c r="F209" s="4" t="s">
        <v>557</v>
      </c>
      <c r="G209" s="4" t="s">
        <v>1283</v>
      </c>
      <c r="H209" s="4" t="s">
        <v>1284</v>
      </c>
      <c r="I209" s="14">
        <v>52.34</v>
      </c>
      <c r="J209" s="13">
        <v>42158</v>
      </c>
      <c r="K209" s="25">
        <v>0.98</v>
      </c>
      <c r="L209" s="14">
        <v>17.350000000000001</v>
      </c>
      <c r="M209" s="14">
        <v>57.61</v>
      </c>
      <c r="N209" s="4" t="s">
        <v>474</v>
      </c>
      <c r="O209" s="18">
        <v>0.56999999999999995</v>
      </c>
      <c r="P209" s="14"/>
      <c r="Q209" s="15">
        <f t="shared" si="12"/>
        <v>0</v>
      </c>
      <c r="R209" s="12"/>
      <c r="S209" s="16" cm="1">
        <f t="array" ref="S209">IF(R209="",0,COUNTA(_xlfn._xlws.FILTER(_xlfn.TEXTSPLIT(R209,";"), _xlfn.TEXTSPLIT(R209,";")&lt;&gt;"")))</f>
        <v>0</v>
      </c>
      <c r="T209" s="12"/>
      <c r="U209" s="16" cm="1">
        <f t="array" ref="U209">IF(T209="",0,COUNTA(_xlfn._xlws.FILTER(_xlfn.TEXTSPLIT(T209,";"), _xlfn.TEXTSPLIT(T209,";")&lt;&gt;"")))</f>
        <v>0</v>
      </c>
      <c r="V209" s="17" t="str">
        <f t="shared" si="13"/>
        <v>N/A</v>
      </c>
      <c r="W209" s="12" cm="1">
        <f t="array" ref="W209">IF(T209="",R209,_xlfn.LET(_xlpm.inv, TRIM(_xlfn.TEXTSPLIT(R209,";")),_xlpm.fol, TRIM(_xlfn.TEXTSPLIT(T209,";")),_xlfn.TEXTJOIN("; ", TRUE, _xlfn._xlws.FILTER(_xlpm.inv, ISNA(MATCH(_xlpm.inv, _xlpm.fol, 0)), ""))
  )
)</f>
        <v>0</v>
      </c>
      <c r="X209" s="16" cm="1">
        <f t="array" ref="X209">IF(W209="","N/A",COUNTA(_xlfn._xlws.FILTER(_xlfn.TEXTSPLIT(W209,";"), _xlfn.TEXTSPLIT(W209,";")&lt;&gt;"")))</f>
        <v>1</v>
      </c>
      <c r="Y209" s="17" t="str">
        <f t="shared" si="14"/>
        <v>N/A</v>
      </c>
      <c r="Z209" s="4" t="s">
        <v>817</v>
      </c>
      <c r="AA209" s="4" t="s">
        <v>823</v>
      </c>
      <c r="AB209" s="4" t="s">
        <v>824</v>
      </c>
      <c r="AC209" s="4" t="s">
        <v>517</v>
      </c>
    </row>
    <row r="210" spans="1:29" x14ac:dyDescent="0.35">
      <c r="A210" s="4">
        <f t="shared" si="15"/>
        <v>208</v>
      </c>
      <c r="B210" s="4" t="s">
        <v>394</v>
      </c>
      <c r="C210" s="4" t="s">
        <v>195</v>
      </c>
      <c r="D210" s="4">
        <v>2010</v>
      </c>
      <c r="E210" s="12" t="s">
        <v>925</v>
      </c>
      <c r="F210" s="4" t="s">
        <v>557</v>
      </c>
      <c r="G210" s="4" t="s">
        <v>1283</v>
      </c>
      <c r="H210" s="4" t="s">
        <v>1284</v>
      </c>
      <c r="I210" s="14">
        <v>632.72</v>
      </c>
      <c r="J210" s="13">
        <v>45686</v>
      </c>
      <c r="K210" s="25"/>
      <c r="L210" s="14">
        <v>65</v>
      </c>
      <c r="M210" s="14"/>
      <c r="N210" s="4"/>
      <c r="O210" s="18"/>
      <c r="P210" s="14"/>
      <c r="Q210" s="15">
        <f t="shared" si="12"/>
        <v>0</v>
      </c>
      <c r="R210" s="12" t="s">
        <v>726</v>
      </c>
      <c r="S210" s="16" cm="1">
        <f t="array" ref="S210">IF(R210="",0,COUNTA(_xlfn._xlws.FILTER(_xlfn.TEXTSPLIT(R210,";"), _xlfn.TEXTSPLIT(R210,";")&lt;&gt;"")))</f>
        <v>2</v>
      </c>
      <c r="T210" s="12" t="s">
        <v>760</v>
      </c>
      <c r="U210" s="16" cm="1">
        <f t="array" ref="U210">IF(T210="",0,COUNTA(_xlfn._xlws.FILTER(_xlfn.TEXTSPLIT(T210,";"), _xlfn.TEXTSPLIT(T210,";")&lt;&gt;"")))</f>
        <v>1</v>
      </c>
      <c r="V210" s="17">
        <f t="shared" si="13"/>
        <v>0.5</v>
      </c>
      <c r="W210" s="12" t="str" cm="1">
        <f t="array" ref="W210">IF(T210="",R210,_xlfn.LET(_xlpm.inv, TRIM(_xlfn.TEXTSPLIT(R210,";")),_xlpm.fol, TRIM(_xlfn.TEXTSPLIT(T210,";")),_xlfn.TEXTJOIN("; ", TRUE, _xlfn._xlws.FILTER(_xlpm.inv, ISNA(MATCH(_xlpm.inv, _xlpm.fol, 0)), ""))
  )
)</f>
        <v>BP Energy Partners</v>
      </c>
      <c r="X210" s="16" cm="1">
        <f t="array" ref="X210">IF(W210="","N/A",COUNTA(_xlfn._xlws.FILTER(_xlfn.TEXTSPLIT(W210,";"), _xlfn.TEXTSPLIT(W210,";")&lt;&gt;"")))</f>
        <v>1</v>
      </c>
      <c r="Y210" s="17">
        <f t="shared" si="14"/>
        <v>0.5</v>
      </c>
      <c r="Z210" s="4" t="s">
        <v>815</v>
      </c>
      <c r="AA210" s="4"/>
      <c r="AB210" s="4" t="s">
        <v>824</v>
      </c>
      <c r="AC210" s="4" t="s">
        <v>517</v>
      </c>
    </row>
    <row r="211" spans="1:29" ht="29" x14ac:dyDescent="0.35">
      <c r="A211" s="4">
        <f t="shared" si="15"/>
        <v>209</v>
      </c>
      <c r="B211" s="4" t="s">
        <v>135</v>
      </c>
      <c r="C211" s="4" t="s">
        <v>319</v>
      </c>
      <c r="D211" s="4">
        <v>2020</v>
      </c>
      <c r="E211" s="12" t="s">
        <v>901</v>
      </c>
      <c r="F211" s="4" t="s">
        <v>557</v>
      </c>
      <c r="G211" s="4" t="s">
        <v>1285</v>
      </c>
      <c r="H211" s="4" t="s">
        <v>1286</v>
      </c>
      <c r="I211" s="14">
        <v>0.94</v>
      </c>
      <c r="J211" s="13">
        <v>44875</v>
      </c>
      <c r="K211" s="25"/>
      <c r="L211" s="14">
        <v>0.92</v>
      </c>
      <c r="M211" s="14"/>
      <c r="N211" s="4"/>
      <c r="O211" s="18"/>
      <c r="P211" s="14">
        <v>0.92</v>
      </c>
      <c r="Q211" s="15">
        <f t="shared" si="12"/>
        <v>1</v>
      </c>
      <c r="R211" s="12" t="s">
        <v>527</v>
      </c>
      <c r="S211" s="16" cm="1">
        <f t="array" ref="S211">IF(R211="",0,COUNTA(_xlfn._xlws.FILTER(_xlfn.TEXTSPLIT(R211,";"), _xlfn.TEXTSPLIT(R211,";")&lt;&gt;"")))</f>
        <v>2</v>
      </c>
      <c r="T211" s="12"/>
      <c r="U211" s="16" cm="1">
        <f t="array" ref="U211">IF(T211="",0,COUNTA(_xlfn._xlws.FILTER(_xlfn.TEXTSPLIT(T211,";"), _xlfn.TEXTSPLIT(T211,";")&lt;&gt;"")))</f>
        <v>0</v>
      </c>
      <c r="V211" s="17">
        <f t="shared" si="13"/>
        <v>0</v>
      </c>
      <c r="W211" s="12" t="str" cm="1">
        <f t="array" ref="W211">IF(T211="",R211,_xlfn.LET(_xlpm.inv, TRIM(_xlfn.TEXTSPLIT(R211,";")),_xlpm.fol, TRIM(_xlfn.TEXTSPLIT(T211,";")),_xlfn.TEXTJOIN("; ", TRUE, _xlfn._xlws.FILTER(_xlpm.inv, ISNA(MATCH(_xlpm.inv, _xlpm.fol, 0)), ""))
  )
)</f>
        <v>Equinor Ventures; Techstars</v>
      </c>
      <c r="X211" s="16" cm="1">
        <f t="array" ref="X211">IF(W211="","N/A",COUNTA(_xlfn._xlws.FILTER(_xlfn.TEXTSPLIT(W211,";"), _xlfn.TEXTSPLIT(W211,";")&lt;&gt;"")))</f>
        <v>2</v>
      </c>
      <c r="Y211" s="17">
        <f t="shared" si="14"/>
        <v>1</v>
      </c>
      <c r="Z211" s="4" t="s">
        <v>812</v>
      </c>
      <c r="AA211" s="4" t="s">
        <v>79</v>
      </c>
      <c r="AB211" s="4" t="s">
        <v>814</v>
      </c>
      <c r="AC211" s="4" t="s">
        <v>517</v>
      </c>
    </row>
    <row r="212" spans="1:29" ht="29" x14ac:dyDescent="0.35">
      <c r="A212" s="4">
        <f t="shared" si="15"/>
        <v>210</v>
      </c>
      <c r="B212" s="4" t="s">
        <v>395</v>
      </c>
      <c r="C212" s="4" t="s">
        <v>396</v>
      </c>
      <c r="D212" s="4">
        <v>2014</v>
      </c>
      <c r="E212" s="12" t="s">
        <v>951</v>
      </c>
      <c r="F212" s="4" t="s">
        <v>557</v>
      </c>
      <c r="G212" s="4" t="s">
        <v>1287</v>
      </c>
      <c r="H212" s="4" t="s">
        <v>1288</v>
      </c>
      <c r="I212" s="14">
        <v>23.93</v>
      </c>
      <c r="J212" s="13">
        <v>44682</v>
      </c>
      <c r="K212" s="25">
        <v>1.42</v>
      </c>
      <c r="L212" s="14">
        <v>12.63</v>
      </c>
      <c r="M212" s="14">
        <v>80</v>
      </c>
      <c r="N212" s="4"/>
      <c r="O212" s="18">
        <v>2.69</v>
      </c>
      <c r="P212" s="14"/>
      <c r="Q212" s="15">
        <f t="shared" si="12"/>
        <v>0</v>
      </c>
      <c r="R212" s="12" t="s">
        <v>528</v>
      </c>
      <c r="S212" s="16" cm="1">
        <f t="array" ref="S212">IF(R212="",0,COUNTA(_xlfn._xlws.FILTER(_xlfn.TEXTSPLIT(R212,";"), _xlfn.TEXTSPLIT(R212,";")&lt;&gt;"")))</f>
        <v>2</v>
      </c>
      <c r="T212" s="12" t="s">
        <v>761</v>
      </c>
      <c r="U212" s="16" cm="1">
        <f t="array" ref="U212">IF(T212="",0,COUNTA(_xlfn._xlws.FILTER(_xlfn.TEXTSPLIT(T212,";"), _xlfn.TEXTSPLIT(T212,";")&lt;&gt;"")))</f>
        <v>1</v>
      </c>
      <c r="V212" s="17">
        <f t="shared" si="13"/>
        <v>0.5</v>
      </c>
      <c r="W212" s="12" t="str" cm="1">
        <f t="array" ref="W212">IF(T212="",R212,_xlfn.LET(_xlpm.inv, TRIM(_xlfn.TEXTSPLIT(R212,";")),_xlpm.fol, TRIM(_xlfn.TEXTSPLIT(T212,";")),_xlfn.TEXTJOIN("; ", TRUE, _xlfn._xlws.FILTER(_xlpm.inv, ISNA(MATCH(_xlpm.inv, _xlpm.fol, 0)), ""))
  )
)</f>
        <v>Innova Capital Partners</v>
      </c>
      <c r="X212" s="16" cm="1">
        <f t="array" ref="X212">IF(W212="","N/A",COUNTA(_xlfn._xlws.FILTER(_xlfn.TEXTSPLIT(W212,";"), _xlfn.TEXTSPLIT(W212,";")&lt;&gt;"")))</f>
        <v>1</v>
      </c>
      <c r="Y212" s="17">
        <f t="shared" si="14"/>
        <v>0.5</v>
      </c>
      <c r="Z212" s="4" t="s">
        <v>810</v>
      </c>
      <c r="AA212" s="4" t="s">
        <v>842</v>
      </c>
      <c r="AB212" s="4" t="s">
        <v>811</v>
      </c>
      <c r="AC212" s="4" t="s">
        <v>517</v>
      </c>
    </row>
    <row r="213" spans="1:29" ht="43.5" x14ac:dyDescent="0.35">
      <c r="A213" s="4">
        <f t="shared" si="15"/>
        <v>211</v>
      </c>
      <c r="B213" s="4" t="s">
        <v>397</v>
      </c>
      <c r="C213" s="4" t="s">
        <v>193</v>
      </c>
      <c r="D213" s="4">
        <v>2016</v>
      </c>
      <c r="E213" s="12" t="s">
        <v>211</v>
      </c>
      <c r="F213" s="4" t="s">
        <v>960</v>
      </c>
      <c r="G213" s="4" t="s">
        <v>1289</v>
      </c>
      <c r="H213" s="4" t="s">
        <v>1290</v>
      </c>
      <c r="I213" s="14">
        <v>85.95</v>
      </c>
      <c r="J213" s="13">
        <v>44089</v>
      </c>
      <c r="K213" s="25">
        <v>1.32</v>
      </c>
      <c r="L213" s="14">
        <v>30.15</v>
      </c>
      <c r="M213" s="14">
        <v>230</v>
      </c>
      <c r="N213" s="4" t="s">
        <v>471</v>
      </c>
      <c r="O213" s="18"/>
      <c r="P213" s="14"/>
      <c r="Q213" s="15">
        <f t="shared" si="12"/>
        <v>0</v>
      </c>
      <c r="R213" s="12" t="s">
        <v>727</v>
      </c>
      <c r="S213" s="16" cm="1">
        <f t="array" ref="S213">IF(R213="",0,COUNTA(_xlfn._xlws.FILTER(_xlfn.TEXTSPLIT(R213,";"), _xlfn.TEXTSPLIT(R213,";")&lt;&gt;"")))</f>
        <v>13</v>
      </c>
      <c r="T213" s="12" t="s">
        <v>762</v>
      </c>
      <c r="U213" s="16" cm="1">
        <f t="array" ref="U213">IF(T213="",0,COUNTA(_xlfn._xlws.FILTER(_xlfn.TEXTSPLIT(T213,";"), _xlfn.TEXTSPLIT(T213,";")&lt;&gt;"")))</f>
        <v>2</v>
      </c>
      <c r="V213" s="17">
        <f t="shared" si="13"/>
        <v>0.15384615384615385</v>
      </c>
      <c r="W213" s="12" t="str" cm="1">
        <f t="array" ref="W213">IF(T213="",R213,_xlfn.LET(_xlpm.inv, TRIM(_xlfn.TEXTSPLIT(R213,";")),_xlpm.fol, TRIM(_xlfn.TEXTSPLIT(T213,";")),_xlfn.TEXTJOIN("; ", TRUE, _xlfn._xlws.FILTER(_xlpm.inv, ISNA(MATCH(_xlpm.inv, _xlpm.fol, 0)), ""))
  )
)</f>
        <v>Flight Ventures; Ford Street Ventures; Harpoon VC; Jonathan Hung; Lowercarbon Capital; McWin Partners; Meron Capital; Next Play Capital; Reform Ventures; Tjucholmen Ventures; Unicorn Venture Partners</v>
      </c>
      <c r="X213" s="16" cm="1">
        <f t="array" ref="X213">IF(W213="","N/A",COUNTA(_xlfn._xlws.FILTER(_xlfn.TEXTSPLIT(W213,";"), _xlfn.TEXTSPLIT(W213,";")&lt;&gt;"")))</f>
        <v>11</v>
      </c>
      <c r="Y213" s="17">
        <f t="shared" si="14"/>
        <v>0.84615384615384615</v>
      </c>
      <c r="Z213" s="4" t="s">
        <v>817</v>
      </c>
      <c r="AA213" s="4" t="s">
        <v>830</v>
      </c>
      <c r="AB213" s="4" t="s">
        <v>878</v>
      </c>
      <c r="AC213" s="4" t="s">
        <v>517</v>
      </c>
    </row>
    <row r="214" spans="1:29" x14ac:dyDescent="0.35">
      <c r="A214" s="4">
        <f t="shared" si="15"/>
        <v>212</v>
      </c>
      <c r="B214" s="4" t="s">
        <v>136</v>
      </c>
      <c r="C214" s="4" t="s">
        <v>398</v>
      </c>
      <c r="D214" s="4">
        <v>2010</v>
      </c>
      <c r="E214" s="12" t="s">
        <v>897</v>
      </c>
      <c r="F214" s="4" t="s">
        <v>557</v>
      </c>
      <c r="G214" s="4" t="s">
        <v>1291</v>
      </c>
      <c r="H214" s="4" t="s">
        <v>1292</v>
      </c>
      <c r="I214" s="14">
        <v>0.25</v>
      </c>
      <c r="J214" s="13">
        <v>42629</v>
      </c>
      <c r="K214" s="25"/>
      <c r="L214" s="14">
        <v>0.25</v>
      </c>
      <c r="M214" s="14">
        <v>2.75</v>
      </c>
      <c r="N214" s="4"/>
      <c r="O214" s="18"/>
      <c r="P214" s="14"/>
      <c r="Q214" s="15">
        <f t="shared" si="12"/>
        <v>0</v>
      </c>
      <c r="R214" s="12" t="s">
        <v>529</v>
      </c>
      <c r="S214" s="16" cm="1">
        <f t="array" ref="S214">IF(R214="",0,COUNTA(_xlfn._xlws.FILTER(_xlfn.TEXTSPLIT(R214,";"), _xlfn.TEXTSPLIT(R214,";")&lt;&gt;"")))</f>
        <v>2</v>
      </c>
      <c r="T214" s="12"/>
      <c r="U214" s="16" cm="1">
        <f t="array" ref="U214">IF(T214="",0,COUNTA(_xlfn._xlws.FILTER(_xlfn.TEXTSPLIT(T214,";"), _xlfn.TEXTSPLIT(T214,";")&lt;&gt;"")))</f>
        <v>0</v>
      </c>
      <c r="V214" s="17">
        <f t="shared" si="13"/>
        <v>0</v>
      </c>
      <c r="W214" s="12" t="str" cm="1">
        <f t="array" ref="W214">IF(T214="",R214,_xlfn.LET(_xlpm.inv, TRIM(_xlfn.TEXTSPLIT(R214,";")),_xlpm.fol, TRIM(_xlfn.TEXTSPLIT(T214,";")),_xlfn.TEXTJOIN("; ", TRUE, _xlfn._xlws.FILTER(_xlpm.inv, ISNA(MATCH(_xlpm.inv, _xlpm.fol, 0)), ""))
  )
)</f>
        <v>Social Venture Circle; Solidarity Capital Group</v>
      </c>
      <c r="X214" s="16" cm="1">
        <f t="array" ref="X214">IF(W214="","N/A",COUNTA(_xlfn._xlws.FILTER(_xlfn.TEXTSPLIT(W214,";"), _xlfn.TEXTSPLIT(W214,";")&lt;&gt;"")))</f>
        <v>2</v>
      </c>
      <c r="Y214" s="17">
        <f t="shared" si="14"/>
        <v>1</v>
      </c>
      <c r="Z214" s="4" t="s">
        <v>812</v>
      </c>
      <c r="AA214" s="4" t="s">
        <v>79</v>
      </c>
      <c r="AB214" s="4" t="s">
        <v>811</v>
      </c>
      <c r="AC214" s="4" t="s">
        <v>517</v>
      </c>
    </row>
    <row r="215" spans="1:29" x14ac:dyDescent="0.35">
      <c r="A215" s="4">
        <f t="shared" si="15"/>
        <v>213</v>
      </c>
      <c r="B215" s="4" t="s">
        <v>399</v>
      </c>
      <c r="C215" s="4" t="s">
        <v>400</v>
      </c>
      <c r="D215" s="4">
        <v>2012</v>
      </c>
      <c r="E215" s="12" t="s">
        <v>555</v>
      </c>
      <c r="F215" s="4" t="s">
        <v>978</v>
      </c>
      <c r="G215" s="4" t="s">
        <v>1293</v>
      </c>
      <c r="H215" s="4" t="s">
        <v>1294</v>
      </c>
      <c r="I215" s="14">
        <v>40.76</v>
      </c>
      <c r="J215" s="13">
        <v>45530</v>
      </c>
      <c r="K215" s="25">
        <v>0.9</v>
      </c>
      <c r="L215" s="14">
        <v>15</v>
      </c>
      <c r="M215" s="14">
        <v>83</v>
      </c>
      <c r="N215" s="4" t="s">
        <v>471</v>
      </c>
      <c r="O215" s="18">
        <v>1.24</v>
      </c>
      <c r="P215" s="14"/>
      <c r="Q215" s="15">
        <f t="shared" si="12"/>
        <v>0</v>
      </c>
      <c r="R215" s="12"/>
      <c r="S215" s="16" cm="1">
        <f t="array" ref="S215">IF(R215="",0,COUNTA(_xlfn._xlws.FILTER(_xlfn.TEXTSPLIT(R215,";"), _xlfn.TEXTSPLIT(R215,";")&lt;&gt;"")))</f>
        <v>0</v>
      </c>
      <c r="T215" s="12"/>
      <c r="U215" s="16" cm="1">
        <f t="array" ref="U215">IF(T215="",0,COUNTA(_xlfn._xlws.FILTER(_xlfn.TEXTSPLIT(T215,";"), _xlfn.TEXTSPLIT(T215,";")&lt;&gt;"")))</f>
        <v>0</v>
      </c>
      <c r="V215" s="17" t="str">
        <f t="shared" si="13"/>
        <v>N/A</v>
      </c>
      <c r="W215" s="12" cm="1">
        <f t="array" ref="W215">IF(T215="",R215,_xlfn.LET(_xlpm.inv, TRIM(_xlfn.TEXTSPLIT(R215,";")),_xlpm.fol, TRIM(_xlfn.TEXTSPLIT(T215,";")),_xlfn.TEXTJOIN("; ", TRUE, _xlfn._xlws.FILTER(_xlpm.inv, ISNA(MATCH(_xlpm.inv, _xlpm.fol, 0)), ""))
  )
)</f>
        <v>0</v>
      </c>
      <c r="X215" s="16" cm="1">
        <f t="array" ref="X215">IF(W215="","N/A",COUNTA(_xlfn._xlws.FILTER(_xlfn.TEXTSPLIT(W215,";"), _xlfn.TEXTSPLIT(W215,";")&lt;&gt;"")))</f>
        <v>1</v>
      </c>
      <c r="Y215" s="17" t="str">
        <f t="shared" si="14"/>
        <v>N/A</v>
      </c>
      <c r="Z215" s="4" t="s">
        <v>854</v>
      </c>
      <c r="AA215" s="4" t="s">
        <v>831</v>
      </c>
      <c r="AB215" s="4" t="s">
        <v>884</v>
      </c>
      <c r="AC215" s="4" t="s">
        <v>517</v>
      </c>
    </row>
    <row r="216" spans="1:29" ht="29" x14ac:dyDescent="0.35">
      <c r="A216" s="4">
        <f t="shared" si="15"/>
        <v>214</v>
      </c>
      <c r="B216" s="4" t="s">
        <v>401</v>
      </c>
      <c r="C216" s="4" t="s">
        <v>393</v>
      </c>
      <c r="D216" s="4"/>
      <c r="E216" s="12" t="s">
        <v>907</v>
      </c>
      <c r="F216" s="4" t="s">
        <v>557</v>
      </c>
      <c r="G216" s="4" t="s">
        <v>1295</v>
      </c>
      <c r="H216" s="4" t="s">
        <v>1296</v>
      </c>
      <c r="I216" s="14">
        <v>3.01</v>
      </c>
      <c r="J216" s="13">
        <v>44118</v>
      </c>
      <c r="K216" s="25"/>
      <c r="L216" s="14">
        <v>0.51</v>
      </c>
      <c r="M216" s="14">
        <v>0.87</v>
      </c>
      <c r="N216" s="4" t="s">
        <v>474</v>
      </c>
      <c r="O216" s="18">
        <v>0.05</v>
      </c>
      <c r="P216" s="14"/>
      <c r="Q216" s="15">
        <f t="shared" si="12"/>
        <v>0</v>
      </c>
      <c r="R216" s="12" t="s">
        <v>502</v>
      </c>
      <c r="S216" s="16" cm="1">
        <f t="array" ref="S216">IF(R216="",0,COUNTA(_xlfn._xlws.FILTER(_xlfn.TEXTSPLIT(R216,";"), _xlfn.TEXTSPLIT(R216,";")&lt;&gt;"")))</f>
        <v>1</v>
      </c>
      <c r="T216" s="12" t="s">
        <v>502</v>
      </c>
      <c r="U216" s="16" cm="1">
        <f t="array" ref="U216">IF(T216="",0,COUNTA(_xlfn._xlws.FILTER(_xlfn.TEXTSPLIT(T216,";"), _xlfn.TEXTSPLIT(T216,";")&lt;&gt;"")))</f>
        <v>1</v>
      </c>
      <c r="V216" s="17">
        <f t="shared" si="13"/>
        <v>1</v>
      </c>
      <c r="W216" s="12" t="str" cm="1">
        <f t="array" ref="W216">IF(T216="",R216,_xlfn.LET(_xlpm.inv, TRIM(_xlfn.TEXTSPLIT(R216,";")),_xlpm.fol, TRIM(_xlfn.TEXTSPLIT(T216,";")),_xlfn.TEXTJOIN("; ", TRUE, _xlfn._xlws.FILTER(_xlpm.inv, ISNA(MATCH(_xlpm.inv, _xlpm.fol, 0)), ""))
  )
)</f>
        <v/>
      </c>
      <c r="X216" s="16" t="str" cm="1">
        <f t="array" ref="X216">IF(W216="","N/A",COUNTA(_xlfn._xlws.FILTER(_xlfn.TEXTSPLIT(W216,";"), _xlfn.TEXTSPLIT(W216,";")&lt;&gt;"")))</f>
        <v>N/A</v>
      </c>
      <c r="Y216" s="17" t="str">
        <f t="shared" si="14"/>
        <v>N/A</v>
      </c>
      <c r="Z216" s="4" t="s">
        <v>812</v>
      </c>
      <c r="AA216" s="4" t="s">
        <v>79</v>
      </c>
      <c r="AB216" s="4" t="s">
        <v>885</v>
      </c>
      <c r="AC216" s="4" t="s">
        <v>517</v>
      </c>
    </row>
    <row r="217" spans="1:29" x14ac:dyDescent="0.35">
      <c r="A217" s="4">
        <f t="shared" si="15"/>
        <v>215</v>
      </c>
      <c r="B217" s="4" t="s">
        <v>138</v>
      </c>
      <c r="C217" s="4" t="s">
        <v>402</v>
      </c>
      <c r="D217" s="4">
        <v>2007</v>
      </c>
      <c r="E217" s="12" t="s">
        <v>180</v>
      </c>
      <c r="F217" s="4" t="s">
        <v>557</v>
      </c>
      <c r="G217" s="4" t="s">
        <v>1297</v>
      </c>
      <c r="H217" s="4" t="s">
        <v>1298</v>
      </c>
      <c r="I217" s="14">
        <v>110</v>
      </c>
      <c r="J217" s="13">
        <v>44927</v>
      </c>
      <c r="K217" s="25"/>
      <c r="L217" s="14">
        <v>110</v>
      </c>
      <c r="M217" s="14"/>
      <c r="N217" s="4"/>
      <c r="O217" s="18"/>
      <c r="P217" s="14"/>
      <c r="Q217" s="15">
        <f t="shared" si="12"/>
        <v>0</v>
      </c>
      <c r="R217" s="12" t="s">
        <v>728</v>
      </c>
      <c r="S217" s="16" cm="1">
        <f t="array" ref="S217">IF(R217="",0,COUNTA(_xlfn._xlws.FILTER(_xlfn.TEXTSPLIT(R217,";"), _xlfn.TEXTSPLIT(R217,";")&lt;&gt;"")))</f>
        <v>1</v>
      </c>
      <c r="T217" s="12"/>
      <c r="U217" s="16" cm="1">
        <f t="array" ref="U217">IF(T217="",0,COUNTA(_xlfn._xlws.FILTER(_xlfn.TEXTSPLIT(T217,";"), _xlfn.TEXTSPLIT(T217,";")&lt;&gt;"")))</f>
        <v>0</v>
      </c>
      <c r="V217" s="17">
        <f t="shared" si="13"/>
        <v>0</v>
      </c>
      <c r="W217" s="12" t="str" cm="1">
        <f t="array" ref="W217">IF(T217="",R217,_xlfn.LET(_xlpm.inv, TRIM(_xlfn.TEXTSPLIT(R217,";")),_xlpm.fol, TRIM(_xlfn.TEXTSPLIT(T217,";")),_xlfn.TEXTJOIN("; ", TRUE, _xlfn._xlws.FILTER(_xlpm.inv, ISNA(MATCH(_xlpm.inv, _xlpm.fol, 0)), ""))
  )
)</f>
        <v>Orion Infrastructure Capital</v>
      </c>
      <c r="X217" s="16" cm="1">
        <f t="array" ref="X217">IF(W217="","N/A",COUNTA(_xlfn._xlws.FILTER(_xlfn.TEXTSPLIT(W217,";"), _xlfn.TEXTSPLIT(W217,";")&lt;&gt;"")))</f>
        <v>1</v>
      </c>
      <c r="Y217" s="17">
        <f t="shared" si="14"/>
        <v>1</v>
      </c>
      <c r="Z217" s="4" t="s">
        <v>815</v>
      </c>
      <c r="AA217" s="4"/>
      <c r="AB217" s="4" t="s">
        <v>811</v>
      </c>
      <c r="AC217" s="4" t="s">
        <v>517</v>
      </c>
    </row>
    <row r="218" spans="1:29" x14ac:dyDescent="0.35">
      <c r="A218" s="4">
        <f t="shared" si="15"/>
        <v>216</v>
      </c>
      <c r="B218" s="4" t="s">
        <v>403</v>
      </c>
      <c r="C218" s="4" t="s">
        <v>404</v>
      </c>
      <c r="D218" s="4">
        <v>2008</v>
      </c>
      <c r="E218" s="12" t="s">
        <v>180</v>
      </c>
      <c r="F218" s="4" t="s">
        <v>557</v>
      </c>
      <c r="G218" s="4" t="s">
        <v>1299</v>
      </c>
      <c r="H218" s="4" t="s">
        <v>1300</v>
      </c>
      <c r="I218" s="14"/>
      <c r="J218" s="13">
        <v>45383</v>
      </c>
      <c r="K218" s="25"/>
      <c r="L218" s="14"/>
      <c r="M218" s="14"/>
      <c r="N218" s="4"/>
      <c r="O218" s="18"/>
      <c r="P218" s="14"/>
      <c r="Q218" s="15" t="str">
        <f t="shared" si="12"/>
        <v>N/A</v>
      </c>
      <c r="R218" s="12" t="s">
        <v>729</v>
      </c>
      <c r="S218" s="16" cm="1">
        <f t="array" ref="S218">IF(R218="",0,COUNTA(_xlfn._xlws.FILTER(_xlfn.TEXTSPLIT(R218,";"), _xlfn.TEXTSPLIT(R218,";")&lt;&gt;"")))</f>
        <v>1</v>
      </c>
      <c r="T218" s="12"/>
      <c r="U218" s="16" cm="1">
        <f t="array" ref="U218">IF(T218="",0,COUNTA(_xlfn._xlws.FILTER(_xlfn.TEXTSPLIT(T218,";"), _xlfn.TEXTSPLIT(T218,";")&lt;&gt;"")))</f>
        <v>0</v>
      </c>
      <c r="V218" s="17">
        <f t="shared" si="13"/>
        <v>0</v>
      </c>
      <c r="W218" s="12" t="str" cm="1">
        <f t="array" ref="W218">IF(T218="",R218,_xlfn.LET(_xlpm.inv, TRIM(_xlfn.TEXTSPLIT(R218,";")),_xlpm.fol, TRIM(_xlfn.TEXTSPLIT(T218,";")),_xlfn.TEXTJOIN("; ", TRUE, _xlfn._xlws.FILTER(_xlpm.inv, ISNA(MATCH(_xlpm.inv, _xlpm.fol, 0)), ""))
  )
)</f>
        <v xml:space="preserve">MB Energy Partners </v>
      </c>
      <c r="X218" s="16" cm="1">
        <f t="array" ref="X218">IF(W218="","N/A",COUNTA(_xlfn._xlws.FILTER(_xlfn.TEXTSPLIT(W218,";"), _xlfn.TEXTSPLIT(W218,";")&lt;&gt;"")))</f>
        <v>1</v>
      </c>
      <c r="Y218" s="17">
        <f t="shared" si="14"/>
        <v>1</v>
      </c>
      <c r="Z218" s="4" t="s">
        <v>815</v>
      </c>
      <c r="AA218" s="4"/>
      <c r="AB218" s="4" t="s">
        <v>811</v>
      </c>
      <c r="AC218" s="4" t="s">
        <v>517</v>
      </c>
    </row>
    <row r="219" spans="1:29" ht="29" x14ac:dyDescent="0.35">
      <c r="A219" s="4">
        <f t="shared" si="15"/>
        <v>217</v>
      </c>
      <c r="B219" s="4" t="s">
        <v>405</v>
      </c>
      <c r="C219" s="4" t="s">
        <v>255</v>
      </c>
      <c r="D219" s="4">
        <v>2010</v>
      </c>
      <c r="E219" s="12" t="s">
        <v>952</v>
      </c>
      <c r="F219" s="4" t="s">
        <v>557</v>
      </c>
      <c r="G219" s="4" t="s">
        <v>1301</v>
      </c>
      <c r="H219" s="4" t="s">
        <v>1302</v>
      </c>
      <c r="I219" s="14">
        <v>11</v>
      </c>
      <c r="J219" s="13">
        <v>42348</v>
      </c>
      <c r="K219" s="25"/>
      <c r="L219" s="14">
        <v>11</v>
      </c>
      <c r="M219" s="14"/>
      <c r="N219" s="4"/>
      <c r="O219" s="18"/>
      <c r="P219" s="14"/>
      <c r="Q219" s="15">
        <f t="shared" si="12"/>
        <v>0</v>
      </c>
      <c r="R219" s="12" t="s">
        <v>506</v>
      </c>
      <c r="S219" s="16" cm="1">
        <f t="array" ref="S219">IF(R219="",0,COUNTA(_xlfn._xlws.FILTER(_xlfn.TEXTSPLIT(R219,";"), _xlfn.TEXTSPLIT(R219,";")&lt;&gt;"")))</f>
        <v>1</v>
      </c>
      <c r="T219" s="12"/>
      <c r="U219" s="16" cm="1">
        <f t="array" ref="U219">IF(T219="",0,COUNTA(_xlfn._xlws.FILTER(_xlfn.TEXTSPLIT(T219,";"), _xlfn.TEXTSPLIT(T219,";")&lt;&gt;"")))</f>
        <v>0</v>
      </c>
      <c r="V219" s="17">
        <f t="shared" si="13"/>
        <v>0</v>
      </c>
      <c r="W219" s="12" t="str" cm="1">
        <f t="array" ref="W219">IF(T219="",R219,_xlfn.LET(_xlpm.inv, TRIM(_xlfn.TEXTSPLIT(R219,";")),_xlpm.fol, TRIM(_xlfn.TEXTSPLIT(T219,";")),_xlfn.TEXTJOIN("; ", TRUE, _xlfn._xlws.FILTER(_xlpm.inv, ISNA(MATCH(_xlpm.inv, _xlpm.fol, 0)), ""))
  )
)</f>
        <v>MMA Capital Holdings (Robert Hopper)</v>
      </c>
      <c r="X219" s="16" cm="1">
        <f t="array" ref="X219">IF(W219="","N/A",COUNTA(_xlfn._xlws.FILTER(_xlfn.TEXTSPLIT(W219,";"), _xlfn.TEXTSPLIT(W219,";")&lt;&gt;"")))</f>
        <v>1</v>
      </c>
      <c r="Y219" s="17">
        <f t="shared" si="14"/>
        <v>1</v>
      </c>
      <c r="Z219" s="4" t="s">
        <v>815</v>
      </c>
      <c r="AA219" s="4"/>
      <c r="AB219" s="4" t="s">
        <v>860</v>
      </c>
      <c r="AC219" s="4" t="s">
        <v>517</v>
      </c>
    </row>
    <row r="220" spans="1:29" ht="29" x14ac:dyDescent="0.35">
      <c r="A220" s="4">
        <f t="shared" si="15"/>
        <v>218</v>
      </c>
      <c r="B220" s="4" t="s">
        <v>406</v>
      </c>
      <c r="C220" s="4" t="s">
        <v>407</v>
      </c>
      <c r="D220" s="4">
        <v>2017</v>
      </c>
      <c r="E220" s="12" t="s">
        <v>907</v>
      </c>
      <c r="F220" s="4" t="s">
        <v>557</v>
      </c>
      <c r="G220" s="4" t="s">
        <v>1303</v>
      </c>
      <c r="H220" s="4" t="s">
        <v>1304</v>
      </c>
      <c r="I220" s="14">
        <v>16.809999999999999</v>
      </c>
      <c r="J220" s="13">
        <v>44165</v>
      </c>
      <c r="K220" s="25"/>
      <c r="L220" s="14">
        <v>9.66</v>
      </c>
      <c r="M220" s="14">
        <v>39.9</v>
      </c>
      <c r="N220" s="4" t="s">
        <v>471</v>
      </c>
      <c r="O220" s="18"/>
      <c r="P220" s="14"/>
      <c r="Q220" s="15">
        <f t="shared" si="12"/>
        <v>0</v>
      </c>
      <c r="R220" s="12" t="s">
        <v>730</v>
      </c>
      <c r="S220" s="16" cm="1">
        <f t="array" ref="S220">IF(R220="",0,COUNTA(_xlfn._xlws.FILTER(_xlfn.TEXTSPLIT(R220,";"), _xlfn.TEXTSPLIT(R220,";")&lt;&gt;"")))</f>
        <v>10</v>
      </c>
      <c r="T220" s="12" t="s">
        <v>763</v>
      </c>
      <c r="U220" s="16" cm="1">
        <f t="array" ref="U220">IF(T220="",0,COUNTA(_xlfn._xlws.FILTER(_xlfn.TEXTSPLIT(T220,";"), _xlfn.TEXTSPLIT(T220,";")&lt;&gt;"")))</f>
        <v>2</v>
      </c>
      <c r="V220" s="17">
        <f t="shared" si="13"/>
        <v>0.2</v>
      </c>
      <c r="W220" s="12" t="str" cm="1">
        <f t="array" ref="W220">IF(T220="",R220,_xlfn.LET(_xlpm.inv, TRIM(_xlfn.TEXTSPLIT(R220,";")),_xlpm.fol, TRIM(_xlfn.TEXTSPLIT(T220,";")),_xlfn.TEXTJOIN("; ", TRUE, _xlfn._xlws.FILTER(_xlpm.inv, ISNA(MATCH(_xlpm.inv, _xlpm.fol, 0)), ""))
  )
)</f>
        <v>Climate Capital; Grant Hummer; Jack Fuchs; James Fickel lame; Kelly Lei; Sierra Peterson; Sytse Sijbrandij; Vitalik Buterin</v>
      </c>
      <c r="X220" s="16" cm="1">
        <f t="array" ref="X220">IF(W220="","N/A",COUNTA(_xlfn._xlws.FILTER(_xlfn.TEXTSPLIT(W220,";"), _xlfn.TEXTSPLIT(W220,";")&lt;&gt;"")))</f>
        <v>8</v>
      </c>
      <c r="Y220" s="17">
        <f t="shared" si="14"/>
        <v>0.8</v>
      </c>
      <c r="Z220" s="4" t="s">
        <v>812</v>
      </c>
      <c r="AA220" s="4" t="s">
        <v>813</v>
      </c>
      <c r="AB220" s="4" t="s">
        <v>811</v>
      </c>
      <c r="AC220" s="4" t="s">
        <v>517</v>
      </c>
    </row>
    <row r="221" spans="1:29" ht="29" x14ac:dyDescent="0.35">
      <c r="A221" s="4">
        <f t="shared" si="15"/>
        <v>219</v>
      </c>
      <c r="B221" s="4" t="s">
        <v>546</v>
      </c>
      <c r="C221" s="4" t="s">
        <v>408</v>
      </c>
      <c r="D221" s="4">
        <v>2015</v>
      </c>
      <c r="E221" s="12" t="s">
        <v>553</v>
      </c>
      <c r="F221" s="4" t="s">
        <v>961</v>
      </c>
      <c r="G221" s="4" t="s">
        <v>1305</v>
      </c>
      <c r="H221" s="4" t="s">
        <v>1306</v>
      </c>
      <c r="I221" s="14">
        <v>1</v>
      </c>
      <c r="J221" s="13">
        <v>42930</v>
      </c>
      <c r="K221" s="25"/>
      <c r="L221" s="14">
        <v>0.85</v>
      </c>
      <c r="M221" s="14"/>
      <c r="N221" s="4"/>
      <c r="O221" s="18"/>
      <c r="P221" s="14">
        <v>0.85</v>
      </c>
      <c r="Q221" s="15">
        <f t="shared" si="12"/>
        <v>1</v>
      </c>
      <c r="R221" s="12" t="s">
        <v>731</v>
      </c>
      <c r="S221" s="16" cm="1">
        <f t="array" ref="S221">IF(R221="",0,COUNTA(_xlfn._xlws.FILTER(_xlfn.TEXTSPLIT(R221,";"), _xlfn.TEXTSPLIT(R221,";")&lt;&gt;"")))</f>
        <v>4</v>
      </c>
      <c r="T221" s="12" t="s">
        <v>764</v>
      </c>
      <c r="U221" s="16" cm="1">
        <f t="array" ref="U221">IF(T221="",0,COUNTA(_xlfn._xlws.FILTER(_xlfn.TEXTSPLIT(T221,";"), _xlfn.TEXTSPLIT(T221,";")&lt;&gt;"")))</f>
        <v>2</v>
      </c>
      <c r="V221" s="17">
        <f t="shared" si="13"/>
        <v>0.5</v>
      </c>
      <c r="W221" s="12" t="str" cm="1">
        <f t="array" ref="W221">IF(T221="",R221,_xlfn.LET(_xlpm.inv, TRIM(_xlfn.TEXTSPLIT(R221,";")),_xlpm.fol, TRIM(_xlfn.TEXTSPLIT(T221,";")),_xlfn.TEXTJOIN("; ", TRUE, _xlfn._xlws.FILTER(_xlpm.inv, ISNA(MATCH(_xlpm.inv, _xlpm.fol, 0)), ""))
  )
)</f>
        <v>Seedlnvest; Sunmeet Jolly</v>
      </c>
      <c r="X221" s="16" cm="1">
        <f t="array" ref="X221">IF(W221="","N/A",COUNTA(_xlfn._xlws.FILTER(_xlfn.TEXTSPLIT(W221,";"), _xlfn.TEXTSPLIT(W221,";")&lt;&gt;"")))</f>
        <v>2</v>
      </c>
      <c r="Y221" s="17">
        <f t="shared" si="14"/>
        <v>0.5</v>
      </c>
      <c r="Z221" s="4" t="s">
        <v>812</v>
      </c>
      <c r="AA221" s="4" t="s">
        <v>79</v>
      </c>
      <c r="AB221" s="4" t="s">
        <v>824</v>
      </c>
      <c r="AC221" s="4" t="s">
        <v>517</v>
      </c>
    </row>
    <row r="222" spans="1:29" ht="29" x14ac:dyDescent="0.35">
      <c r="A222" s="4">
        <f t="shared" si="15"/>
        <v>220</v>
      </c>
      <c r="B222" s="4" t="s">
        <v>546</v>
      </c>
      <c r="C222" s="4" t="s">
        <v>408</v>
      </c>
      <c r="D222" s="4">
        <v>2015</v>
      </c>
      <c r="E222" s="12" t="s">
        <v>553</v>
      </c>
      <c r="F222" s="4" t="s">
        <v>961</v>
      </c>
      <c r="G222" s="4" t="s">
        <v>1305</v>
      </c>
      <c r="H222" s="4" t="s">
        <v>1306</v>
      </c>
      <c r="I222" s="14">
        <v>1.95</v>
      </c>
      <c r="J222" s="13">
        <v>43216</v>
      </c>
      <c r="K222" s="25"/>
      <c r="L222" s="14">
        <v>0.95</v>
      </c>
      <c r="M222" s="14"/>
      <c r="N222" s="4"/>
      <c r="O222" s="18"/>
      <c r="P222" s="14"/>
      <c r="Q222" s="15">
        <f t="shared" si="12"/>
        <v>0</v>
      </c>
      <c r="R222" s="12" t="s">
        <v>732</v>
      </c>
      <c r="S222" s="16" cm="1">
        <f t="array" ref="S222">IF(R222="",0,COUNTA(_xlfn._xlws.FILTER(_xlfn.TEXTSPLIT(R222,";"), _xlfn.TEXTSPLIT(R222,";")&lt;&gt;"")))</f>
        <v>5</v>
      </c>
      <c r="T222" s="12" t="s">
        <v>764</v>
      </c>
      <c r="U222" s="16" cm="1">
        <f t="array" ref="U222">IF(T222="",0,COUNTA(_xlfn._xlws.FILTER(_xlfn.TEXTSPLIT(T222,";"), _xlfn.TEXTSPLIT(T222,";")&lt;&gt;"")))</f>
        <v>2</v>
      </c>
      <c r="V222" s="17">
        <f t="shared" si="13"/>
        <v>0.4</v>
      </c>
      <c r="W222" s="12" t="str" cm="1">
        <f t="array" ref="W222">IF(T222="",R222,_xlfn.LET(_xlpm.inv, TRIM(_xlfn.TEXTSPLIT(R222,";")),_xlpm.fol, TRIM(_xlfn.TEXTSPLIT(T222,";")),_xlfn.TEXTJOIN("; ", TRUE, _xlfn._xlws.FILTER(_xlpm.inv, ISNA(MATCH(_xlpm.inv, _xlpm.fol, 0)), ""))
  )
)</f>
        <v>G Ventures; Mukul Agapwal; Nonlinear Capital</v>
      </c>
      <c r="X222" s="16" cm="1">
        <f t="array" ref="X222">IF(W222="","N/A",COUNTA(_xlfn._xlws.FILTER(_xlfn.TEXTSPLIT(W222,";"), _xlfn.TEXTSPLIT(W222,";")&lt;&gt;"")))</f>
        <v>3</v>
      </c>
      <c r="Y222" s="17">
        <f t="shared" si="14"/>
        <v>0.6</v>
      </c>
      <c r="Z222" s="4" t="s">
        <v>817</v>
      </c>
      <c r="AA222" s="4" t="s">
        <v>813</v>
      </c>
      <c r="AB222" s="4" t="s">
        <v>824</v>
      </c>
      <c r="AC222" s="4" t="s">
        <v>517</v>
      </c>
    </row>
    <row r="223" spans="1:29" ht="29" x14ac:dyDescent="0.35">
      <c r="A223" s="4">
        <f t="shared" si="15"/>
        <v>221</v>
      </c>
      <c r="B223" s="4" t="s">
        <v>547</v>
      </c>
      <c r="C223" s="4" t="s">
        <v>186</v>
      </c>
      <c r="D223" s="4">
        <v>2007</v>
      </c>
      <c r="E223" s="12" t="s">
        <v>553</v>
      </c>
      <c r="F223" s="4" t="s">
        <v>961</v>
      </c>
      <c r="G223" s="4" t="s">
        <v>1307</v>
      </c>
      <c r="H223" s="4" t="s">
        <v>1308</v>
      </c>
      <c r="I223" s="14">
        <v>4.76</v>
      </c>
      <c r="J223" s="13">
        <v>44197</v>
      </c>
      <c r="K223" s="25"/>
      <c r="L223" s="14">
        <v>2</v>
      </c>
      <c r="M223" s="14">
        <v>16</v>
      </c>
      <c r="N223" s="4" t="s">
        <v>471</v>
      </c>
      <c r="O223" s="18"/>
      <c r="P223" s="14"/>
      <c r="Q223" s="15">
        <f t="shared" si="12"/>
        <v>0</v>
      </c>
      <c r="R223" s="12" t="s">
        <v>733</v>
      </c>
      <c r="S223" s="16" cm="1">
        <f t="array" ref="S223">IF(R223="",0,COUNTA(_xlfn._xlws.FILTER(_xlfn.TEXTSPLIT(R223,";"), _xlfn.TEXTSPLIT(R223,";")&lt;&gt;"")))</f>
        <v>9</v>
      </c>
      <c r="T223" s="12"/>
      <c r="U223" s="16" cm="1">
        <f t="array" ref="U223">IF(T223="",0,COUNTA(_xlfn._xlws.FILTER(_xlfn.TEXTSPLIT(T223,";"), _xlfn.TEXTSPLIT(T223,";")&lt;&gt;"")))</f>
        <v>0</v>
      </c>
      <c r="V223" s="17">
        <f t="shared" si="13"/>
        <v>0</v>
      </c>
      <c r="W223" s="12" t="str" cm="1">
        <f t="array" ref="W223">IF(T223="",R223,_xlfn.LET(_xlpm.inv, TRIM(_xlfn.TEXTSPLIT(R223,";")),_xlpm.fol, TRIM(_xlfn.TEXTSPLIT(T223,";")),_xlfn.TEXTJOIN("; ", TRUE, _xlfn._xlws.FILTER(_xlpm.inv, ISNA(MATCH(_xlpm.inv, _xlpm.fol, 0)), ""))
  )
)</f>
        <v>Amplify Capital; Bruce Rubin; Kathy Salmanowitz; One World; Scott Saslow; Steve Rosard; SXU Investment; Volo Earth Ventures; Zygote Ventures</v>
      </c>
      <c r="X223" s="16" cm="1">
        <f t="array" ref="X223">IF(W223="","N/A",COUNTA(_xlfn._xlws.FILTER(_xlfn.TEXTSPLIT(W223,";"), _xlfn.TEXTSPLIT(W223,";")&lt;&gt;"")))</f>
        <v>9</v>
      </c>
      <c r="Y223" s="17">
        <f t="shared" si="14"/>
        <v>1</v>
      </c>
      <c r="Z223" s="4" t="s">
        <v>810</v>
      </c>
      <c r="AA223" s="4" t="s">
        <v>828</v>
      </c>
      <c r="AB223" s="4" t="s">
        <v>879</v>
      </c>
      <c r="AC223" s="4" t="s">
        <v>517</v>
      </c>
    </row>
    <row r="224" spans="1:29" x14ac:dyDescent="0.35">
      <c r="A224" s="4">
        <f t="shared" si="15"/>
        <v>222</v>
      </c>
      <c r="B224" s="4" t="s">
        <v>409</v>
      </c>
      <c r="C224" s="4" t="s">
        <v>193</v>
      </c>
      <c r="D224" s="4">
        <v>2018</v>
      </c>
      <c r="E224" s="12" t="s">
        <v>897</v>
      </c>
      <c r="F224" s="4" t="s">
        <v>978</v>
      </c>
      <c r="G224" s="4" t="s">
        <v>1309</v>
      </c>
      <c r="H224" s="4" t="s">
        <v>1310</v>
      </c>
      <c r="I224" s="14">
        <v>136.79</v>
      </c>
      <c r="J224" s="13">
        <v>45749</v>
      </c>
      <c r="K224" s="25"/>
      <c r="L224" s="14">
        <v>24.5</v>
      </c>
      <c r="M224" s="14"/>
      <c r="N224" s="4"/>
      <c r="O224" s="18"/>
      <c r="P224" s="14"/>
      <c r="Q224" s="15">
        <f t="shared" si="12"/>
        <v>0</v>
      </c>
      <c r="R224" s="12" t="s">
        <v>507</v>
      </c>
      <c r="S224" s="16" cm="1">
        <f t="array" ref="S224">IF(R224="",0,COUNTA(_xlfn._xlws.FILTER(_xlfn.TEXTSPLIT(R224,";"), _xlfn.TEXTSPLIT(R224,";")&lt;&gt;"")))</f>
        <v>1</v>
      </c>
      <c r="T224" s="12"/>
      <c r="U224" s="16" cm="1">
        <f t="array" ref="U224">IF(T224="",0,COUNTA(_xlfn._xlws.FILTER(_xlfn.TEXTSPLIT(T224,";"), _xlfn.TEXTSPLIT(T224,";")&lt;&gt;"")))</f>
        <v>0</v>
      </c>
      <c r="V224" s="17">
        <f t="shared" si="13"/>
        <v>0</v>
      </c>
      <c r="W224" s="12" t="str" cm="1">
        <f t="array" ref="W224">IF(T224="",R224,_xlfn.LET(_xlpm.inv, TRIM(_xlfn.TEXTSPLIT(R224,";")),_xlpm.fol, TRIM(_xlfn.TEXTSPLIT(T224,";")),_xlfn.TEXTJOIN("; ", TRUE, _xlfn._xlws.FILTER(_xlpm.inv, ISNA(MATCH(_xlpm.inv, _xlpm.fol, 0)), ""))
  )
)</f>
        <v>Tupras Ventures</v>
      </c>
      <c r="X224" s="16" cm="1">
        <f t="array" ref="X224">IF(W224="","N/A",COUNTA(_xlfn._xlws.FILTER(_xlfn.TEXTSPLIT(W224,";"), _xlfn.TEXTSPLIT(W224,";")&lt;&gt;"")))</f>
        <v>1</v>
      </c>
      <c r="Y224" s="17">
        <f t="shared" si="14"/>
        <v>1</v>
      </c>
      <c r="Z224" s="4" t="s">
        <v>810</v>
      </c>
      <c r="AA224" s="4" t="s">
        <v>880</v>
      </c>
      <c r="AB224" s="4" t="s">
        <v>811</v>
      </c>
      <c r="AC224" s="4" t="s">
        <v>517</v>
      </c>
    </row>
    <row r="225" spans="1:29" ht="29" x14ac:dyDescent="0.35">
      <c r="A225" s="4">
        <f t="shared" si="15"/>
        <v>223</v>
      </c>
      <c r="B225" s="4" t="s">
        <v>410</v>
      </c>
      <c r="C225" s="4" t="s">
        <v>182</v>
      </c>
      <c r="D225" s="4">
        <v>2016</v>
      </c>
      <c r="E225" s="12" t="s">
        <v>896</v>
      </c>
      <c r="F225" s="4" t="s">
        <v>557</v>
      </c>
      <c r="G225" s="4" t="s">
        <v>1311</v>
      </c>
      <c r="H225" s="4" t="s">
        <v>1312</v>
      </c>
      <c r="I225" s="14">
        <v>17.989999999999998</v>
      </c>
      <c r="J225" s="13">
        <v>45307</v>
      </c>
      <c r="K225" s="25">
        <v>1.74</v>
      </c>
      <c r="L225" s="14">
        <v>6</v>
      </c>
      <c r="M225" s="14">
        <v>40</v>
      </c>
      <c r="N225" s="4" t="s">
        <v>471</v>
      </c>
      <c r="O225" s="18">
        <v>1.31</v>
      </c>
      <c r="P225" s="14"/>
      <c r="Q225" s="15">
        <f t="shared" si="12"/>
        <v>0</v>
      </c>
      <c r="R225" s="12" t="s">
        <v>734</v>
      </c>
      <c r="S225" s="16" cm="1">
        <f t="array" ref="S225">IF(R225="",0,COUNTA(_xlfn._xlws.FILTER(_xlfn.TEXTSPLIT(R225,";"), _xlfn.TEXTSPLIT(R225,";")&lt;&gt;"")))</f>
        <v>4</v>
      </c>
      <c r="T225" s="12"/>
      <c r="U225" s="16" cm="1">
        <f t="array" ref="U225">IF(T225="",0,COUNTA(_xlfn._xlws.FILTER(_xlfn.TEXTSPLIT(T225,";"), _xlfn.TEXTSPLIT(T225,";")&lt;&gt;"")))</f>
        <v>0</v>
      </c>
      <c r="V225" s="17">
        <f t="shared" si="13"/>
        <v>0</v>
      </c>
      <c r="W225" s="12" t="str" cm="1">
        <f t="array" ref="W225">IF(T225="",R225,_xlfn.LET(_xlpm.inv, TRIM(_xlfn.TEXTSPLIT(R225,";")),_xlpm.fol, TRIM(_xlfn.TEXTSPLIT(T225,";")),_xlfn.TEXTJOIN("; ", TRUE, _xlfn._xlws.FILTER(_xlpm.inv, ISNA(MATCH(_xlpm.inv, _xlpm.fol, 0)), ""))
  )
)</f>
        <v>Constellation Technology Ventures; Planetary Technologies; Thomas Werner; Uncorrelated Ventures</v>
      </c>
      <c r="X225" s="16" cm="1">
        <f t="array" ref="X225">IF(W225="","N/A",COUNTA(_xlfn._xlws.FILTER(_xlfn.TEXTSPLIT(W225,";"), _xlfn.TEXTSPLIT(W225,";")&lt;&gt;"")))</f>
        <v>4</v>
      </c>
      <c r="Y225" s="17">
        <f t="shared" si="14"/>
        <v>1</v>
      </c>
      <c r="Z225" s="4" t="s">
        <v>810</v>
      </c>
      <c r="AA225" s="4" t="s">
        <v>831</v>
      </c>
      <c r="AB225" s="4" t="s">
        <v>811</v>
      </c>
      <c r="AC225" s="4" t="s">
        <v>517</v>
      </c>
    </row>
    <row r="226" spans="1:29" x14ac:dyDescent="0.35">
      <c r="A226" s="4">
        <f t="shared" si="15"/>
        <v>224</v>
      </c>
      <c r="B226" s="4" t="s">
        <v>142</v>
      </c>
      <c r="C226" s="4" t="s">
        <v>411</v>
      </c>
      <c r="D226" s="4">
        <v>2017</v>
      </c>
      <c r="E226" s="12" t="s">
        <v>903</v>
      </c>
      <c r="F226" s="4" t="s">
        <v>960</v>
      </c>
      <c r="G226" s="4" t="s">
        <v>1313</v>
      </c>
      <c r="H226" s="4" t="s">
        <v>1314</v>
      </c>
      <c r="I226" s="14">
        <v>2.98</v>
      </c>
      <c r="J226" s="13">
        <v>44868</v>
      </c>
      <c r="K226" s="25">
        <v>2.84</v>
      </c>
      <c r="L226" s="14">
        <v>2.1800000000000002</v>
      </c>
      <c r="M226" s="14"/>
      <c r="N226" s="4"/>
      <c r="O226" s="18"/>
      <c r="P226" s="14"/>
      <c r="Q226" s="15">
        <f t="shared" si="12"/>
        <v>0</v>
      </c>
      <c r="R226" s="12" t="s">
        <v>530</v>
      </c>
      <c r="S226" s="16" cm="1">
        <f t="array" ref="S226">IF(R226="",0,COUNTA(_xlfn._xlws.FILTER(_xlfn.TEXTSPLIT(R226,";"), _xlfn.TEXTSPLIT(R226,";")&lt;&gt;"")))</f>
        <v>3</v>
      </c>
      <c r="T226" s="12"/>
      <c r="U226" s="16" cm="1">
        <f t="array" ref="U226">IF(T226="",0,COUNTA(_xlfn._xlws.FILTER(_xlfn.TEXTSPLIT(T226,";"), _xlfn.TEXTSPLIT(T226,";")&lt;&gt;"")))</f>
        <v>0</v>
      </c>
      <c r="V226" s="17">
        <f t="shared" si="13"/>
        <v>0</v>
      </c>
      <c r="W226" s="12" t="str" cm="1">
        <f t="array" ref="W226">IF(T226="",R226,_xlfn.LET(_xlpm.inv, TRIM(_xlfn.TEXTSPLIT(R226,";")),_xlpm.fol, TRIM(_xlfn.TEXTSPLIT(T226,";")),_xlfn.TEXTJOIN("; ", TRUE, _xlfn._xlws.FILTER(_xlpm.inv, ISNA(MATCH(_xlpm.inv, _xlpm.fol, 0)), ""))
  )
)</f>
        <v xml:space="preserve">Climate Capital; Hacker Capital; Kanca Ventures </v>
      </c>
      <c r="X226" s="16" cm="1">
        <f t="array" ref="X226">IF(W226="","N/A",COUNTA(_xlfn._xlws.FILTER(_xlfn.TEXTSPLIT(W226,";"), _xlfn.TEXTSPLIT(W226,";")&lt;&gt;"")))</f>
        <v>3</v>
      </c>
      <c r="Y226" s="17">
        <f t="shared" si="14"/>
        <v>1</v>
      </c>
      <c r="Z226" s="4" t="s">
        <v>810</v>
      </c>
      <c r="AA226" s="4" t="s">
        <v>79</v>
      </c>
      <c r="AB226" s="4" t="s">
        <v>836</v>
      </c>
      <c r="AC226" s="4" t="s">
        <v>517</v>
      </c>
    </row>
    <row r="227" spans="1:29" ht="29" x14ac:dyDescent="0.35">
      <c r="A227" s="4">
        <f t="shared" si="15"/>
        <v>225</v>
      </c>
      <c r="B227" s="4" t="s">
        <v>548</v>
      </c>
      <c r="C227" s="4" t="s">
        <v>167</v>
      </c>
      <c r="D227" s="4">
        <v>2016</v>
      </c>
      <c r="E227" s="12" t="s">
        <v>953</v>
      </c>
      <c r="F227" s="4" t="s">
        <v>961</v>
      </c>
      <c r="G227" s="4" t="s">
        <v>1315</v>
      </c>
      <c r="H227" s="31" t="s">
        <v>1316</v>
      </c>
      <c r="I227" s="14"/>
      <c r="J227" s="13">
        <v>44413</v>
      </c>
      <c r="K227" s="25"/>
      <c r="L227" s="14"/>
      <c r="M227" s="14"/>
      <c r="N227" s="4"/>
      <c r="O227" s="18"/>
      <c r="P227" s="14"/>
      <c r="Q227" s="15" t="str">
        <f t="shared" si="12"/>
        <v>N/A</v>
      </c>
      <c r="R227" s="12" t="s">
        <v>735</v>
      </c>
      <c r="S227" s="16" cm="1">
        <f t="array" ref="S227">IF(R227="",0,COUNTA(_xlfn._xlws.FILTER(_xlfn.TEXTSPLIT(R227,";"), _xlfn.TEXTSPLIT(R227,";")&lt;&gt;"")))</f>
        <v>7</v>
      </c>
      <c r="T227" s="12" t="s">
        <v>765</v>
      </c>
      <c r="U227" s="16" cm="1">
        <f t="array" ref="U227">IF(T227="",0,COUNTA(_xlfn._xlws.FILTER(_xlfn.TEXTSPLIT(T227,";"), _xlfn.TEXTSPLIT(T227,";")&lt;&gt;"")))</f>
        <v>1</v>
      </c>
      <c r="V227" s="17">
        <f t="shared" si="13"/>
        <v>0.14285714285714285</v>
      </c>
      <c r="W227" s="12" t="str" cm="1">
        <f t="array" ref="W227">IF(T227="",R227,_xlfn.LET(_xlpm.inv, TRIM(_xlfn.TEXTSPLIT(R227,";")),_xlpm.fol, TRIM(_xlfn.TEXTSPLIT(T227,";")),_xlfn.TEXTJOIN("; ", TRUE, _xlfn._xlws.FILTER(_xlpm.inv, ISNA(MATCH(_xlpm.inv, _xlpm.fol, 0)), ""))
  )
)</f>
        <v>10X Capital; Ajay Yadav; C2 Ventures; Camwood Ventures; Riverside Ventures; Spacestation</v>
      </c>
      <c r="X227" s="16" cm="1">
        <f t="array" ref="X227">IF(W227="","N/A",COUNTA(_xlfn._xlws.FILTER(_xlfn.TEXTSPLIT(W227,";"), _xlfn.TEXTSPLIT(W227,";")&lt;&gt;"")))</f>
        <v>6</v>
      </c>
      <c r="Y227" s="17">
        <f t="shared" si="14"/>
        <v>0.8571428571428571</v>
      </c>
      <c r="Z227" s="4" t="s">
        <v>812</v>
      </c>
      <c r="AA227" s="4" t="s">
        <v>813</v>
      </c>
      <c r="AB227" s="4" t="s">
        <v>849</v>
      </c>
      <c r="AC227" s="4" t="s">
        <v>517</v>
      </c>
    </row>
    <row r="228" spans="1:29" ht="29" x14ac:dyDescent="0.35">
      <c r="A228" s="4">
        <f t="shared" si="15"/>
        <v>226</v>
      </c>
      <c r="B228" s="4" t="s">
        <v>412</v>
      </c>
      <c r="C228" s="4" t="s">
        <v>413</v>
      </c>
      <c r="D228" s="4">
        <v>2013</v>
      </c>
      <c r="E228" s="12" t="s">
        <v>900</v>
      </c>
      <c r="F228" s="4" t="s">
        <v>960</v>
      </c>
      <c r="G228" s="4" t="s">
        <v>1319</v>
      </c>
      <c r="H228" s="4" t="s">
        <v>1320</v>
      </c>
      <c r="I228" s="14">
        <v>249.87</v>
      </c>
      <c r="J228" s="13">
        <v>45809</v>
      </c>
      <c r="K228" s="25"/>
      <c r="L228" s="14"/>
      <c r="M228" s="14"/>
      <c r="N228" s="4"/>
      <c r="O228" s="18"/>
      <c r="P228" s="14"/>
      <c r="Q228" s="15" t="str">
        <f t="shared" si="12"/>
        <v>N/A</v>
      </c>
      <c r="R228" s="12" t="s">
        <v>510</v>
      </c>
      <c r="S228" s="16" cm="1">
        <f t="array" ref="S228">IF(R228="",0,COUNTA(_xlfn._xlws.FILTER(_xlfn.TEXTSPLIT(R228,";"), _xlfn.TEXTSPLIT(R228,";")&lt;&gt;"")))</f>
        <v>1</v>
      </c>
      <c r="T228" s="12"/>
      <c r="U228" s="16" cm="1">
        <f t="array" ref="U228">IF(T228="",0,COUNTA(_xlfn._xlws.FILTER(_xlfn.TEXTSPLIT(T228,";"), _xlfn.TEXTSPLIT(T228,";")&lt;&gt;"")))</f>
        <v>0</v>
      </c>
      <c r="V228" s="17">
        <f t="shared" si="13"/>
        <v>0</v>
      </c>
      <c r="W228" s="12" t="str" cm="1">
        <f t="array" ref="W228">IF(T228="",R228,_xlfn.LET(_xlpm.inv, TRIM(_xlfn.TEXTSPLIT(R228,";")),_xlpm.fol, TRIM(_xlfn.TEXTSPLIT(T228,";")),_xlfn.TEXTJOIN("; ", TRUE, _xlfn._xlws.FILTER(_xlpm.inv, ISNA(MATCH(_xlpm.inv, _xlpm.fol, 0)), ""))
  )
)</f>
        <v xml:space="preserve">Aliment Capital </v>
      </c>
      <c r="X228" s="16" cm="1">
        <f t="array" ref="X228">IF(W228="","N/A",COUNTA(_xlfn._xlws.FILTER(_xlfn.TEXTSPLIT(W228,";"), _xlfn.TEXTSPLIT(W228,";")&lt;&gt;"")))</f>
        <v>1</v>
      </c>
      <c r="Y228" s="17">
        <f t="shared" si="14"/>
        <v>1</v>
      </c>
      <c r="Z228" s="4" t="s">
        <v>815</v>
      </c>
      <c r="AA228" s="4"/>
      <c r="AB228" s="4" t="s">
        <v>873</v>
      </c>
      <c r="AC228" s="4" t="s">
        <v>517</v>
      </c>
    </row>
    <row r="229" spans="1:29" ht="43.5" x14ac:dyDescent="0.35">
      <c r="A229" s="4">
        <f t="shared" si="15"/>
        <v>227</v>
      </c>
      <c r="B229" s="4" t="s">
        <v>414</v>
      </c>
      <c r="C229" s="4" t="s">
        <v>415</v>
      </c>
      <c r="D229" s="4">
        <v>2022</v>
      </c>
      <c r="E229" s="12" t="s">
        <v>907</v>
      </c>
      <c r="F229" s="4" t="s">
        <v>963</v>
      </c>
      <c r="G229" s="4" t="s">
        <v>1392</v>
      </c>
      <c r="H229" s="4" t="s">
        <v>1321</v>
      </c>
      <c r="I229" s="14">
        <v>58.2</v>
      </c>
      <c r="J229" s="13">
        <v>45610</v>
      </c>
      <c r="K229" s="25"/>
      <c r="L229" s="14">
        <v>54</v>
      </c>
      <c r="M229" s="14"/>
      <c r="N229" s="4"/>
      <c r="O229" s="18"/>
      <c r="P229" s="14"/>
      <c r="Q229" s="15">
        <f t="shared" si="12"/>
        <v>0</v>
      </c>
      <c r="R229" s="12" t="s">
        <v>736</v>
      </c>
      <c r="S229" s="16" cm="1">
        <f t="array" ref="S229">IF(R229="",0,COUNTA(_xlfn._xlws.FILTER(_xlfn.TEXTSPLIT(R229,";"), _xlfn.TEXTSPLIT(R229,";")&lt;&gt;"")))</f>
        <v>15</v>
      </c>
      <c r="T229" s="12" t="s">
        <v>766</v>
      </c>
      <c r="U229" s="16" cm="1">
        <f t="array" ref="U229">IF(T229="",0,COUNTA(_xlfn._xlws.FILTER(_xlfn.TEXTSPLIT(T229,";"), _xlfn.TEXTSPLIT(T229,";")&lt;&gt;"")))</f>
        <v>6</v>
      </c>
      <c r="V229" s="17">
        <f t="shared" si="13"/>
        <v>0.4</v>
      </c>
      <c r="W229" s="12" t="str" cm="1">
        <f t="array" ref="W229">IF(T229="",R229,_xlfn.LET(_xlpm.inv, TRIM(_xlfn.TEXTSPLIT(R229,";")),_xlpm.fol, TRIM(_xlfn.TEXTSPLIT(T229,";")),_xlfn.TEXTJOIN("; ", TRUE, _xlfn._xlws.FILTER(_xlpm.inv, ISNA(MATCH(_xlpm.inv, _xlpm.fol, 0)), ""))
  )
)</f>
        <v>Alphabet; Cisco Foundation; Cisco Investments; George Roberts; Gigascale Capital; Kleiner Perkins; Kyber Knight Capital; Microsoft; Sheryl Sandberg; Valor Capital Group</v>
      </c>
      <c r="X229" s="16" cm="1">
        <f t="array" ref="X229">IF(W229="","N/A",COUNTA(_xlfn._xlws.FILTER(_xlfn.TEXTSPLIT(W229,";"), _xlfn.TEXTSPLIT(W229,";")&lt;&gt;"")))</f>
        <v>10</v>
      </c>
      <c r="Y229" s="17">
        <f t="shared" si="14"/>
        <v>0.66666666666666663</v>
      </c>
      <c r="Z229" s="4" t="s">
        <v>817</v>
      </c>
      <c r="AA229" s="4" t="s">
        <v>831</v>
      </c>
      <c r="AB229" s="4" t="s">
        <v>825</v>
      </c>
      <c r="AC229" s="4" t="s">
        <v>517</v>
      </c>
    </row>
    <row r="230" spans="1:29" ht="29" x14ac:dyDescent="0.35">
      <c r="A230" s="4">
        <f t="shared" si="15"/>
        <v>228</v>
      </c>
      <c r="B230" s="4" t="s">
        <v>416</v>
      </c>
      <c r="C230" s="4" t="s">
        <v>417</v>
      </c>
      <c r="D230" s="4">
        <v>2020</v>
      </c>
      <c r="E230" s="12" t="s">
        <v>931</v>
      </c>
      <c r="F230" s="4" t="s">
        <v>963</v>
      </c>
      <c r="G230" s="4" t="s">
        <v>1322</v>
      </c>
      <c r="H230" s="4" t="s">
        <v>1323</v>
      </c>
      <c r="I230" s="14">
        <v>84.47</v>
      </c>
      <c r="J230" s="13">
        <v>45215</v>
      </c>
      <c r="K230" s="25">
        <v>2.12</v>
      </c>
      <c r="L230" s="14">
        <v>48</v>
      </c>
      <c r="M230" s="14">
        <v>153</v>
      </c>
      <c r="N230" s="4" t="s">
        <v>499</v>
      </c>
      <c r="O230" s="18">
        <v>1</v>
      </c>
      <c r="P230" s="14"/>
      <c r="Q230" s="15">
        <f t="shared" si="12"/>
        <v>0</v>
      </c>
      <c r="R230" s="12" t="s">
        <v>737</v>
      </c>
      <c r="S230" s="16" cm="1">
        <f t="array" ref="S230">IF(R230="",0,COUNTA(_xlfn._xlws.FILTER(_xlfn.TEXTSPLIT(R230,";"), _xlfn.TEXTSPLIT(R230,";")&lt;&gt;"")))</f>
        <v>8</v>
      </c>
      <c r="T230" s="12"/>
      <c r="U230" s="16" cm="1">
        <f t="array" ref="U230">IF(T230="",0,COUNTA(_xlfn._xlws.FILTER(_xlfn.TEXTSPLIT(T230,";"), _xlfn.TEXTSPLIT(T230,";")&lt;&gt;"")))</f>
        <v>0</v>
      </c>
      <c r="V230" s="17">
        <f t="shared" si="13"/>
        <v>0</v>
      </c>
      <c r="W230" s="12" t="str" cm="1">
        <f t="array" ref="W230">IF(T230="",R230,_xlfn.LET(_xlpm.inv, TRIM(_xlfn.TEXTSPLIT(R230,";")),_xlpm.fol, TRIM(_xlfn.TEXTSPLIT(T230,";")),_xlfn.TEXTJOIN("; ", TRUE, _xlfn._xlws.FILTER(_xlpm.inv, ISNA(MATCH(_xlpm.inv, _xlpm.fol, 0)), ""))
  )
)</f>
        <v>Calm Ventures; Fanjul Capital; Gaingels; Knockout Capital; Lombardstreet Ventures; Relumin; The Scope Fund; VISION</v>
      </c>
      <c r="X230" s="16" cm="1">
        <f t="array" ref="X230">IF(W230="","N/A",COUNTA(_xlfn._xlws.FILTER(_xlfn.TEXTSPLIT(W230,";"), _xlfn.TEXTSPLIT(W230,";")&lt;&gt;"")))</f>
        <v>8</v>
      </c>
      <c r="Y230" s="17">
        <f t="shared" si="14"/>
        <v>1</v>
      </c>
      <c r="Z230" s="4" t="s">
        <v>817</v>
      </c>
      <c r="AA230" s="4" t="s">
        <v>831</v>
      </c>
      <c r="AB230" s="4" t="s">
        <v>881</v>
      </c>
      <c r="AC230" s="4" t="s">
        <v>517</v>
      </c>
    </row>
    <row r="231" spans="1:29" ht="29" x14ac:dyDescent="0.35">
      <c r="A231" s="4">
        <f t="shared" si="15"/>
        <v>229</v>
      </c>
      <c r="B231" s="4" t="s">
        <v>418</v>
      </c>
      <c r="C231" s="4" t="s">
        <v>419</v>
      </c>
      <c r="D231" s="4">
        <v>2006</v>
      </c>
      <c r="E231" s="12" t="s">
        <v>954</v>
      </c>
      <c r="F231" s="4" t="s">
        <v>557</v>
      </c>
      <c r="G231" s="4" t="s">
        <v>1324</v>
      </c>
      <c r="H231" s="4" t="s">
        <v>1325</v>
      </c>
      <c r="I231" s="14">
        <v>10008</v>
      </c>
      <c r="J231" s="13">
        <v>44868</v>
      </c>
      <c r="K231" s="25"/>
      <c r="L231" s="14">
        <v>830</v>
      </c>
      <c r="M231" s="14"/>
      <c r="N231" s="4"/>
      <c r="O231" s="18"/>
      <c r="P231" s="14"/>
      <c r="Q231" s="15">
        <f t="shared" si="12"/>
        <v>0</v>
      </c>
      <c r="R231" s="12" t="s">
        <v>738</v>
      </c>
      <c r="S231" s="16" cm="1">
        <f t="array" ref="S231">IF(R231="",0,COUNTA(_xlfn._xlws.FILTER(_xlfn.TEXTSPLIT(R231,";"), _xlfn.TEXTSPLIT(R231,";")&lt;&gt;"")))</f>
        <v>6</v>
      </c>
      <c r="T231" s="12"/>
      <c r="U231" s="16" cm="1">
        <f t="array" ref="U231">IF(T231="",0,COUNTA(_xlfn._xlws.FILTER(_xlfn.TEXTSPLIT(T231,";"), _xlfn.TEXTSPLIT(T231,";")&lt;&gt;"")))</f>
        <v>0</v>
      </c>
      <c r="V231" s="17">
        <f t="shared" si="13"/>
        <v>0</v>
      </c>
      <c r="W231" s="12" t="str" cm="1">
        <f t="array" ref="W231">IF(T231="",R231,_xlfn.LET(_xlpm.inv, TRIM(_xlfn.TEXTSPLIT(R231,";")),_xlpm.fol, TRIM(_xlfn.TEXTSPLIT(T231,";")),_xlfn.TEXTJOIN("; ", TRUE, _xlfn._xlws.FILTER(_xlpm.inv, ISNA(MATCH(_xlpm.inv, _xlpm.fol, 0)), ""))
  )
)</f>
        <v>ArcelorMittal; Cascade Investment; Hedonova; Korea Shipbuilding and Offshore Engineering; SK Group; SK Innovation</v>
      </c>
      <c r="X231" s="16" cm="1">
        <f t="array" ref="X231">IF(W231="","N/A",COUNTA(_xlfn._xlws.FILTER(_xlfn.TEXTSPLIT(W231,";"), _xlfn.TEXTSPLIT(W231,";")&lt;&gt;"")))</f>
        <v>6</v>
      </c>
      <c r="Y231" s="17">
        <f t="shared" si="14"/>
        <v>1</v>
      </c>
      <c r="Z231" s="4" t="s">
        <v>810</v>
      </c>
      <c r="AA231" s="4" t="s">
        <v>813</v>
      </c>
      <c r="AB231" s="4" t="s">
        <v>811</v>
      </c>
      <c r="AC231" s="4" t="s">
        <v>517</v>
      </c>
    </row>
    <row r="232" spans="1:29" x14ac:dyDescent="0.35">
      <c r="A232" s="4">
        <f t="shared" si="15"/>
        <v>230</v>
      </c>
      <c r="B232" s="4" t="s">
        <v>420</v>
      </c>
      <c r="C232" s="4" t="s">
        <v>421</v>
      </c>
      <c r="D232" s="4">
        <v>2012</v>
      </c>
      <c r="E232" s="12" t="s">
        <v>916</v>
      </c>
      <c r="F232" s="4" t="s">
        <v>960</v>
      </c>
      <c r="G232" s="4" t="s">
        <v>1326</v>
      </c>
      <c r="H232" s="4" t="s">
        <v>1327</v>
      </c>
      <c r="I232" s="14">
        <v>2.88</v>
      </c>
      <c r="J232" s="13">
        <v>42348</v>
      </c>
      <c r="K232" s="25">
        <v>2.86</v>
      </c>
      <c r="L232" s="14">
        <v>2.1</v>
      </c>
      <c r="M232" s="14">
        <v>13.6</v>
      </c>
      <c r="N232" s="4" t="s">
        <v>471</v>
      </c>
      <c r="O232" s="18">
        <v>2.41</v>
      </c>
      <c r="P232" s="14"/>
      <c r="Q232" s="15">
        <f t="shared" si="12"/>
        <v>0</v>
      </c>
      <c r="R232" s="12"/>
      <c r="S232" s="16" cm="1">
        <f t="array" ref="S232">IF(R232="",0,COUNTA(_xlfn._xlws.FILTER(_xlfn.TEXTSPLIT(R232,";"), _xlfn.TEXTSPLIT(R232,";")&lt;&gt;"")))</f>
        <v>0</v>
      </c>
      <c r="T232" s="12"/>
      <c r="U232" s="16" cm="1">
        <f t="array" ref="U232">IF(T232="",0,COUNTA(_xlfn._xlws.FILTER(_xlfn.TEXTSPLIT(T232,";"), _xlfn.TEXTSPLIT(T232,";")&lt;&gt;"")))</f>
        <v>0</v>
      </c>
      <c r="V232" s="17" t="str">
        <f t="shared" si="13"/>
        <v>N/A</v>
      </c>
      <c r="W232" s="12" cm="1">
        <f t="array" ref="W232">IF(T232="",R232,_xlfn.LET(_xlpm.inv, TRIM(_xlfn.TEXTSPLIT(R232,";")),_xlpm.fol, TRIM(_xlfn.TEXTSPLIT(T232,";")),_xlfn.TEXTJOIN("; ", TRUE, _xlfn._xlws.FILTER(_xlpm.inv, ISNA(MATCH(_xlpm.inv, _xlpm.fol, 0)), ""))
  )
)</f>
        <v>0</v>
      </c>
      <c r="X232" s="16" cm="1">
        <f t="array" ref="X232">IF(W232="","N/A",COUNTA(_xlfn._xlws.FILTER(_xlfn.TEXTSPLIT(W232,";"), _xlfn.TEXTSPLIT(W232,";")&lt;&gt;"")))</f>
        <v>1</v>
      </c>
      <c r="Y232" s="17" t="str">
        <f t="shared" si="14"/>
        <v>N/A</v>
      </c>
      <c r="Z232" s="4" t="s">
        <v>817</v>
      </c>
      <c r="AA232" s="4" t="s">
        <v>830</v>
      </c>
      <c r="AB232" s="4" t="s">
        <v>825</v>
      </c>
      <c r="AC232" s="4" t="s">
        <v>517</v>
      </c>
    </row>
    <row r="233" spans="1:29" ht="72.5" x14ac:dyDescent="0.35">
      <c r="A233" s="4">
        <f t="shared" si="15"/>
        <v>231</v>
      </c>
      <c r="B233" s="4" t="s">
        <v>144</v>
      </c>
      <c r="C233" s="4" t="s">
        <v>167</v>
      </c>
      <c r="D233" s="4">
        <v>2020</v>
      </c>
      <c r="E233" s="12" t="s">
        <v>922</v>
      </c>
      <c r="F233" s="4" t="s">
        <v>960</v>
      </c>
      <c r="G233" s="4" t="s">
        <v>1328</v>
      </c>
      <c r="H233" s="4" t="s">
        <v>1329</v>
      </c>
      <c r="I233" s="14">
        <v>4.1500000000000004</v>
      </c>
      <c r="J233" s="13">
        <v>45246</v>
      </c>
      <c r="K233" s="25"/>
      <c r="L233" s="14">
        <v>4.1500000000000004</v>
      </c>
      <c r="M233" s="14">
        <v>12.15</v>
      </c>
      <c r="N233" s="4"/>
      <c r="O233" s="18"/>
      <c r="P233" s="14"/>
      <c r="Q233" s="15">
        <f t="shared" si="12"/>
        <v>0</v>
      </c>
      <c r="R233" s="12" t="s">
        <v>739</v>
      </c>
      <c r="S233" s="16" cm="1">
        <f t="array" ref="S233">IF(R233="",0,COUNTA(_xlfn._xlws.FILTER(_xlfn.TEXTSPLIT(R233,";"), _xlfn.TEXTSPLIT(R233,";")&lt;&gt;"")))</f>
        <v>22</v>
      </c>
      <c r="T233" s="12" t="s">
        <v>767</v>
      </c>
      <c r="U233" s="16" cm="1">
        <f t="array" ref="U233">IF(T233="",0,COUNTA(_xlfn._xlws.FILTER(_xlfn.TEXTSPLIT(T233,";"), _xlfn.TEXTSPLIT(T233,";")&lt;&gt;"")))</f>
        <v>2</v>
      </c>
      <c r="V233" s="17">
        <f t="shared" si="13"/>
        <v>9.0909090909090912E-2</v>
      </c>
      <c r="W233" s="12" t="str" cm="1">
        <f t="array" ref="W233">IF(T233="",R233,_xlfn.LET(_xlpm.inv, TRIM(_xlfn.TEXTSPLIT(R233,";")),_xlpm.fol, TRIM(_xlfn.TEXTSPLIT(T233,";")),_xlfn.TEXTJOIN("; ", TRUE, _xlfn._xlws.FILTER(_xlpm.inv, ISNA(MATCH(_xlpm.inv, _xlpm.fol, 0)), ""))
  )
)</f>
        <v>Aria Emiko; Beck Koss; Benjamin Stokes; C3 Ventures; Carrier-ok; Chasing Rainbows; Claire England; Climate Capital; CRCM Ventures; Davic Weissman; Earth Venture Capital; Gaingles; Happiness Capital; Karan Goel; Meliorare Partners; MiH Ventures; Nucleus Adventure Capital; Portfolia; Raphael Carteni; Van Ngo</v>
      </c>
      <c r="X233" s="16" cm="1">
        <f t="array" ref="X233">IF(W233="","N/A",COUNTA(_xlfn._xlws.FILTER(_xlfn.TEXTSPLIT(W233,";"), _xlfn.TEXTSPLIT(W233,";")&lt;&gt;"")))</f>
        <v>20</v>
      </c>
      <c r="Y233" s="17">
        <f t="shared" si="14"/>
        <v>0.90909090909090906</v>
      </c>
      <c r="Z233" s="4" t="s">
        <v>812</v>
      </c>
      <c r="AA233" s="4" t="s">
        <v>79</v>
      </c>
      <c r="AB233" s="4" t="s">
        <v>882</v>
      </c>
      <c r="AC233" s="4" t="s">
        <v>517</v>
      </c>
    </row>
    <row r="234" spans="1:29" x14ac:dyDescent="0.35">
      <c r="A234" s="4">
        <f t="shared" si="15"/>
        <v>232</v>
      </c>
      <c r="B234" s="4" t="s">
        <v>422</v>
      </c>
      <c r="C234" s="4" t="s">
        <v>423</v>
      </c>
      <c r="D234" s="4">
        <v>2017</v>
      </c>
      <c r="E234" s="12" t="s">
        <v>947</v>
      </c>
      <c r="F234" s="4" t="s">
        <v>958</v>
      </c>
      <c r="G234" s="4" t="s">
        <v>1330</v>
      </c>
      <c r="H234" s="4" t="s">
        <v>1331</v>
      </c>
      <c r="I234" s="14">
        <v>6.27</v>
      </c>
      <c r="J234" s="13">
        <v>44813</v>
      </c>
      <c r="K234" s="25"/>
      <c r="L234" s="14">
        <v>4.67</v>
      </c>
      <c r="M234" s="14">
        <v>28.67</v>
      </c>
      <c r="N234" s="4" t="s">
        <v>471</v>
      </c>
      <c r="O234" s="18">
        <v>4.29</v>
      </c>
      <c r="P234" s="14"/>
      <c r="Q234" s="15">
        <f t="shared" si="12"/>
        <v>0</v>
      </c>
      <c r="R234" s="12" t="s">
        <v>508</v>
      </c>
      <c r="S234" s="16" cm="1">
        <f t="array" ref="S234">IF(R234="",0,COUNTA(_xlfn._xlws.FILTER(_xlfn.TEXTSPLIT(R234,";"), _xlfn.TEXTSPLIT(R234,";")&lt;&gt;"")))</f>
        <v>1</v>
      </c>
      <c r="T234" s="12"/>
      <c r="U234" s="16" cm="1">
        <f t="array" ref="U234">IF(T234="",0,COUNTA(_xlfn._xlws.FILTER(_xlfn.TEXTSPLIT(T234,";"), _xlfn.TEXTSPLIT(T234,";")&lt;&gt;"")))</f>
        <v>0</v>
      </c>
      <c r="V234" s="17">
        <f t="shared" si="13"/>
        <v>0</v>
      </c>
      <c r="W234" s="12" t="str" cm="1">
        <f t="array" ref="W234">IF(T234="",R234,_xlfn.LET(_xlpm.inv, TRIM(_xlfn.TEXTSPLIT(R234,";")),_xlpm.fol, TRIM(_xlfn.TEXTSPLIT(T234,";")),_xlfn.TEXTJOIN("; ", TRUE, _xlfn._xlws.FILTER(_xlpm.inv, ISNA(MATCH(_xlpm.inv, _xlpm.fol, 0)), ""))
  )
)</f>
        <v>Plug and Play Tech Center</v>
      </c>
      <c r="X234" s="16" cm="1">
        <f t="array" ref="X234">IF(W234="","N/A",COUNTA(_xlfn._xlws.FILTER(_xlfn.TEXTSPLIT(W234,";"), _xlfn.TEXTSPLIT(W234,";")&lt;&gt;"")))</f>
        <v>1</v>
      </c>
      <c r="Y234" s="17">
        <f t="shared" si="14"/>
        <v>1</v>
      </c>
      <c r="Z234" s="4" t="s">
        <v>812</v>
      </c>
      <c r="AA234" s="4" t="s">
        <v>813</v>
      </c>
      <c r="AB234" s="4" t="s">
        <v>867</v>
      </c>
      <c r="AC234" s="4" t="s">
        <v>517</v>
      </c>
    </row>
    <row r="235" spans="1:29" ht="29" x14ac:dyDescent="0.35">
      <c r="A235" s="4">
        <f t="shared" si="15"/>
        <v>233</v>
      </c>
      <c r="B235" s="4" t="s">
        <v>424</v>
      </c>
      <c r="C235" s="4" t="s">
        <v>357</v>
      </c>
      <c r="D235" s="4">
        <v>2020</v>
      </c>
      <c r="E235" s="12" t="s">
        <v>911</v>
      </c>
      <c r="F235" s="4" t="s">
        <v>960</v>
      </c>
      <c r="G235" s="4" t="s">
        <v>1332</v>
      </c>
      <c r="H235" s="4" t="s">
        <v>1333</v>
      </c>
      <c r="I235" s="14">
        <v>0.86</v>
      </c>
      <c r="J235" s="13">
        <v>45240</v>
      </c>
      <c r="K235" s="25">
        <v>1.36</v>
      </c>
      <c r="L235" s="14">
        <v>0.61</v>
      </c>
      <c r="M235" s="14">
        <v>10.5</v>
      </c>
      <c r="N235" s="4" t="s">
        <v>471</v>
      </c>
      <c r="O235" s="18"/>
      <c r="P235" s="14"/>
      <c r="Q235" s="15">
        <f t="shared" si="12"/>
        <v>0</v>
      </c>
      <c r="R235" s="12"/>
      <c r="S235" s="16" cm="1">
        <f t="array" ref="S235">IF(R235="",0,COUNTA(_xlfn._xlws.FILTER(_xlfn.TEXTSPLIT(R235,";"), _xlfn.TEXTSPLIT(R235,";")&lt;&gt;"")))</f>
        <v>0</v>
      </c>
      <c r="T235" s="12"/>
      <c r="U235" s="16" cm="1">
        <f t="array" ref="U235">IF(T235="",0,COUNTA(_xlfn._xlws.FILTER(_xlfn.TEXTSPLIT(T235,";"), _xlfn.TEXTSPLIT(T235,";")&lt;&gt;"")))</f>
        <v>0</v>
      </c>
      <c r="V235" s="17" t="str">
        <f t="shared" si="13"/>
        <v>N/A</v>
      </c>
      <c r="W235" s="12" cm="1">
        <f t="array" ref="W235">IF(T235="",R235,_xlfn.LET(_xlpm.inv, TRIM(_xlfn.TEXTSPLIT(R235,";")),_xlpm.fol, TRIM(_xlfn.TEXTSPLIT(T235,";")),_xlfn.TEXTJOIN("; ", TRUE, _xlfn._xlws.FILTER(_xlpm.inv, ISNA(MATCH(_xlpm.inv, _xlpm.fol, 0)), ""))
  )
)</f>
        <v>0</v>
      </c>
      <c r="X235" s="16" cm="1">
        <f t="array" ref="X235">IF(W235="","N/A",COUNTA(_xlfn._xlws.FILTER(_xlfn.TEXTSPLIT(W235,";"), _xlfn.TEXTSPLIT(W235,";")&lt;&gt;"")))</f>
        <v>1</v>
      </c>
      <c r="Y235" s="17" t="str">
        <f t="shared" si="14"/>
        <v>N/A</v>
      </c>
      <c r="Z235" s="4" t="s">
        <v>817</v>
      </c>
      <c r="AA235" s="4" t="s">
        <v>831</v>
      </c>
      <c r="AB235" s="4" t="s">
        <v>883</v>
      </c>
      <c r="AC235" s="4" t="s">
        <v>517</v>
      </c>
    </row>
    <row r="236" spans="1:29" ht="58" x14ac:dyDescent="0.35">
      <c r="A236" s="4">
        <f t="shared" si="15"/>
        <v>234</v>
      </c>
      <c r="B236" s="4" t="s">
        <v>425</v>
      </c>
      <c r="C236" s="4" t="s">
        <v>278</v>
      </c>
      <c r="D236" s="4">
        <v>2015</v>
      </c>
      <c r="E236" s="12" t="s">
        <v>897</v>
      </c>
      <c r="F236" s="4" t="s">
        <v>960</v>
      </c>
      <c r="G236" s="4" t="s">
        <v>1334</v>
      </c>
      <c r="H236" s="4" t="s">
        <v>1335</v>
      </c>
      <c r="I236" s="14">
        <v>75.37</v>
      </c>
      <c r="J236" s="13">
        <v>44385</v>
      </c>
      <c r="K236" s="25">
        <v>0.36</v>
      </c>
      <c r="L236" s="14">
        <v>29</v>
      </c>
      <c r="M236" s="14">
        <v>155</v>
      </c>
      <c r="N236" s="4" t="s">
        <v>471</v>
      </c>
      <c r="O236" s="18">
        <v>1.57</v>
      </c>
      <c r="P236" s="14"/>
      <c r="Q236" s="15">
        <f t="shared" si="12"/>
        <v>0</v>
      </c>
      <c r="R236" s="12" t="s">
        <v>769</v>
      </c>
      <c r="S236" s="16" cm="1">
        <f t="array" ref="S236">IF(R236="",0,COUNTA(_xlfn._xlws.FILTER(_xlfn.TEXTSPLIT(R236,";"), _xlfn.TEXTSPLIT(R236,";")&lt;&gt;"")))</f>
        <v>18</v>
      </c>
      <c r="T236" s="12" t="s">
        <v>768</v>
      </c>
      <c r="U236" s="16" cm="1">
        <f t="array" ref="U236">IF(T236="",0,COUNTA(_xlfn._xlws.FILTER(_xlfn.TEXTSPLIT(T236,";"), _xlfn.TEXTSPLIT(T236,";")&lt;&gt;"")))</f>
        <v>6</v>
      </c>
      <c r="V236" s="17">
        <f t="shared" si="13"/>
        <v>0.33333333333333331</v>
      </c>
      <c r="W236" s="12" t="str" cm="1">
        <f t="array" ref="W236">IF(T236="",R236,_xlfn.LET(_xlpm.inv, TRIM(_xlfn.TEXTSPLIT(R236,";")),_xlpm.fol, TRIM(_xlfn.TEXTSPLIT(T236,";")),_xlfn.TEXTJOIN("; ", TRUE, _xlfn._xlws.FILTER(_xlpm.inv, ISNA(MATCH(_xlpm.inv, _xlpm.fol, 0)), ""))
  )
)</f>
        <v>Aera VC; Alpha Bridge Ventures; Capricorn Investment Group; Carbon Direct Capital Management; City Hill Ventures; Climate Capital; GC Venture Fellows; Lowercarbon Capital; Microsoft Climate Fund; Munich Re Ventures; Rising Tide Fund; Twynam Funds Management</v>
      </c>
      <c r="X236" s="16" cm="1">
        <f t="array" ref="X236">IF(W236="","N/A",COUNTA(_xlfn._xlws.FILTER(_xlfn.TEXTSPLIT(W236,";"), _xlfn.TEXTSPLIT(W236,";")&lt;&gt;"")))</f>
        <v>12</v>
      </c>
      <c r="Y236" s="17">
        <f t="shared" si="14"/>
        <v>0.66666666666666663</v>
      </c>
      <c r="Z236" s="4" t="s">
        <v>810</v>
      </c>
      <c r="AA236" s="4" t="s">
        <v>864</v>
      </c>
      <c r="AB236" s="4" t="s">
        <v>878</v>
      </c>
      <c r="AC236" s="4" t="s">
        <v>517</v>
      </c>
    </row>
    <row r="237" spans="1:29" ht="29" x14ac:dyDescent="0.35">
      <c r="A237" s="4">
        <f t="shared" si="15"/>
        <v>235</v>
      </c>
      <c r="B237" s="4" t="s">
        <v>145</v>
      </c>
      <c r="C237" s="4" t="s">
        <v>248</v>
      </c>
      <c r="D237" s="4"/>
      <c r="E237" s="12" t="s">
        <v>554</v>
      </c>
      <c r="F237" s="4" t="s">
        <v>961</v>
      </c>
      <c r="G237" s="4" t="s">
        <v>1336</v>
      </c>
      <c r="H237" s="4" t="s">
        <v>1337</v>
      </c>
      <c r="I237" s="14">
        <v>1.1599999999999999</v>
      </c>
      <c r="J237" s="13">
        <v>44874</v>
      </c>
      <c r="K237" s="25"/>
      <c r="L237" s="14"/>
      <c r="M237" s="14"/>
      <c r="N237" s="4"/>
      <c r="O237" s="18"/>
      <c r="P237" s="14"/>
      <c r="Q237" s="15" t="str">
        <f t="shared" si="12"/>
        <v>N/A</v>
      </c>
      <c r="R237" s="12" t="s">
        <v>740</v>
      </c>
      <c r="S237" s="16" cm="1">
        <f t="array" ref="S237">IF(R237="",0,COUNTA(_xlfn._xlws.FILTER(_xlfn.TEXTSPLIT(R237,";"), _xlfn.TEXTSPLIT(R237,";")&lt;&gt;"")))</f>
        <v>8</v>
      </c>
      <c r="T237" s="12"/>
      <c r="U237" s="16" cm="1">
        <f t="array" ref="U237">IF(T237="",0,COUNTA(_xlfn._xlws.FILTER(_xlfn.TEXTSPLIT(T237,";"), _xlfn.TEXTSPLIT(T237,";")&lt;&gt;"")))</f>
        <v>0</v>
      </c>
      <c r="V237" s="17">
        <f t="shared" si="13"/>
        <v>0</v>
      </c>
      <c r="W237" s="12" t="str" cm="1">
        <f t="array" ref="W237">IF(T237="",R237,_xlfn.LET(_xlpm.inv, TRIM(_xlfn.TEXTSPLIT(R237,";")),_xlpm.fol, TRIM(_xlfn.TEXTSPLIT(T237,";")),_xlfn.TEXTJOIN("; ", TRUE, _xlfn._xlws.FILTER(_xlpm.inv, ISNA(MATCH(_xlpm.inv, _xlpm.fol, 0)), ""))
  )
)</f>
        <v>Atlas Capital; Berg Energy Ventures; Collaborative Fund; CorDx; Gigascale Capital; Impact Science Ventures; Ryan Orr; The Atlas Capital</v>
      </c>
      <c r="X237" s="16" cm="1">
        <f t="array" ref="X237">IF(W237="","N/A",COUNTA(_xlfn._xlws.FILTER(_xlfn.TEXTSPLIT(W237,";"), _xlfn.TEXTSPLIT(W237,";")&lt;&gt;"")))</f>
        <v>8</v>
      </c>
      <c r="Y237" s="17">
        <f t="shared" si="14"/>
        <v>1</v>
      </c>
      <c r="Z237" s="4" t="s">
        <v>869</v>
      </c>
      <c r="AA237" s="4" t="s">
        <v>887</v>
      </c>
      <c r="AB237" s="4" t="s">
        <v>886</v>
      </c>
      <c r="AC237" s="4" t="s">
        <v>517</v>
      </c>
    </row>
    <row r="238" spans="1:29" x14ac:dyDescent="0.35">
      <c r="A238" s="4">
        <f t="shared" si="15"/>
        <v>236</v>
      </c>
      <c r="B238" s="4" t="s">
        <v>426</v>
      </c>
      <c r="C238" s="4" t="s">
        <v>282</v>
      </c>
      <c r="D238" s="4">
        <v>2011</v>
      </c>
      <c r="E238" s="12" t="s">
        <v>897</v>
      </c>
      <c r="F238" s="4" t="s">
        <v>962</v>
      </c>
      <c r="G238" s="4" t="s">
        <v>1338</v>
      </c>
      <c r="H238" s="4" t="s">
        <v>1339</v>
      </c>
      <c r="I238" s="14">
        <v>23.06</v>
      </c>
      <c r="J238" s="13">
        <v>42941</v>
      </c>
      <c r="K238" s="25">
        <v>1.51</v>
      </c>
      <c r="L238" s="14">
        <v>15</v>
      </c>
      <c r="M238" s="14">
        <v>30</v>
      </c>
      <c r="N238" s="4" t="s">
        <v>471</v>
      </c>
      <c r="O238" s="18">
        <v>1.25</v>
      </c>
      <c r="P238" s="14"/>
      <c r="Q238" s="15">
        <f t="shared" si="12"/>
        <v>0</v>
      </c>
      <c r="R238" s="12"/>
      <c r="S238" s="16" cm="1">
        <f t="array" ref="S238">IF(R238="",0,COUNTA(_xlfn._xlws.FILTER(_xlfn.TEXTSPLIT(R238,";"), _xlfn.TEXTSPLIT(R238,";")&lt;&gt;"")))</f>
        <v>0</v>
      </c>
      <c r="T238" s="12"/>
      <c r="U238" s="16" cm="1">
        <f t="array" ref="U238">IF(T238="",0,COUNTA(_xlfn._xlws.FILTER(_xlfn.TEXTSPLIT(T238,";"), _xlfn.TEXTSPLIT(T238,";")&lt;&gt;"")))</f>
        <v>0</v>
      </c>
      <c r="V238" s="17" t="str">
        <f t="shared" si="13"/>
        <v>N/A</v>
      </c>
      <c r="W238" s="12" cm="1">
        <f t="array" ref="W238">IF(T238="",R238,_xlfn.LET(_xlpm.inv, TRIM(_xlfn.TEXTSPLIT(R238,";")),_xlpm.fol, TRIM(_xlfn.TEXTSPLIT(T238,";")),_xlfn.TEXTJOIN("; ", TRUE, _xlfn._xlws.FILTER(_xlpm.inv, ISNA(MATCH(_xlpm.inv, _xlpm.fol, 0)), ""))
  )
)</f>
        <v>0</v>
      </c>
      <c r="X238" s="16" cm="1">
        <f t="array" ref="X238">IF(W238="","N/A",COUNTA(_xlfn._xlws.FILTER(_xlfn.TEXTSPLIT(W238,";"), _xlfn.TEXTSPLIT(W238,";")&lt;&gt;"")))</f>
        <v>1</v>
      </c>
      <c r="Y238" s="17" t="str">
        <f t="shared" si="14"/>
        <v>N/A</v>
      </c>
      <c r="Z238" s="4" t="s">
        <v>810</v>
      </c>
      <c r="AA238" s="4" t="s">
        <v>831</v>
      </c>
      <c r="AB238" s="4" t="s">
        <v>811</v>
      </c>
      <c r="AC238" s="4" t="s">
        <v>517</v>
      </c>
    </row>
    <row r="239" spans="1:29" ht="29" x14ac:dyDescent="0.35">
      <c r="A239" s="4">
        <f t="shared" si="15"/>
        <v>237</v>
      </c>
      <c r="B239" s="4" t="s">
        <v>426</v>
      </c>
      <c r="C239" s="4" t="s">
        <v>282</v>
      </c>
      <c r="D239" s="4">
        <v>2011</v>
      </c>
      <c r="E239" s="12" t="s">
        <v>897</v>
      </c>
      <c r="F239" s="4" t="s">
        <v>962</v>
      </c>
      <c r="G239" s="4" t="s">
        <v>1338</v>
      </c>
      <c r="H239" s="4" t="s">
        <v>1339</v>
      </c>
      <c r="I239" s="14">
        <v>31.06</v>
      </c>
      <c r="J239" s="13">
        <v>44273</v>
      </c>
      <c r="K239" s="25">
        <v>3.65</v>
      </c>
      <c r="L239" s="14">
        <v>8</v>
      </c>
      <c r="M239" s="14">
        <v>88</v>
      </c>
      <c r="N239" s="4" t="s">
        <v>471</v>
      </c>
      <c r="O239" s="18">
        <v>2.67</v>
      </c>
      <c r="P239" s="14"/>
      <c r="Q239" s="15">
        <f t="shared" si="12"/>
        <v>0</v>
      </c>
      <c r="R239" s="12" t="s">
        <v>741</v>
      </c>
      <c r="S239" s="16" cm="1">
        <f t="array" ref="S239">IF(R239="",0,COUNTA(_xlfn._xlws.FILTER(_xlfn.TEXTSPLIT(R239,";"), _xlfn.TEXTSPLIT(R239,";")&lt;&gt;"")))</f>
        <v>6</v>
      </c>
      <c r="T239" s="12"/>
      <c r="U239" s="16" cm="1">
        <f t="array" ref="U239">IF(T239="",0,COUNTA(_xlfn._xlws.FILTER(_xlfn.TEXTSPLIT(T239,";"), _xlfn.TEXTSPLIT(T239,";")&lt;&gt;"")))</f>
        <v>0</v>
      </c>
      <c r="V239" s="17">
        <f t="shared" si="13"/>
        <v>0</v>
      </c>
      <c r="W239" s="12" t="str" cm="1">
        <f t="array" ref="W239">IF(T239="",R239,_xlfn.LET(_xlpm.inv, TRIM(_xlfn.TEXTSPLIT(R239,";")),_xlpm.fol, TRIM(_xlfn.TEXTSPLIT(T239,";")),_xlfn.TEXTJOIN("; ", TRUE, _xlfn._xlws.FILTER(_xlpm.inv, ISNA(MATCH(_xlpm.inv, _xlpm.fol, 0)), ""))
  )
)</f>
        <v xml:space="preserve">Arunas Chesonis; Eneos Innovation Partners; Keith Wilson; Safar Partners; Keith Wilson; </v>
      </c>
      <c r="X239" s="16" cm="1">
        <f t="array" ref="X239">IF(W239="","N/A",COUNTA(_xlfn._xlws.FILTER(_xlfn.TEXTSPLIT(W239,";"), _xlfn.TEXTSPLIT(W239,";")&lt;&gt;"")))</f>
        <v>6</v>
      </c>
      <c r="Y239" s="17">
        <f t="shared" si="14"/>
        <v>1</v>
      </c>
      <c r="Z239" s="4" t="s">
        <v>810</v>
      </c>
      <c r="AA239" s="4" t="s">
        <v>820</v>
      </c>
      <c r="AB239" s="4" t="s">
        <v>811</v>
      </c>
      <c r="AC239" s="4" t="s">
        <v>517</v>
      </c>
    </row>
    <row r="240" spans="1:29" ht="29" x14ac:dyDescent="0.35">
      <c r="A240" s="4">
        <f t="shared" si="15"/>
        <v>238</v>
      </c>
      <c r="B240" s="4" t="s">
        <v>427</v>
      </c>
      <c r="C240" s="4" t="s">
        <v>248</v>
      </c>
      <c r="D240" s="4">
        <v>2019</v>
      </c>
      <c r="E240" s="12" t="s">
        <v>900</v>
      </c>
      <c r="F240" s="4" t="s">
        <v>959</v>
      </c>
      <c r="G240" s="4" t="s">
        <v>1340</v>
      </c>
      <c r="H240" s="4" t="s">
        <v>1341</v>
      </c>
      <c r="I240" s="14">
        <v>55</v>
      </c>
      <c r="J240" s="13">
        <v>45135</v>
      </c>
      <c r="K240" s="25">
        <v>2.17</v>
      </c>
      <c r="L240" s="14">
        <v>15</v>
      </c>
      <c r="M240" s="14">
        <v>145</v>
      </c>
      <c r="N240" s="4" t="s">
        <v>471</v>
      </c>
      <c r="O240" s="18">
        <v>2.2400000000000002</v>
      </c>
      <c r="P240" s="14"/>
      <c r="Q240" s="15">
        <f t="shared" si="12"/>
        <v>0</v>
      </c>
      <c r="R240" s="12" t="s">
        <v>512</v>
      </c>
      <c r="S240" s="16" cm="1">
        <f t="array" ref="S240">IF(R240="",0,COUNTA(_xlfn._xlws.FILTER(_xlfn.TEXTSPLIT(R240,";"), _xlfn.TEXTSPLIT(R240,";")&lt;&gt;"")))</f>
        <v>1</v>
      </c>
      <c r="T240" s="12"/>
      <c r="U240" s="16" cm="1">
        <f t="array" ref="U240">IF(T240="",0,COUNTA(_xlfn._xlws.FILTER(_xlfn.TEXTSPLIT(T240,";"), _xlfn.TEXTSPLIT(T240,";")&lt;&gt;"")))</f>
        <v>0</v>
      </c>
      <c r="V240" s="17">
        <f t="shared" si="13"/>
        <v>0</v>
      </c>
      <c r="W240" s="12" t="str" cm="1">
        <f t="array" ref="W240">IF(T240="",R240,_xlfn.LET(_xlpm.inv, TRIM(_xlfn.TEXTSPLIT(R240,";")),_xlpm.fol, TRIM(_xlfn.TEXTSPLIT(T240,";")),_xlfn.TEXTJOIN("; ", TRUE, _xlfn._xlws.FILTER(_xlpm.inv, ISNA(MATCH(_xlpm.inv, _xlpm.fol, 0)), ""))
  )
)</f>
        <v xml:space="preserve">Marathon Capital Management </v>
      </c>
      <c r="X240" s="16" cm="1">
        <f t="array" ref="X240">IF(W240="","N/A",COUNTA(_xlfn._xlws.FILTER(_xlfn.TEXTSPLIT(W240,";"), _xlfn.TEXTSPLIT(W240,";")&lt;&gt;"")))</f>
        <v>1</v>
      </c>
      <c r="Y240" s="17">
        <f t="shared" si="14"/>
        <v>1</v>
      </c>
      <c r="Z240" s="4" t="s">
        <v>817</v>
      </c>
      <c r="AA240" s="4" t="s">
        <v>823</v>
      </c>
      <c r="AB240" s="4" t="s">
        <v>824</v>
      </c>
      <c r="AC240" s="4" t="s">
        <v>517</v>
      </c>
    </row>
    <row r="241" spans="1:29" ht="29" x14ac:dyDescent="0.35">
      <c r="A241" s="4">
        <f t="shared" si="15"/>
        <v>239</v>
      </c>
      <c r="B241" s="4" t="s">
        <v>427</v>
      </c>
      <c r="C241" s="4" t="s">
        <v>248</v>
      </c>
      <c r="D241" s="4">
        <v>2019</v>
      </c>
      <c r="E241" s="12" t="s">
        <v>900</v>
      </c>
      <c r="F241" s="4" t="s">
        <v>959</v>
      </c>
      <c r="G241" s="4" t="s">
        <v>1340</v>
      </c>
      <c r="H241" s="4" t="s">
        <v>1341</v>
      </c>
      <c r="I241" s="14">
        <v>59.8</v>
      </c>
      <c r="J241" s="13">
        <v>45748</v>
      </c>
      <c r="K241" s="25"/>
      <c r="L241" s="14"/>
      <c r="M241" s="14"/>
      <c r="N241" s="4"/>
      <c r="O241" s="18"/>
      <c r="P241" s="14"/>
      <c r="Q241" s="15" t="str">
        <f t="shared" si="12"/>
        <v>N/A</v>
      </c>
      <c r="R241" s="12" t="s">
        <v>742</v>
      </c>
      <c r="S241" s="16" cm="1">
        <f t="array" ref="S241">IF(R241="",0,COUNTA(_xlfn._xlws.FILTER(_xlfn.TEXTSPLIT(R241,";"), _xlfn.TEXTSPLIT(R241,";")&lt;&gt;"")))</f>
        <v>1</v>
      </c>
      <c r="T241" s="12" t="s">
        <v>770</v>
      </c>
      <c r="U241" s="16" cm="1">
        <f t="array" ref="U241">IF(T241="",0,COUNTA(_xlfn._xlws.FILTER(_xlfn.TEXTSPLIT(T241,";"), _xlfn.TEXTSPLIT(T241,";")&lt;&gt;"")))</f>
        <v>1</v>
      </c>
      <c r="V241" s="17">
        <f t="shared" si="13"/>
        <v>1</v>
      </c>
      <c r="W241" s="12" t="str" cm="1">
        <f t="array" ref="W241">IF(T241="",R241,_xlfn.LET(_xlpm.inv, TRIM(_xlfn.TEXTSPLIT(R241,";")),_xlpm.fol, TRIM(_xlfn.TEXTSPLIT(T241,";")),_xlfn.TEXTJOIN("; ", TRUE, _xlfn._xlws.FILTER(_xlpm.inv, ISNA(MATCH(_xlpm.inv, _xlpm.fol, 0)), ""))
  )
)</f>
        <v/>
      </c>
      <c r="X241" s="16" t="str" cm="1">
        <f t="array" ref="X241">IF(W241="","N/A",COUNTA(_xlfn._xlws.FILTER(_xlfn.TEXTSPLIT(W241,";"), _xlfn.TEXTSPLIT(W241,";")&lt;&gt;"")))</f>
        <v>N/A</v>
      </c>
      <c r="Y241" s="17" t="str">
        <f t="shared" si="14"/>
        <v>N/A</v>
      </c>
      <c r="Z241" s="4" t="s">
        <v>815</v>
      </c>
      <c r="AA241" s="4"/>
      <c r="AB241" s="4" t="s">
        <v>824</v>
      </c>
      <c r="AC241" s="4" t="s">
        <v>517</v>
      </c>
    </row>
    <row r="242" spans="1:29" x14ac:dyDescent="0.35">
      <c r="A242" s="4">
        <f t="shared" si="15"/>
        <v>240</v>
      </c>
      <c r="B242" s="4" t="s">
        <v>147</v>
      </c>
      <c r="C242" s="4" t="s">
        <v>357</v>
      </c>
      <c r="D242" s="4">
        <v>1998</v>
      </c>
      <c r="E242" s="12" t="s">
        <v>180</v>
      </c>
      <c r="F242" s="4" t="s">
        <v>557</v>
      </c>
      <c r="G242" s="4" t="s">
        <v>1342</v>
      </c>
      <c r="H242" s="4" t="s">
        <v>1343</v>
      </c>
      <c r="I242" s="14"/>
      <c r="J242" s="13">
        <v>44460</v>
      </c>
      <c r="K242" s="25"/>
      <c r="L242" s="14"/>
      <c r="M242" s="14"/>
      <c r="N242" s="4"/>
      <c r="O242" s="18"/>
      <c r="P242" s="14"/>
      <c r="Q242" s="15" t="str">
        <f t="shared" si="12"/>
        <v>N/A</v>
      </c>
      <c r="R242" s="12"/>
      <c r="S242" s="16" cm="1">
        <f t="array" ref="S242">IF(R242="",0,COUNTA(_xlfn._xlws.FILTER(_xlfn.TEXTSPLIT(R242,";"), _xlfn.TEXTSPLIT(R242,";")&lt;&gt;"")))</f>
        <v>0</v>
      </c>
      <c r="T242" s="12"/>
      <c r="U242" s="16" cm="1">
        <f t="array" ref="U242">IF(T242="",0,COUNTA(_xlfn._xlws.FILTER(_xlfn.TEXTSPLIT(T242,";"), _xlfn.TEXTSPLIT(T242,";")&lt;&gt;"")))</f>
        <v>0</v>
      </c>
      <c r="V242" s="17" t="str">
        <f t="shared" si="13"/>
        <v>N/A</v>
      </c>
      <c r="W242" s="12" cm="1">
        <f t="array" ref="W242">IF(T242="",R242,_xlfn.LET(_xlpm.inv, TRIM(_xlfn.TEXTSPLIT(R242,";")),_xlpm.fol, TRIM(_xlfn.TEXTSPLIT(T242,";")),_xlfn.TEXTJOIN("; ", TRUE, _xlfn._xlws.FILTER(_xlpm.inv, ISNA(MATCH(_xlpm.inv, _xlpm.fol, 0)), ""))
  )
)</f>
        <v>0</v>
      </c>
      <c r="X242" s="16" cm="1">
        <f t="array" ref="X242">IF(W242="","N/A",COUNTA(_xlfn._xlws.FILTER(_xlfn.TEXTSPLIT(W242,";"), _xlfn.TEXTSPLIT(W242,";")&lt;&gt;"")))</f>
        <v>1</v>
      </c>
      <c r="Y242" s="17" t="str">
        <f t="shared" si="14"/>
        <v>N/A</v>
      </c>
      <c r="Z242" s="4" t="s">
        <v>815</v>
      </c>
      <c r="AA242" s="4"/>
      <c r="AB242" s="4" t="s">
        <v>819</v>
      </c>
      <c r="AC242" s="4" t="s">
        <v>517</v>
      </c>
    </row>
    <row r="243" spans="1:29" ht="29" x14ac:dyDescent="0.35">
      <c r="A243" s="4">
        <f t="shared" si="15"/>
        <v>241</v>
      </c>
      <c r="B243" s="4" t="s">
        <v>428</v>
      </c>
      <c r="C243" s="4" t="s">
        <v>278</v>
      </c>
      <c r="D243" s="4">
        <v>2015</v>
      </c>
      <c r="E243" s="12" t="s">
        <v>902</v>
      </c>
      <c r="F243" s="4" t="s">
        <v>958</v>
      </c>
      <c r="G243" s="4" t="s">
        <v>1344</v>
      </c>
      <c r="H243" s="4" t="s">
        <v>1345</v>
      </c>
      <c r="I243" s="14">
        <v>5.17</v>
      </c>
      <c r="J243" s="13">
        <v>42482</v>
      </c>
      <c r="K243" s="25"/>
      <c r="L243" s="14">
        <v>4.92</v>
      </c>
      <c r="M243" s="14">
        <v>24.92</v>
      </c>
      <c r="N243" s="4"/>
      <c r="O243" s="18"/>
      <c r="P243" s="14"/>
      <c r="Q243" s="15">
        <f t="shared" si="12"/>
        <v>0</v>
      </c>
      <c r="R243" s="12" t="s">
        <v>743</v>
      </c>
      <c r="S243" s="16" cm="1">
        <f t="array" ref="S243">IF(R243="",0,COUNTA(_xlfn._xlws.FILTER(_xlfn.TEXTSPLIT(R243,";"), _xlfn.TEXTSPLIT(R243,";")&lt;&gt;"")))</f>
        <v>4</v>
      </c>
      <c r="T243" s="12" t="s">
        <v>489</v>
      </c>
      <c r="U243" s="16" cm="1">
        <f t="array" ref="U243">IF(T243="",0,COUNTA(_xlfn._xlws.FILTER(_xlfn.TEXTSPLIT(T243,";"), _xlfn.TEXTSPLIT(T243,";")&lt;&gt;"")))</f>
        <v>1</v>
      </c>
      <c r="V243" s="17">
        <f t="shared" si="13"/>
        <v>0.25</v>
      </c>
      <c r="W243" s="12" t="str" cm="1">
        <f t="array" ref="W243">IF(T243="",R243,_xlfn.LET(_xlpm.inv, TRIM(_xlfn.TEXTSPLIT(R243,";")),_xlpm.fol, TRIM(_xlfn.TEXTSPLIT(T243,";")),_xlfn.TEXTJOIN("; ", TRUE, _xlfn._xlws.FILTER(_xlpm.inv, ISNA(MATCH(_xlpm.inv, _xlpm.fol, 0)), ""))
  )
)</f>
        <v>Fifty Years; Stray Dog Capital; Unovis Asset Management</v>
      </c>
      <c r="X243" s="16" cm="1">
        <f t="array" ref="X243">IF(W243="","N/A",COUNTA(_xlfn._xlws.FILTER(_xlfn.TEXTSPLIT(W243,";"), _xlfn.TEXTSPLIT(W243,";")&lt;&gt;"")))</f>
        <v>3</v>
      </c>
      <c r="Y243" s="17">
        <f t="shared" si="14"/>
        <v>0.75</v>
      </c>
      <c r="Z243" s="4" t="s">
        <v>817</v>
      </c>
      <c r="AA243" s="4" t="s">
        <v>831</v>
      </c>
      <c r="AB243" s="4" t="s">
        <v>821</v>
      </c>
      <c r="AC243" s="4" t="s">
        <v>517</v>
      </c>
    </row>
    <row r="244" spans="1:29" ht="43.5" x14ac:dyDescent="0.35">
      <c r="A244" s="4">
        <f t="shared" si="15"/>
        <v>242</v>
      </c>
      <c r="B244" s="4" t="s">
        <v>428</v>
      </c>
      <c r="C244" s="4" t="s">
        <v>278</v>
      </c>
      <c r="D244" s="4">
        <v>2015</v>
      </c>
      <c r="E244" s="12" t="s">
        <v>902</v>
      </c>
      <c r="F244" s="4" t="s">
        <v>958</v>
      </c>
      <c r="G244" s="4" t="s">
        <v>1344</v>
      </c>
      <c r="H244" s="4" t="s">
        <v>1345</v>
      </c>
      <c r="I244" s="14">
        <v>22.17</v>
      </c>
      <c r="J244" s="13">
        <v>42970</v>
      </c>
      <c r="K244" s="25">
        <v>1.34</v>
      </c>
      <c r="L244" s="14">
        <v>17</v>
      </c>
      <c r="M244" s="14">
        <v>77</v>
      </c>
      <c r="N244" s="4" t="s">
        <v>471</v>
      </c>
      <c r="O244" s="18">
        <v>2.41</v>
      </c>
      <c r="P244" s="14"/>
      <c r="Q244" s="15">
        <f t="shared" si="12"/>
        <v>0</v>
      </c>
      <c r="R244" s="12" t="s">
        <v>744</v>
      </c>
      <c r="S244" s="16" cm="1">
        <f t="array" ref="S244">IF(R244="",0,COUNTA(_xlfn._xlws.FILTER(_xlfn.TEXTSPLIT(R244,";"), _xlfn.TEXTSPLIT(R244,";")&lt;&gt;"")))</f>
        <v>15</v>
      </c>
      <c r="T244" s="12" t="s">
        <v>771</v>
      </c>
      <c r="U244" s="16" cm="1">
        <f t="array" ref="U244">IF(T244="",0,COUNTA(_xlfn._xlws.FILTER(_xlfn.TEXTSPLIT(T244,";"), _xlfn.TEXTSPLIT(T244,";")&lt;&gt;"")))</f>
        <v>3</v>
      </c>
      <c r="V244" s="17">
        <f t="shared" si="13"/>
        <v>0.2</v>
      </c>
      <c r="W244" s="12" t="str" cm="1">
        <f t="array" ref="W244">IF(T244="",R244,_xlfn.LET(_xlpm.inv, TRIM(_xlfn.TEXTSPLIT(R244,";")),_xlpm.fol, TRIM(_xlfn.TEXTSPLIT(T244,";")),_xlfn.TEXTJOIN("; ", TRUE, _xlfn._xlws.FILTER(_xlpm.inv, ISNA(MATCH(_xlpm.inv, _xlpm.fol, 0)), ""))
  )
)</f>
        <v>Atomico; Avi Brown; Cargill; Five Seasons Ventures; Gates Ventures; Inevitable Ventures; John Welch; KBW Ventures; Kimbal Musk; Kyle Vogt; Richard Branson; Threshold Management</v>
      </c>
      <c r="X244" s="16" cm="1">
        <f t="array" ref="X244">IF(W244="","N/A",COUNTA(_xlfn._xlws.FILTER(_xlfn.TEXTSPLIT(W244,";"), _xlfn.TEXTSPLIT(W244,";")&lt;&gt;"")))</f>
        <v>12</v>
      </c>
      <c r="Y244" s="17">
        <f t="shared" si="14"/>
        <v>0.8</v>
      </c>
      <c r="Z244" s="4" t="s">
        <v>817</v>
      </c>
      <c r="AA244" s="4" t="s">
        <v>828</v>
      </c>
      <c r="AB244" s="4" t="s">
        <v>821</v>
      </c>
      <c r="AC244" s="4" t="s">
        <v>517</v>
      </c>
    </row>
    <row r="245" spans="1:29" ht="87" x14ac:dyDescent="0.35">
      <c r="A245" s="4">
        <f t="shared" si="15"/>
        <v>243</v>
      </c>
      <c r="B245" s="4" t="s">
        <v>428</v>
      </c>
      <c r="C245" s="4" t="s">
        <v>278</v>
      </c>
      <c r="D245" s="4">
        <v>2015</v>
      </c>
      <c r="E245" s="12" t="s">
        <v>902</v>
      </c>
      <c r="F245" s="4" t="s">
        <v>958</v>
      </c>
      <c r="G245" s="4" t="s">
        <v>1344</v>
      </c>
      <c r="H245" s="4" t="s">
        <v>1345</v>
      </c>
      <c r="I245" s="14">
        <v>208.42</v>
      </c>
      <c r="J245" s="13">
        <v>43931</v>
      </c>
      <c r="K245" s="25">
        <v>2.27</v>
      </c>
      <c r="L245" s="14">
        <v>186.25</v>
      </c>
      <c r="M245" s="14">
        <v>586</v>
      </c>
      <c r="N245" s="4"/>
      <c r="O245" s="18"/>
      <c r="P245" s="14"/>
      <c r="Q245" s="15">
        <f t="shared" si="12"/>
        <v>0</v>
      </c>
      <c r="R245" s="12" t="s">
        <v>745</v>
      </c>
      <c r="S245" s="16" cm="1">
        <f t="array" ref="S245">IF(R245="",0,COUNTA(_xlfn._xlws.FILTER(_xlfn.TEXTSPLIT(R245,";"), _xlfn.TEXTSPLIT(R245,";")&lt;&gt;"")))</f>
        <v>30</v>
      </c>
      <c r="T245" s="12" t="s">
        <v>772</v>
      </c>
      <c r="U245" s="16" cm="1">
        <f t="array" ref="U245">IF(T245="",0,COUNTA(_xlfn._xlws.FILTER(_xlfn.TEXTSPLIT(T245,";"), _xlfn.TEXTSPLIT(T245,";")&lt;&gt;"")))</f>
        <v>6</v>
      </c>
      <c r="V245" s="17">
        <f t="shared" si="13"/>
        <v>0.2</v>
      </c>
      <c r="W245" s="12" t="str" cm="1">
        <f t="array" ref="W245">IF(T245="",R245,_xlfn.LET(_xlpm.inv, TRIM(_xlfn.TEXTSPLIT(R245,";")),_xlpm.fol, TRIM(_xlfn.TEXTSPLIT(T245,";")),_xlfn.TEXTJOIN("; ", TRUE, _xlfn._xlws.FILTER(_xlpm.inv, ISNA(MATCH(_xlpm.inv, _xlpm.fol, 0)), ""))
  )
)</f>
        <v>SoftBank Investment Advisers; Norwest Venture Partners; CPT Capital; Builders VC; Dentsu Ventures; Tyson Ventures; EDBI; Whole Foods Market; Conti Ventures; McWin Partners; Prime Partners; Enfini Ventures; Advisors.Fund; Threshold Ventures; BoxGroup; Future Ventures; Humboldt Fund; Baleine &amp; Bjorn Capital; Finistere Ventures; gener8tor; Christiana Musk; John Mackey; William Gates; Temasek Holdings; and Westcott</v>
      </c>
      <c r="X245" s="16" cm="1">
        <f t="array" ref="X245">IF(W245="","N/A",COUNTA(_xlfn._xlws.FILTER(_xlfn.TEXTSPLIT(W245,";"), _xlfn.TEXTSPLIT(W245,";")&lt;&gt;"")))</f>
        <v>25</v>
      </c>
      <c r="Y245" s="17">
        <f t="shared" si="14"/>
        <v>0.83333333333333337</v>
      </c>
      <c r="Z245" s="4" t="s">
        <v>810</v>
      </c>
      <c r="AA245" s="4" t="s">
        <v>830</v>
      </c>
      <c r="AB245" s="4" t="s">
        <v>821</v>
      </c>
      <c r="AC245" s="4" t="s">
        <v>517</v>
      </c>
    </row>
    <row r="246" spans="1:29" ht="29" x14ac:dyDescent="0.35">
      <c r="A246" s="4">
        <f t="shared" si="15"/>
        <v>244</v>
      </c>
      <c r="B246" s="4" t="s">
        <v>429</v>
      </c>
      <c r="C246" s="4" t="s">
        <v>430</v>
      </c>
      <c r="D246" s="4">
        <v>2017</v>
      </c>
      <c r="E246" s="12" t="s">
        <v>945</v>
      </c>
      <c r="F246" s="4" t="s">
        <v>962</v>
      </c>
      <c r="G246" s="4" t="s">
        <v>1346</v>
      </c>
      <c r="H246" s="4" t="s">
        <v>1347</v>
      </c>
      <c r="I246" s="14">
        <v>68.290000000000006</v>
      </c>
      <c r="J246" s="13">
        <v>45488</v>
      </c>
      <c r="K246" s="25"/>
      <c r="L246" s="14">
        <v>22.52</v>
      </c>
      <c r="M246" s="14">
        <v>46.52</v>
      </c>
      <c r="N246" s="4" t="s">
        <v>474</v>
      </c>
      <c r="O246" s="18">
        <v>0.4</v>
      </c>
      <c r="P246" s="14"/>
      <c r="Q246" s="15">
        <f t="shared" si="12"/>
        <v>0</v>
      </c>
      <c r="R246" s="12"/>
      <c r="S246" s="16" cm="1">
        <f t="array" ref="S246">IF(R246="",0,COUNTA(_xlfn._xlws.FILTER(_xlfn.TEXTSPLIT(R246,";"), _xlfn.TEXTSPLIT(R246,";")&lt;&gt;"")))</f>
        <v>0</v>
      </c>
      <c r="T246" s="12"/>
      <c r="U246" s="16" cm="1">
        <f t="array" ref="U246">IF(T246="",0,COUNTA(_xlfn._xlws.FILTER(_xlfn.TEXTSPLIT(T246,";"), _xlfn.TEXTSPLIT(T246,";")&lt;&gt;"")))</f>
        <v>0</v>
      </c>
      <c r="V246" s="17" t="str">
        <f t="shared" si="13"/>
        <v>N/A</v>
      </c>
      <c r="W246" s="12" cm="1">
        <f t="array" ref="W246">IF(T246="",R246,_xlfn.LET(_xlpm.inv, TRIM(_xlfn.TEXTSPLIT(R246,";")),_xlpm.fol, TRIM(_xlfn.TEXTSPLIT(T246,";")),_xlfn.TEXTJOIN("; ", TRUE, _xlfn._xlws.FILTER(_xlpm.inv, ISNA(MATCH(_xlpm.inv, _xlpm.fol, 0)), ""))
  )
)</f>
        <v>0</v>
      </c>
      <c r="X246" s="16" cm="1">
        <f t="array" ref="X246">IF(W246="","N/A",COUNTA(_xlfn._xlws.FILTER(_xlfn.TEXTSPLIT(W246,";"), _xlfn.TEXTSPLIT(W246,";")&lt;&gt;"")))</f>
        <v>1</v>
      </c>
      <c r="Y246" s="17" t="str">
        <f t="shared" si="14"/>
        <v>N/A</v>
      </c>
      <c r="Z246" s="4" t="s">
        <v>810</v>
      </c>
      <c r="AA246" s="4" t="s">
        <v>864</v>
      </c>
      <c r="AB246" s="4" t="s">
        <v>824</v>
      </c>
      <c r="AC246" s="4" t="s">
        <v>517</v>
      </c>
    </row>
    <row r="247" spans="1:29" x14ac:dyDescent="0.35">
      <c r="A247" s="4">
        <f t="shared" si="15"/>
        <v>245</v>
      </c>
      <c r="B247" s="4" t="s">
        <v>148</v>
      </c>
      <c r="C247" s="4" t="s">
        <v>431</v>
      </c>
      <c r="D247" s="4">
        <v>2014</v>
      </c>
      <c r="E247" s="12" t="s">
        <v>180</v>
      </c>
      <c r="F247" s="4" t="s">
        <v>961</v>
      </c>
      <c r="G247" s="4" t="s">
        <v>1348</v>
      </c>
      <c r="H247" s="4" t="s">
        <v>1349</v>
      </c>
      <c r="I247" s="14">
        <v>36</v>
      </c>
      <c r="J247" s="13">
        <v>45229</v>
      </c>
      <c r="K247" s="25"/>
      <c r="L247" s="14">
        <v>32</v>
      </c>
      <c r="M247" s="14"/>
      <c r="N247" s="4"/>
      <c r="O247" s="18"/>
      <c r="P247" s="14"/>
      <c r="Q247" s="15">
        <f t="shared" si="12"/>
        <v>0</v>
      </c>
      <c r="R247" s="12" t="s">
        <v>746</v>
      </c>
      <c r="S247" s="16" cm="1">
        <f t="array" ref="S247">IF(R247="",0,COUNTA(_xlfn._xlws.FILTER(_xlfn.TEXTSPLIT(R247,";"), _xlfn.TEXTSPLIT(R247,";")&lt;&gt;"")))</f>
        <v>1</v>
      </c>
      <c r="T247" s="12"/>
      <c r="U247" s="16" cm="1">
        <f t="array" ref="U247">IF(T247="",0,COUNTA(_xlfn._xlws.FILTER(_xlfn.TEXTSPLIT(T247,";"), _xlfn.TEXTSPLIT(T247,";")&lt;&gt;"")))</f>
        <v>0</v>
      </c>
      <c r="V247" s="17">
        <f t="shared" si="13"/>
        <v>0</v>
      </c>
      <c r="W247" s="12" t="str" cm="1">
        <f t="array" ref="W247">IF(T247="",R247,_xlfn.LET(_xlpm.inv, TRIM(_xlfn.TEXTSPLIT(R247,";")),_xlpm.fol, TRIM(_xlfn.TEXTSPLIT(T247,";")),_xlfn.TEXTJOIN("; ", TRUE, _xlfn._xlws.FILTER(_xlpm.inv, ISNA(MATCH(_xlpm.inv, _xlpm.fol, 0)), ""))
  )
)</f>
        <v xml:space="preserve">Appian Capital Advisory </v>
      </c>
      <c r="X247" s="16" cm="1">
        <f t="array" ref="X247">IF(W247="","N/A",COUNTA(_xlfn._xlws.FILTER(_xlfn.TEXTSPLIT(W247,";"), _xlfn.TEXTSPLIT(W247,";")&lt;&gt;"")))</f>
        <v>1</v>
      </c>
      <c r="Y247" s="17">
        <f t="shared" si="14"/>
        <v>1</v>
      </c>
      <c r="Z247" s="4" t="s">
        <v>815</v>
      </c>
      <c r="AA247" s="4"/>
      <c r="AB247" s="4" t="s">
        <v>883</v>
      </c>
      <c r="AC247" s="4" t="s">
        <v>517</v>
      </c>
    </row>
    <row r="248" spans="1:29" x14ac:dyDescent="0.35">
      <c r="A248" s="4">
        <f t="shared" si="15"/>
        <v>246</v>
      </c>
      <c r="B248" s="4" t="s">
        <v>549</v>
      </c>
      <c r="C248" s="4" t="s">
        <v>432</v>
      </c>
      <c r="D248" s="4">
        <v>2014</v>
      </c>
      <c r="E248" s="12" t="s">
        <v>897</v>
      </c>
      <c r="F248" s="4" t="s">
        <v>960</v>
      </c>
      <c r="G248" s="4" t="s">
        <v>1350</v>
      </c>
      <c r="H248" s="4" t="s">
        <v>1351</v>
      </c>
      <c r="I248" s="14">
        <v>9.52</v>
      </c>
      <c r="J248" s="13">
        <v>44044</v>
      </c>
      <c r="K248" s="25">
        <v>2.25</v>
      </c>
      <c r="L248" s="14">
        <v>6</v>
      </c>
      <c r="M248" s="14">
        <v>18</v>
      </c>
      <c r="N248" s="4" t="s">
        <v>471</v>
      </c>
      <c r="O248" s="18"/>
      <c r="P248" s="14"/>
      <c r="Q248" s="15">
        <f t="shared" si="12"/>
        <v>0</v>
      </c>
      <c r="R248" s="12" t="s">
        <v>531</v>
      </c>
      <c r="S248" s="16" cm="1">
        <f t="array" ref="S248">IF(R248="",0,COUNTA(_xlfn._xlws.FILTER(_xlfn.TEXTSPLIT(R248,";"), _xlfn.TEXTSPLIT(R248,";")&lt;&gt;"")))</f>
        <v>3</v>
      </c>
      <c r="T248" s="12" t="s">
        <v>773</v>
      </c>
      <c r="U248" s="16" cm="1">
        <f t="array" ref="U248">IF(T248="",0,COUNTA(_xlfn._xlws.FILTER(_xlfn.TEXTSPLIT(T248,";"), _xlfn.TEXTSPLIT(T248,";")&lt;&gt;"")))</f>
        <v>1</v>
      </c>
      <c r="V248" s="17">
        <f t="shared" si="13"/>
        <v>0.33333333333333331</v>
      </c>
      <c r="W248" s="12" t="str" cm="1">
        <f t="array" ref="W248">IF(T248="",R248,_xlfn.LET(_xlpm.inv, TRIM(_xlfn.TEXTSPLIT(R248,";")),_xlpm.fol, TRIM(_xlfn.TEXTSPLIT(T248,";")),_xlfn.TEXTJOIN("; ", TRUE, _xlfn._xlws.FILTER(_xlpm.inv, ISNA(MATCH(_xlpm.inv, _xlpm.fol, 0)), ""))
  )
)</f>
        <v>Mickey Swortzel; Texas Halo Fund</v>
      </c>
      <c r="X248" s="16" cm="1">
        <f t="array" ref="X248">IF(W248="","N/A",COUNTA(_xlfn._xlws.FILTER(_xlfn.TEXTSPLIT(W248,";"), _xlfn.TEXTSPLIT(W248,";")&lt;&gt;"")))</f>
        <v>2</v>
      </c>
      <c r="Y248" s="17">
        <f t="shared" si="14"/>
        <v>0.66666666666666663</v>
      </c>
      <c r="Z248" s="4" t="s">
        <v>810</v>
      </c>
      <c r="AA248" s="4" t="s">
        <v>831</v>
      </c>
      <c r="AB248" s="4" t="s">
        <v>852</v>
      </c>
      <c r="AC248" s="4" t="s">
        <v>517</v>
      </c>
    </row>
    <row r="249" spans="1:29" ht="58" x14ac:dyDescent="0.35">
      <c r="A249" s="4">
        <f t="shared" si="15"/>
        <v>247</v>
      </c>
      <c r="B249" s="4" t="s">
        <v>549</v>
      </c>
      <c r="C249" s="4" t="s">
        <v>432</v>
      </c>
      <c r="D249" s="4">
        <v>2014</v>
      </c>
      <c r="E249" s="12" t="s">
        <v>897</v>
      </c>
      <c r="F249" s="4" t="s">
        <v>960</v>
      </c>
      <c r="G249" s="4" t="s">
        <v>1350</v>
      </c>
      <c r="H249" s="4" t="s">
        <v>1351</v>
      </c>
      <c r="I249" s="14">
        <v>16.920000000000002</v>
      </c>
      <c r="J249" s="13">
        <v>44789</v>
      </c>
      <c r="K249" s="25">
        <v>1.29</v>
      </c>
      <c r="L249" s="14">
        <v>5</v>
      </c>
      <c r="M249" s="14">
        <v>21.5</v>
      </c>
      <c r="N249" s="4" t="s">
        <v>471</v>
      </c>
      <c r="O249" s="18">
        <v>1.33</v>
      </c>
      <c r="P249" s="14"/>
      <c r="Q249" s="15">
        <f t="shared" si="12"/>
        <v>0</v>
      </c>
      <c r="R249" s="12" t="s">
        <v>747</v>
      </c>
      <c r="S249" s="16" cm="1">
        <f t="array" ref="S249">IF(R249="",0,COUNTA(_xlfn._xlws.FILTER(_xlfn.TEXTSPLIT(R249,";"), _xlfn.TEXTSPLIT(R249,";")&lt;&gt;"")))</f>
        <v>10</v>
      </c>
      <c r="T249" s="12" t="s">
        <v>775</v>
      </c>
      <c r="U249" s="16" cm="1">
        <f t="array" ref="U249">IF(T249="",0,COUNTA(_xlfn._xlws.FILTER(_xlfn.TEXTSPLIT(T249,";"), _xlfn.TEXTSPLIT(T249,";")&lt;&gt;"")))</f>
        <v>6</v>
      </c>
      <c r="V249" s="17">
        <f t="shared" si="13"/>
        <v>0.6</v>
      </c>
      <c r="W249" s="12" t="str" cm="1">
        <f t="array" ref="W249">IF(T249="",R249,_xlfn.LET(_xlpm.inv, TRIM(_xlfn.TEXTSPLIT(R249,";")),_xlpm.fol, TRIM(_xlfn.TEXTSPLIT(T249,";")),_xlfn.TEXTJOIN("; ", TRUE, _xlfn._xlws.FILTER(_xlpm.inv, ISNA(MATCH(_xlpm.inv, _xlpm.fol, 0)), ""))
  )
)</f>
        <v>Autodesk Foundation; Denver Ventures; Monfort; Seed I Pod</v>
      </c>
      <c r="X249" s="16" cm="1">
        <f t="array" ref="X249">IF(W249="","N/A",COUNTA(_xlfn._xlws.FILTER(_xlfn.TEXTSPLIT(W249,";"), _xlfn.TEXTSPLIT(W249,";")&lt;&gt;"")))</f>
        <v>4</v>
      </c>
      <c r="Y249" s="17">
        <f t="shared" si="14"/>
        <v>0.4</v>
      </c>
      <c r="Z249" s="4" t="s">
        <v>810</v>
      </c>
      <c r="AA249" s="4" t="s">
        <v>813</v>
      </c>
      <c r="AB249" s="4" t="s">
        <v>852</v>
      </c>
      <c r="AC249" s="4" t="s">
        <v>517</v>
      </c>
    </row>
    <row r="250" spans="1:29" ht="29" x14ac:dyDescent="0.35">
      <c r="A250" s="4">
        <f t="shared" si="15"/>
        <v>248</v>
      </c>
      <c r="B250" s="4" t="s">
        <v>433</v>
      </c>
      <c r="C250" s="4" t="s">
        <v>286</v>
      </c>
      <c r="D250" s="4">
        <v>2019</v>
      </c>
      <c r="E250" s="12" t="s">
        <v>211</v>
      </c>
      <c r="F250" s="4" t="s">
        <v>557</v>
      </c>
      <c r="G250" s="4" t="s">
        <v>1352</v>
      </c>
      <c r="H250" s="4" t="s">
        <v>1353</v>
      </c>
      <c r="I250" s="14">
        <v>41.9</v>
      </c>
      <c r="J250" s="13">
        <v>45071</v>
      </c>
      <c r="K250" s="25">
        <v>2.2200000000000002</v>
      </c>
      <c r="L250" s="14">
        <v>24.9</v>
      </c>
      <c r="M250" s="14">
        <v>77.900000000000006</v>
      </c>
      <c r="N250" s="4" t="s">
        <v>471</v>
      </c>
      <c r="O250" s="18">
        <v>2</v>
      </c>
      <c r="P250" s="14"/>
      <c r="Q250" s="15">
        <f t="shared" si="12"/>
        <v>0</v>
      </c>
      <c r="R250" s="12" t="s">
        <v>748</v>
      </c>
      <c r="S250" s="16" cm="1">
        <f t="array" ref="S250">IF(R250="",0,COUNTA(_xlfn._xlws.FILTER(_xlfn.TEXTSPLIT(R250,";"), _xlfn.TEXTSPLIT(R250,";")&lt;&gt;"")))</f>
        <v>6</v>
      </c>
      <c r="T250" s="12"/>
      <c r="U250" s="16" cm="1">
        <f t="array" ref="U250">IF(T250="",0,COUNTA(_xlfn._xlws.FILTER(_xlfn.TEXTSPLIT(T250,";"), _xlfn.TEXTSPLIT(T250,";")&lt;&gt;"")))</f>
        <v>0</v>
      </c>
      <c r="V250" s="17">
        <f t="shared" si="13"/>
        <v>0</v>
      </c>
      <c r="W250" s="12" t="str" cm="1">
        <f t="array" ref="W250">IF(T250="",R250,_xlfn.LET(_xlpm.inv, TRIM(_xlfn.TEXTSPLIT(R250,";")),_xlpm.fol, TRIM(_xlfn.TEXTSPLIT(T250,";")),_xlfn.TEXTJOIN("; ", TRUE, _xlfn._xlws.FILTER(_xlpm.inv, ISNA(MATCH(_xlpm.inv, _xlpm.fol, 0)), ""))
  )
)</f>
        <v>Breakthrough Energy; Congruent Ventures; Engine Ventures; F-Prime Capital; Galvanize Climate Solutions; VXI Capital Management</v>
      </c>
      <c r="X250" s="16" cm="1">
        <f t="array" ref="X250">IF(W250="","N/A",COUNTA(_xlfn._xlws.FILTER(_xlfn.TEXTSPLIT(W250,";"), _xlfn.TEXTSPLIT(W250,";")&lt;&gt;"")))</f>
        <v>6</v>
      </c>
      <c r="Y250" s="17">
        <f t="shared" si="14"/>
        <v>1</v>
      </c>
      <c r="Z250" s="4" t="s">
        <v>817</v>
      </c>
      <c r="AA250" s="4" t="s">
        <v>828</v>
      </c>
      <c r="AB250" s="4" t="s">
        <v>811</v>
      </c>
      <c r="AC250" s="4" t="s">
        <v>517</v>
      </c>
    </row>
    <row r="251" spans="1:29" x14ac:dyDescent="0.35">
      <c r="A251" s="4">
        <f t="shared" si="15"/>
        <v>249</v>
      </c>
      <c r="B251" s="4" t="s">
        <v>550</v>
      </c>
      <c r="C251" s="4" t="s">
        <v>434</v>
      </c>
      <c r="D251" s="4">
        <v>2004</v>
      </c>
      <c r="E251" s="12" t="s">
        <v>903</v>
      </c>
      <c r="F251" s="4" t="s">
        <v>958</v>
      </c>
      <c r="G251" s="4" t="s">
        <v>1354</v>
      </c>
      <c r="H251" s="4" t="s">
        <v>1355</v>
      </c>
      <c r="I251" s="14">
        <v>7</v>
      </c>
      <c r="J251" s="13">
        <v>45098</v>
      </c>
      <c r="K251" s="25">
        <v>1.77</v>
      </c>
      <c r="L251" s="14">
        <v>2</v>
      </c>
      <c r="M251" s="14">
        <v>10.5</v>
      </c>
      <c r="N251" s="4" t="s">
        <v>471</v>
      </c>
      <c r="O251" s="18">
        <v>1.73</v>
      </c>
      <c r="P251" s="14"/>
      <c r="Q251" s="15">
        <f t="shared" si="12"/>
        <v>0</v>
      </c>
      <c r="R251" s="12"/>
      <c r="S251" s="16" cm="1">
        <f t="array" ref="S251">IF(R251="",0,COUNTA(_xlfn._xlws.FILTER(_xlfn.TEXTSPLIT(R251,";"), _xlfn.TEXTSPLIT(R251,";")&lt;&gt;"")))</f>
        <v>0</v>
      </c>
      <c r="T251" s="12"/>
      <c r="U251" s="16" cm="1">
        <f t="array" ref="U251">IF(T251="",0,COUNTA(_xlfn._xlws.FILTER(_xlfn.TEXTSPLIT(T251,";"), _xlfn.TEXTSPLIT(T251,";")&lt;&gt;"")))</f>
        <v>0</v>
      </c>
      <c r="V251" s="17" t="str">
        <f t="shared" si="13"/>
        <v>N/A</v>
      </c>
      <c r="W251" s="12" cm="1">
        <f t="array" ref="W251">IF(T251="",R251,_xlfn.LET(_xlpm.inv, TRIM(_xlfn.TEXTSPLIT(R251,";")),_xlpm.fol, TRIM(_xlfn.TEXTSPLIT(T251,";")),_xlfn.TEXTJOIN("; ", TRUE, _xlfn._xlws.FILTER(_xlpm.inv, ISNA(MATCH(_xlpm.inv, _xlpm.fol, 0)), ""))
  )
)</f>
        <v>0</v>
      </c>
      <c r="X251" s="16" cm="1">
        <f t="array" ref="X251">IF(W251="","N/A",COUNTA(_xlfn._xlws.FILTER(_xlfn.TEXTSPLIT(W251,";"), _xlfn.TEXTSPLIT(W251,";")&lt;&gt;"")))</f>
        <v>1</v>
      </c>
      <c r="Y251" s="17" t="str">
        <f t="shared" si="14"/>
        <v>N/A</v>
      </c>
      <c r="Z251" s="4" t="s">
        <v>810</v>
      </c>
      <c r="AA251" s="4" t="s">
        <v>830</v>
      </c>
      <c r="AB251" s="4" t="s">
        <v>873</v>
      </c>
      <c r="AC251" s="4" t="s">
        <v>517</v>
      </c>
    </row>
    <row r="252" spans="1:29" x14ac:dyDescent="0.35">
      <c r="A252" s="4">
        <f t="shared" si="15"/>
        <v>250</v>
      </c>
      <c r="B252" s="4" t="s">
        <v>435</v>
      </c>
      <c r="C252" s="4" t="s">
        <v>286</v>
      </c>
      <c r="D252" s="4">
        <v>2019</v>
      </c>
      <c r="E252" s="12" t="s">
        <v>897</v>
      </c>
      <c r="F252" s="4" t="s">
        <v>963</v>
      </c>
      <c r="G252" s="4" t="s">
        <v>1356</v>
      </c>
      <c r="H252" s="4" t="s">
        <v>1357</v>
      </c>
      <c r="I252" s="14">
        <v>70.08</v>
      </c>
      <c r="J252" s="13">
        <v>44546</v>
      </c>
      <c r="K252" s="25"/>
      <c r="L252" s="14">
        <v>48.9</v>
      </c>
      <c r="M252" s="14">
        <v>198.9</v>
      </c>
      <c r="N252" s="4" t="s">
        <v>471</v>
      </c>
      <c r="O252" s="18">
        <v>2.11</v>
      </c>
      <c r="P252" s="14"/>
      <c r="Q252" s="15">
        <f t="shared" si="12"/>
        <v>0</v>
      </c>
      <c r="R252" s="12"/>
      <c r="S252" s="16" cm="1">
        <f t="array" ref="S252">IF(R252="",0,COUNTA(_xlfn._xlws.FILTER(_xlfn.TEXTSPLIT(R252,";"), _xlfn.TEXTSPLIT(R252,";")&lt;&gt;"")))</f>
        <v>0</v>
      </c>
      <c r="T252" s="12"/>
      <c r="U252" s="16" cm="1">
        <f t="array" ref="U252">IF(T252="",0,COUNTA(_xlfn._xlws.FILTER(_xlfn.TEXTSPLIT(T252,";"), _xlfn.TEXTSPLIT(T252,";")&lt;&gt;"")))</f>
        <v>0</v>
      </c>
      <c r="V252" s="17" t="str">
        <f t="shared" si="13"/>
        <v>N/A</v>
      </c>
      <c r="W252" s="12" cm="1">
        <f t="array" ref="W252">IF(T252="",R252,_xlfn.LET(_xlpm.inv, TRIM(_xlfn.TEXTSPLIT(R252,";")),_xlpm.fol, TRIM(_xlfn.TEXTSPLIT(T252,";")),_xlfn.TEXTJOIN("; ", TRUE, _xlfn._xlws.FILTER(_xlpm.inv, ISNA(MATCH(_xlpm.inv, _xlpm.fol, 0)), ""))
  )
)</f>
        <v>0</v>
      </c>
      <c r="X252" s="16" cm="1">
        <f t="array" ref="X252">IF(W252="","N/A",COUNTA(_xlfn._xlws.FILTER(_xlfn.TEXTSPLIT(W252,";"), _xlfn.TEXTSPLIT(W252,";")&lt;&gt;"")))</f>
        <v>1</v>
      </c>
      <c r="Y252" s="17" t="str">
        <f t="shared" si="14"/>
        <v>N/A</v>
      </c>
      <c r="Z252" s="4" t="s">
        <v>817</v>
      </c>
      <c r="AA252" s="4" t="s">
        <v>831</v>
      </c>
      <c r="AB252" s="4" t="s">
        <v>811</v>
      </c>
      <c r="AC252" s="4" t="s">
        <v>517</v>
      </c>
    </row>
    <row r="253" spans="1:29" ht="29" x14ac:dyDescent="0.35">
      <c r="A253" s="4">
        <f t="shared" si="15"/>
        <v>251</v>
      </c>
      <c r="B253" s="4" t="s">
        <v>436</v>
      </c>
      <c r="C253" s="4" t="s">
        <v>437</v>
      </c>
      <c r="D253" s="4">
        <v>2022</v>
      </c>
      <c r="E253" s="12" t="s">
        <v>911</v>
      </c>
      <c r="F253" s="4" t="s">
        <v>963</v>
      </c>
      <c r="G253" s="4" t="s">
        <v>1358</v>
      </c>
      <c r="H253" s="4" t="s">
        <v>1359</v>
      </c>
      <c r="I253" s="14">
        <v>0.14000000000000001</v>
      </c>
      <c r="J253" s="13">
        <v>45425</v>
      </c>
      <c r="K253" s="25"/>
      <c r="L253" s="14">
        <v>0.13</v>
      </c>
      <c r="M253" s="14">
        <v>1.25</v>
      </c>
      <c r="N253" s="4"/>
      <c r="O253" s="18"/>
      <c r="P253" s="14"/>
      <c r="Q253" s="15">
        <f t="shared" si="12"/>
        <v>0</v>
      </c>
      <c r="R253" s="12"/>
      <c r="S253" s="16" cm="1">
        <f t="array" ref="S253">IF(R253="",0,COUNTA(_xlfn._xlws.FILTER(_xlfn.TEXTSPLIT(R253,";"), _xlfn.TEXTSPLIT(R253,";")&lt;&gt;"")))</f>
        <v>0</v>
      </c>
      <c r="T253" s="12"/>
      <c r="U253" s="16" cm="1">
        <f t="array" ref="U253">IF(T253="",0,COUNTA(_xlfn._xlws.FILTER(_xlfn.TEXTSPLIT(T253,";"), _xlfn.TEXTSPLIT(T253,";")&lt;&gt;"")))</f>
        <v>0</v>
      </c>
      <c r="V253" s="17" t="str">
        <f t="shared" si="13"/>
        <v>N/A</v>
      </c>
      <c r="W253" s="12" cm="1">
        <f t="array" ref="W253">IF(T253="",R253,_xlfn.LET(_xlpm.inv, TRIM(_xlfn.TEXTSPLIT(R253,";")),_xlpm.fol, TRIM(_xlfn.TEXTSPLIT(T253,";")),_xlfn.TEXTJOIN("; ", TRUE, _xlfn._xlws.FILTER(_xlpm.inv, ISNA(MATCH(_xlpm.inv, _xlpm.fol, 0)), ""))
  )
)</f>
        <v>0</v>
      </c>
      <c r="X253" s="16" cm="1">
        <f t="array" ref="X253">IF(W253="","N/A",COUNTA(_xlfn._xlws.FILTER(_xlfn.TEXTSPLIT(W253,";"), _xlfn.TEXTSPLIT(W253,";")&lt;&gt;"")))</f>
        <v>1</v>
      </c>
      <c r="Y253" s="17" t="str">
        <f t="shared" si="14"/>
        <v>N/A</v>
      </c>
      <c r="Z253" s="4" t="s">
        <v>812</v>
      </c>
      <c r="AA253" s="4" t="s">
        <v>79</v>
      </c>
      <c r="AB253" s="4" t="s">
        <v>825</v>
      </c>
      <c r="AC253" s="4" t="s">
        <v>517</v>
      </c>
    </row>
    <row r="254" spans="1:29" ht="29" x14ac:dyDescent="0.35">
      <c r="A254" s="4">
        <f t="shared" si="15"/>
        <v>252</v>
      </c>
      <c r="B254" s="4" t="s">
        <v>438</v>
      </c>
      <c r="C254" s="4" t="s">
        <v>195</v>
      </c>
      <c r="D254" s="4">
        <v>2005</v>
      </c>
      <c r="E254" s="12" t="s">
        <v>955</v>
      </c>
      <c r="F254" s="4" t="s">
        <v>958</v>
      </c>
      <c r="G254" s="4" t="s">
        <v>1360</v>
      </c>
      <c r="H254" s="4" t="s">
        <v>1361</v>
      </c>
      <c r="I254" s="14">
        <v>107.33</v>
      </c>
      <c r="J254" s="13">
        <v>44237</v>
      </c>
      <c r="K254" s="25">
        <v>1.69</v>
      </c>
      <c r="L254" s="14">
        <v>21</v>
      </c>
      <c r="M254" s="14">
        <v>111</v>
      </c>
      <c r="N254" s="4" t="s">
        <v>471</v>
      </c>
      <c r="O254" s="18">
        <v>1.31</v>
      </c>
      <c r="P254" s="14">
        <v>2.65</v>
      </c>
      <c r="Q254" s="15">
        <f t="shared" si="12"/>
        <v>0.12619047619047619</v>
      </c>
      <c r="R254" s="12" t="s">
        <v>749</v>
      </c>
      <c r="S254" s="16" cm="1">
        <f t="array" ref="S254">IF(R254="",0,COUNTA(_xlfn._xlws.FILTER(_xlfn.TEXTSPLIT(R254,";"), _xlfn.TEXTSPLIT(R254,";")&lt;&gt;"")))</f>
        <v>5</v>
      </c>
      <c r="T254" s="12" t="s">
        <v>776</v>
      </c>
      <c r="U254" s="16" cm="1">
        <f t="array" ref="U254">IF(T254="",0,COUNTA(_xlfn._xlws.FILTER(_xlfn.TEXTSPLIT(T254,";"), _xlfn.TEXTSPLIT(T254,";")&lt;&gt;"")))</f>
        <v>1</v>
      </c>
      <c r="V254" s="17">
        <f t="shared" si="13"/>
        <v>0.2</v>
      </c>
      <c r="W254" s="12" t="str" cm="1">
        <f t="array" ref="W254">IF(T254="",R254,_xlfn.LET(_xlpm.inv, TRIM(_xlfn.TEXTSPLIT(R254,";")),_xlpm.fol, TRIM(_xlfn.TEXTSPLIT(T254,";")),_xlfn.TEXTJOIN("; ", TRUE, _xlfn._xlws.FILTER(_xlpm.inv, ISNA(MATCH(_xlpm.inv, _xlpm.fol, 0)), ""))
  )
)</f>
        <v>Cavallo Ventures; Conti Ventures; Northpond Ventures; Syngenta Group Ventures</v>
      </c>
      <c r="X254" s="16" cm="1">
        <f t="array" ref="X254">IF(W254="","N/A",COUNTA(_xlfn._xlws.FILTER(_xlfn.TEXTSPLIT(W254,";"), _xlfn.TEXTSPLIT(W254,";")&lt;&gt;"")))</f>
        <v>4</v>
      </c>
      <c r="Y254" s="17">
        <f t="shared" si="14"/>
        <v>0.8</v>
      </c>
      <c r="Z254" s="4" t="s">
        <v>810</v>
      </c>
      <c r="AA254" s="4" t="s">
        <v>830</v>
      </c>
      <c r="AB254" s="4" t="s">
        <v>867</v>
      </c>
      <c r="AC254" s="4" t="s">
        <v>517</v>
      </c>
    </row>
    <row r="255" spans="1:29" ht="29" x14ac:dyDescent="0.35">
      <c r="A255" s="4">
        <f t="shared" si="15"/>
        <v>253</v>
      </c>
      <c r="B255" s="4" t="s">
        <v>150</v>
      </c>
      <c r="C255" s="4" t="s">
        <v>439</v>
      </c>
      <c r="D255" s="4"/>
      <c r="E255" s="12" t="s">
        <v>956</v>
      </c>
      <c r="F255" s="4" t="s">
        <v>961</v>
      </c>
      <c r="G255" s="4" t="s">
        <v>1362</v>
      </c>
      <c r="H255" s="4" t="s">
        <v>1363</v>
      </c>
      <c r="I255" s="14"/>
      <c r="J255" s="13">
        <v>44662</v>
      </c>
      <c r="K255" s="25"/>
      <c r="L255" s="14"/>
      <c r="M255" s="14"/>
      <c r="N255" s="4"/>
      <c r="O255" s="18"/>
      <c r="P255" s="14"/>
      <c r="Q255" s="15" t="str">
        <f t="shared" si="12"/>
        <v>N/A</v>
      </c>
      <c r="R255" s="12" t="s">
        <v>750</v>
      </c>
      <c r="S255" s="16" cm="1">
        <f t="array" ref="S255">IF(R255="",0,COUNTA(_xlfn._xlws.FILTER(_xlfn.TEXTSPLIT(R255,";"), _xlfn.TEXTSPLIT(R255,";")&lt;&gt;"")))</f>
        <v>2</v>
      </c>
      <c r="T255" s="12"/>
      <c r="U255" s="16" cm="1">
        <f t="array" ref="U255">IF(T255="",0,COUNTA(_xlfn._xlws.FILTER(_xlfn.TEXTSPLIT(T255,";"), _xlfn.TEXTSPLIT(T255,";")&lt;&gt;"")))</f>
        <v>0</v>
      </c>
      <c r="V255" s="17">
        <f t="shared" si="13"/>
        <v>0</v>
      </c>
      <c r="W255" s="12" t="str" cm="1">
        <f t="array" ref="W255">IF(T255="",R255,_xlfn.LET(_xlpm.inv, TRIM(_xlfn.TEXTSPLIT(R255,";")),_xlpm.fol, TRIM(_xlfn.TEXTSPLIT(T255,";")),_xlfn.TEXTJOIN("; ", TRUE, _xlfn._xlws.FILTER(_xlpm.inv, ISNA(MATCH(_xlpm.inv, _xlpm.fol, 0)), ""))
  )
)</f>
        <v xml:space="preserve">Cagan McAfee Capital Partners; Q 3 Financial </v>
      </c>
      <c r="X255" s="16" cm="1">
        <f t="array" ref="X255">IF(W255="","N/A",COUNTA(_xlfn._xlws.FILTER(_xlfn.TEXTSPLIT(W255,";"), _xlfn.TEXTSPLIT(W255,";")&lt;&gt;"")))</f>
        <v>2</v>
      </c>
      <c r="Y255" s="17">
        <f t="shared" si="14"/>
        <v>1</v>
      </c>
      <c r="Z255" s="4" t="s">
        <v>829</v>
      </c>
      <c r="AA255" s="4"/>
      <c r="AB255" s="4" t="s">
        <v>893</v>
      </c>
      <c r="AC255" s="4" t="s">
        <v>517</v>
      </c>
    </row>
    <row r="256" spans="1:29" ht="43.5" x14ac:dyDescent="0.35">
      <c r="A256" s="4">
        <f t="shared" si="15"/>
        <v>254</v>
      </c>
      <c r="B256" s="4" t="s">
        <v>440</v>
      </c>
      <c r="C256" s="4" t="s">
        <v>441</v>
      </c>
      <c r="D256" s="4">
        <v>2014</v>
      </c>
      <c r="E256" s="12" t="s">
        <v>957</v>
      </c>
      <c r="F256" s="4" t="s">
        <v>958</v>
      </c>
      <c r="G256" s="4" t="s">
        <v>1364</v>
      </c>
      <c r="H256" s="4" t="s">
        <v>1365</v>
      </c>
      <c r="I256" s="14">
        <v>36.14</v>
      </c>
      <c r="J256" s="13">
        <v>45987</v>
      </c>
      <c r="K256" s="25">
        <v>1.82</v>
      </c>
      <c r="L256" s="14">
        <v>28.59</v>
      </c>
      <c r="M256" s="14">
        <v>218</v>
      </c>
      <c r="N256" s="4" t="s">
        <v>471</v>
      </c>
      <c r="O256" s="18">
        <v>3.29</v>
      </c>
      <c r="P256" s="14"/>
      <c r="Q256" s="15">
        <f t="shared" si="12"/>
        <v>0</v>
      </c>
      <c r="R256" s="12" t="s">
        <v>511</v>
      </c>
      <c r="S256" s="16" cm="1">
        <f t="array" ref="S256">IF(R256="",0,COUNTA(_xlfn._xlws.FILTER(_xlfn.TEXTSPLIT(R256,";"), _xlfn.TEXTSPLIT(R256,";")&lt;&gt;"")))</f>
        <v>1</v>
      </c>
      <c r="T256" s="12"/>
      <c r="U256" s="16" cm="1">
        <f t="array" ref="U256">IF(T256="",0,COUNTA(_xlfn._xlws.FILTER(_xlfn.TEXTSPLIT(T256,";"), _xlfn.TEXTSPLIT(T256,";")&lt;&gt;"")))</f>
        <v>0</v>
      </c>
      <c r="V256" s="17">
        <f t="shared" si="13"/>
        <v>0</v>
      </c>
      <c r="W256" s="12" t="str" cm="1">
        <f t="array" ref="W256">IF(T256="",R256,_xlfn.LET(_xlpm.inv, TRIM(_xlfn.TEXTSPLIT(R256,";")),_xlpm.fol, TRIM(_xlfn.TEXTSPLIT(T256,";")),_xlfn.TEXTJOIN("; ", TRUE, _xlfn._xlws.FILTER(_xlpm.inv, ISNA(MATCH(_xlpm.inv, _xlpm.fol, 0)), ""))
  )
)</f>
        <v>DeltaCap</v>
      </c>
      <c r="X256" s="16" cm="1">
        <f t="array" ref="X256">IF(W256="","N/A",COUNTA(_xlfn._xlws.FILTER(_xlfn.TEXTSPLIT(W256,";"), _xlfn.TEXTSPLIT(W256,";")&lt;&gt;"")))</f>
        <v>1</v>
      </c>
      <c r="Y256" s="17">
        <f t="shared" si="14"/>
        <v>1</v>
      </c>
      <c r="Z256" s="4" t="s">
        <v>854</v>
      </c>
      <c r="AA256" s="4" t="s">
        <v>892</v>
      </c>
      <c r="AB256" s="4" t="s">
        <v>894</v>
      </c>
      <c r="AC256" s="4" t="s">
        <v>517</v>
      </c>
    </row>
    <row r="257" spans="1:29" ht="29" x14ac:dyDescent="0.35">
      <c r="A257" s="4">
        <f t="shared" si="15"/>
        <v>255</v>
      </c>
      <c r="B257" s="4" t="s">
        <v>442</v>
      </c>
      <c r="C257" s="4" t="s">
        <v>443</v>
      </c>
      <c r="D257" s="4"/>
      <c r="E257" s="12" t="s">
        <v>554</v>
      </c>
      <c r="F257" s="4" t="s">
        <v>961</v>
      </c>
      <c r="G257" s="4" t="s">
        <v>1366</v>
      </c>
      <c r="H257" s="4" t="s">
        <v>1367</v>
      </c>
      <c r="I257" s="14">
        <v>1.75</v>
      </c>
      <c r="J257" s="13">
        <v>44294</v>
      </c>
      <c r="K257" s="25"/>
      <c r="L257" s="14">
        <v>1.3</v>
      </c>
      <c r="M257" s="14">
        <v>4.3</v>
      </c>
      <c r="N257" s="4"/>
      <c r="O257" s="18"/>
      <c r="P257" s="14"/>
      <c r="Q257" s="15">
        <f t="shared" si="12"/>
        <v>0</v>
      </c>
      <c r="R257" s="12" t="s">
        <v>751</v>
      </c>
      <c r="S257" s="16" cm="1">
        <f t="array" ref="S257">IF(R257="",0,COUNTA(_xlfn._xlws.FILTER(_xlfn.TEXTSPLIT(R257,";"), _xlfn.TEXTSPLIT(R257,";")&lt;&gt;"")))</f>
        <v>3</v>
      </c>
      <c r="T257" s="12" t="s">
        <v>777</v>
      </c>
      <c r="U257" s="16" cm="1">
        <f t="array" ref="U257">IF(T257="",0,COUNTA(_xlfn._xlws.FILTER(_xlfn.TEXTSPLIT(T257,";"), _xlfn.TEXTSPLIT(T257,";")&lt;&gt;"")))</f>
        <v>2</v>
      </c>
      <c r="V257" s="17">
        <f t="shared" si="13"/>
        <v>0.66666666666666663</v>
      </c>
      <c r="W257" s="12" t="str" cm="1">
        <f t="array" ref="W257">IF(T257="",R257,_xlfn.LET(_xlpm.inv, TRIM(_xlfn.TEXTSPLIT(R257,";")),_xlpm.fol, TRIM(_xlfn.TEXTSPLIT(T257,";")),_xlfn.TEXTJOIN("; ", TRUE, _xlfn._xlws.FILTER(_xlpm.inv, ISNA(MATCH(_xlpm.inv, _xlpm.fol, 0)), ""))
  )
)</f>
        <v>Clean Energy Venture Group</v>
      </c>
      <c r="X257" s="16" cm="1">
        <f t="array" ref="X257">IF(W257="","N/A",COUNTA(_xlfn._xlws.FILTER(_xlfn.TEXTSPLIT(W257,";"), _xlfn.TEXTSPLIT(W257,";")&lt;&gt;"")))</f>
        <v>1</v>
      </c>
      <c r="Y257" s="17">
        <f t="shared" si="14"/>
        <v>0.33333333333333331</v>
      </c>
      <c r="Z257" s="4" t="s">
        <v>891</v>
      </c>
      <c r="AA257" s="4" t="s">
        <v>887</v>
      </c>
      <c r="AB257" s="4" t="s">
        <v>895</v>
      </c>
      <c r="AC257" s="4" t="s">
        <v>517</v>
      </c>
    </row>
    <row r="258" spans="1:29" x14ac:dyDescent="0.35">
      <c r="A258" s="4">
        <f t="shared" si="15"/>
        <v>256</v>
      </c>
      <c r="B258" s="4" t="s">
        <v>442</v>
      </c>
      <c r="C258" s="4" t="s">
        <v>443</v>
      </c>
      <c r="D258" s="4"/>
      <c r="E258" s="12" t="s">
        <v>554</v>
      </c>
      <c r="F258" s="4" t="s">
        <v>961</v>
      </c>
      <c r="G258" s="4" t="s">
        <v>1366</v>
      </c>
      <c r="H258" s="4" t="s">
        <v>1367</v>
      </c>
      <c r="I258" s="14">
        <v>3.61</v>
      </c>
      <c r="J258" s="13">
        <v>45291</v>
      </c>
      <c r="K258" s="25"/>
      <c r="L258" s="14">
        <v>1.86</v>
      </c>
      <c r="M258" s="14">
        <v>6.9</v>
      </c>
      <c r="N258" s="4" t="s">
        <v>471</v>
      </c>
      <c r="O258" s="18"/>
      <c r="P258" s="14"/>
      <c r="Q258" s="15">
        <f t="shared" si="12"/>
        <v>0</v>
      </c>
      <c r="R258" s="12" t="s">
        <v>752</v>
      </c>
      <c r="S258" s="16" cm="1">
        <f t="array" ref="S258">IF(R258="",0,COUNTA(_xlfn._xlws.FILTER(_xlfn.TEXTSPLIT(R258,";"), _xlfn.TEXTSPLIT(R258,";")&lt;&gt;"")))</f>
        <v>3</v>
      </c>
      <c r="T258" s="12"/>
      <c r="U258" s="16" cm="1">
        <f t="array" ref="U258">IF(T258="",0,COUNTA(_xlfn._xlws.FILTER(_xlfn.TEXTSPLIT(T258,";"), _xlfn.TEXTSPLIT(T258,";")&lt;&gt;"")))</f>
        <v>0</v>
      </c>
      <c r="V258" s="17">
        <f t="shared" si="13"/>
        <v>0</v>
      </c>
      <c r="W258" s="12" t="str" cm="1">
        <f t="array" ref="W258">IF(T258="",R258,_xlfn.LET(_xlpm.inv, TRIM(_xlfn.TEXTSPLIT(R258,";")),_xlpm.fol, TRIM(_xlfn.TEXTSPLIT(T258,";")),_xlfn.TEXTJOIN("; ", TRUE, _xlfn._xlws.FILTER(_xlpm.inv, ISNA(MATCH(_xlpm.inv, _xlpm.fol, 0)), ""))
  )
)</f>
        <v>Clean Energy Ventures; E8; Earth Foundry Management</v>
      </c>
      <c r="X258" s="16" cm="1">
        <f t="array" ref="X258">IF(W258="","N/A",COUNTA(_xlfn._xlws.FILTER(_xlfn.TEXTSPLIT(W258,";"), _xlfn.TEXTSPLIT(W258,";")&lt;&gt;"")))</f>
        <v>3</v>
      </c>
      <c r="Y258" s="17">
        <f t="shared" si="14"/>
        <v>1</v>
      </c>
      <c r="Z258" s="4" t="s">
        <v>812</v>
      </c>
      <c r="AA258" s="4" t="s">
        <v>813</v>
      </c>
      <c r="AB258" s="4" t="s">
        <v>895</v>
      </c>
      <c r="AC258" s="4" t="s">
        <v>517</v>
      </c>
    </row>
    <row r="259" spans="1:29" ht="29" x14ac:dyDescent="0.35">
      <c r="A259" s="4">
        <f t="shared" si="15"/>
        <v>257</v>
      </c>
      <c r="B259" s="4" t="s">
        <v>444</v>
      </c>
      <c r="C259" s="4" t="s">
        <v>176</v>
      </c>
      <c r="D259" s="4">
        <v>2023</v>
      </c>
      <c r="E259" s="12" t="s">
        <v>897</v>
      </c>
      <c r="F259" s="4" t="s">
        <v>961</v>
      </c>
      <c r="G259" s="4" t="s">
        <v>1368</v>
      </c>
      <c r="H259" s="4" t="s">
        <v>1369</v>
      </c>
      <c r="I259" s="14">
        <v>73.900000000000006</v>
      </c>
      <c r="J259" s="13">
        <v>45876</v>
      </c>
      <c r="K259" s="25">
        <v>0.73</v>
      </c>
      <c r="L259" s="14">
        <v>65</v>
      </c>
      <c r="M259" s="14">
        <v>200</v>
      </c>
      <c r="N259" s="4" t="s">
        <v>471</v>
      </c>
      <c r="O259" s="18">
        <v>4.55</v>
      </c>
      <c r="P259" s="14"/>
      <c r="Q259" s="15">
        <f t="shared" ref="Q259:Q273" si="16">IF(L259&gt;0,P259/L259,"N/A")</f>
        <v>0</v>
      </c>
      <c r="R259" s="12" t="s">
        <v>753</v>
      </c>
      <c r="S259" s="16" cm="1">
        <f t="array" ref="S259">IF(R259="",0,COUNTA(_xlfn._xlws.FILTER(_xlfn.TEXTSPLIT(R259,";"), _xlfn.TEXTSPLIT(R259,";")&lt;&gt;"")))</f>
        <v>4</v>
      </c>
      <c r="T259" s="12"/>
      <c r="U259" s="16" cm="1">
        <f t="array" ref="U259">IF(T259="",0,COUNTA(_xlfn._xlws.FILTER(_xlfn.TEXTSPLIT(T259,";"), _xlfn.TEXTSPLIT(T259,";")&lt;&gt;"")))</f>
        <v>0</v>
      </c>
      <c r="V259" s="17">
        <f t="shared" si="13"/>
        <v>0</v>
      </c>
      <c r="W259" s="12" t="str" cm="1">
        <f t="array" ref="W259">IF(T259="",R259,_xlfn.LET(_xlpm.inv, TRIM(_xlfn.TEXTSPLIT(R259,";")),_xlpm.fol, TRIM(_xlfn.TEXTSPLIT(T259,";")),_xlfn.TEXTJOIN("; ", TRUE, _xlfn._xlws.FILTER(_xlpm.inv, ISNA(MATCH(_xlpm.inv, _xlpm.fol, 0)), ""))
  )
)</f>
        <v>1789 Capital; Altimeter Capital Management; One Investment Management; Washington Harbour</v>
      </c>
      <c r="X259" s="16" cm="1">
        <f t="array" ref="X259">IF(W259="","N/A",COUNTA(_xlfn._xlws.FILTER(_xlfn.TEXTSPLIT(W259,";"), _xlfn.TEXTSPLIT(W259,";")&lt;&gt;"")))</f>
        <v>4</v>
      </c>
      <c r="Y259" s="17">
        <f t="shared" si="14"/>
        <v>1</v>
      </c>
      <c r="Z259" s="4" t="s">
        <v>817</v>
      </c>
      <c r="AA259" s="4" t="s">
        <v>831</v>
      </c>
      <c r="AB259" s="4" t="s">
        <v>814</v>
      </c>
      <c r="AC259" s="4" t="s">
        <v>517</v>
      </c>
    </row>
    <row r="260" spans="1:29" x14ac:dyDescent="0.35">
      <c r="A260" s="4">
        <f t="shared" si="15"/>
        <v>258</v>
      </c>
      <c r="B260" s="4" t="s">
        <v>445</v>
      </c>
      <c r="C260" s="4" t="s">
        <v>446</v>
      </c>
      <c r="D260" s="4">
        <v>2016</v>
      </c>
      <c r="E260" s="12" t="s">
        <v>180</v>
      </c>
      <c r="F260" s="4" t="s">
        <v>978</v>
      </c>
      <c r="G260" s="4" t="s">
        <v>1370</v>
      </c>
      <c r="H260" s="4" t="s">
        <v>1371</v>
      </c>
      <c r="I260" s="14"/>
      <c r="J260" s="13">
        <v>43605</v>
      </c>
      <c r="K260" s="25"/>
      <c r="L260" s="14"/>
      <c r="M260" s="14"/>
      <c r="N260" s="4"/>
      <c r="O260" s="18"/>
      <c r="P260" s="14"/>
      <c r="Q260" s="15" t="str">
        <f t="shared" si="16"/>
        <v>N/A</v>
      </c>
      <c r="R260" s="12" t="s">
        <v>754</v>
      </c>
      <c r="S260" s="16" cm="1">
        <f t="array" ref="S260">IF(R260="",0,COUNTA(_xlfn._xlws.FILTER(_xlfn.TEXTSPLIT(R260,";"), _xlfn.TEXTSPLIT(R260,";")&lt;&gt;"")))</f>
        <v>1</v>
      </c>
      <c r="T260" s="12"/>
      <c r="U260" s="16" cm="1">
        <f t="array" ref="U260">IF(T260="",0,COUNTA(_xlfn._xlws.FILTER(_xlfn.TEXTSPLIT(T260,";"), _xlfn.TEXTSPLIT(T260,";")&lt;&gt;"")))</f>
        <v>0</v>
      </c>
      <c r="V260" s="17">
        <f t="shared" ref="V260:V273" si="17">IF(S260=0,"N/A",U260/$S260)</f>
        <v>0</v>
      </c>
      <c r="W260" s="12" t="str" cm="1">
        <f t="array" ref="W260">IF(T260="",R260,_xlfn.LET(_xlpm.inv, TRIM(_xlfn.TEXTSPLIT(R260,";")),_xlpm.fol, TRIM(_xlfn.TEXTSPLIT(T260,";")),_xlfn.TEXTJOIN("; ", TRUE, _xlfn._xlws.FILTER(_xlpm.inv, ISNA(MATCH(_xlpm.inv, _xlpm.fol, 0)), ""))
  )
)</f>
        <v xml:space="preserve">Climate Investment </v>
      </c>
      <c r="X260" s="16" cm="1">
        <f t="array" ref="X260">IF(W260="","N/A",COUNTA(_xlfn._xlws.FILTER(_xlfn.TEXTSPLIT(W260,";"), _xlfn.TEXTSPLIT(W260,";")&lt;&gt;"")))</f>
        <v>1</v>
      </c>
      <c r="Y260" s="17">
        <f t="shared" ref="Y260:Y273" si="18">IF(S260&gt;0,IF(X260="N/A","N/A",X260/$S260),"N/A")</f>
        <v>1</v>
      </c>
      <c r="Z260" s="4" t="s">
        <v>815</v>
      </c>
      <c r="AA260" s="4"/>
      <c r="AB260" s="4" t="s">
        <v>816</v>
      </c>
      <c r="AC260" s="4" t="s">
        <v>517</v>
      </c>
    </row>
    <row r="261" spans="1:29" ht="29" x14ac:dyDescent="0.35">
      <c r="A261" s="4">
        <f t="shared" ref="A261:A273" si="19">A260+1</f>
        <v>259</v>
      </c>
      <c r="B261" s="4" t="s">
        <v>551</v>
      </c>
      <c r="C261" s="4" t="s">
        <v>377</v>
      </c>
      <c r="D261" s="4">
        <v>2018</v>
      </c>
      <c r="E261" s="12" t="s">
        <v>911</v>
      </c>
      <c r="F261" s="4" t="s">
        <v>962</v>
      </c>
      <c r="G261" s="4" t="s">
        <v>1372</v>
      </c>
      <c r="H261" s="4" t="s">
        <v>1373</v>
      </c>
      <c r="I261" s="14">
        <v>14.82</v>
      </c>
      <c r="J261" s="13">
        <v>45763</v>
      </c>
      <c r="K261" s="25">
        <v>3.15</v>
      </c>
      <c r="L261" s="14">
        <v>8</v>
      </c>
      <c r="M261" s="14"/>
      <c r="N261" s="4"/>
      <c r="O261" s="18"/>
      <c r="P261" s="14"/>
      <c r="Q261" s="15">
        <f t="shared" si="16"/>
        <v>0</v>
      </c>
      <c r="R261" s="12" t="s">
        <v>755</v>
      </c>
      <c r="S261" s="16" cm="1">
        <f t="array" ref="S261">IF(R261="",0,COUNTA(_xlfn._xlws.FILTER(_xlfn.TEXTSPLIT(R261,";"), _xlfn.TEXTSPLIT(R261,";")&lt;&gt;"")))</f>
        <v>5</v>
      </c>
      <c r="T261" s="12" t="s">
        <v>778</v>
      </c>
      <c r="U261" s="16" cm="1">
        <f t="array" ref="U261">IF(T261="",0,COUNTA(_xlfn._xlws.FILTER(_xlfn.TEXTSPLIT(T261,";"), _xlfn.TEXTSPLIT(T261,";")&lt;&gt;"")))</f>
        <v>2</v>
      </c>
      <c r="V261" s="17">
        <f t="shared" si="17"/>
        <v>0.4</v>
      </c>
      <c r="W261" s="12" t="str" cm="1">
        <f t="array" ref="W261">IF(T261="",R261,_xlfn.LET(_xlpm.inv, TRIM(_xlfn.TEXTSPLIT(R261,";")),_xlpm.fol, TRIM(_xlfn.TEXTSPLIT(T261,";")),_xlfn.TEXTJOIN("; ", TRUE, _xlfn._xlws.FILTER(_xlpm.inv, ISNA(MATCH(_xlpm.inv, _xlpm.fol, 0)), ""))
  )
)</f>
        <v>Anthropocene Capital Management; Christian Thirion; Mitsui Mining and Smelting</v>
      </c>
      <c r="X261" s="16" cm="1">
        <f t="array" ref="X261">IF(W261="","N/A",COUNTA(_xlfn._xlws.FILTER(_xlfn.TEXTSPLIT(W261,";"), _xlfn.TEXTSPLIT(W261,";")&lt;&gt;"")))</f>
        <v>3</v>
      </c>
      <c r="Y261" s="17">
        <f t="shared" si="18"/>
        <v>0.6</v>
      </c>
      <c r="Z261" s="4" t="s">
        <v>810</v>
      </c>
      <c r="AA261" s="4" t="s">
        <v>831</v>
      </c>
      <c r="AB261" s="4" t="s">
        <v>819</v>
      </c>
      <c r="AC261" s="4" t="s">
        <v>517</v>
      </c>
    </row>
    <row r="262" spans="1:29" ht="72.5" x14ac:dyDescent="0.35">
      <c r="A262" s="4">
        <f t="shared" si="19"/>
        <v>260</v>
      </c>
      <c r="B262" s="4" t="s">
        <v>447</v>
      </c>
      <c r="C262" s="4" t="s">
        <v>448</v>
      </c>
      <c r="D262" s="4">
        <v>2020</v>
      </c>
      <c r="E262" s="12" t="s">
        <v>922</v>
      </c>
      <c r="F262" s="4" t="s">
        <v>962</v>
      </c>
      <c r="G262" s="4" t="s">
        <v>1374</v>
      </c>
      <c r="H262" s="4" t="s">
        <v>1375</v>
      </c>
      <c r="I262" s="14">
        <v>9</v>
      </c>
      <c r="J262" s="13">
        <v>45076</v>
      </c>
      <c r="K262" s="25"/>
      <c r="L262" s="14">
        <v>7.5</v>
      </c>
      <c r="M262" s="14">
        <v>20</v>
      </c>
      <c r="N262" s="4" t="s">
        <v>471</v>
      </c>
      <c r="O262" s="18">
        <v>1.19</v>
      </c>
      <c r="P262" s="14"/>
      <c r="Q262" s="15">
        <f t="shared" si="16"/>
        <v>0</v>
      </c>
      <c r="R262" s="12" t="s">
        <v>756</v>
      </c>
      <c r="S262" s="16" cm="1">
        <f t="array" ref="S262">IF(R262="",0,COUNTA(_xlfn._xlws.FILTER(_xlfn.TEXTSPLIT(R262,";"), _xlfn.TEXTSPLIT(R262,";")&lt;&gt;"")))</f>
        <v>15</v>
      </c>
      <c r="T262" s="12"/>
      <c r="U262" s="16" cm="1">
        <f t="array" ref="U262">IF(T262="",0,COUNTA(_xlfn._xlws.FILTER(_xlfn.TEXTSPLIT(T262,";"), _xlfn.TEXTSPLIT(T262,";")&lt;&gt;"")))</f>
        <v>0</v>
      </c>
      <c r="V262" s="17">
        <f t="shared" si="17"/>
        <v>0</v>
      </c>
      <c r="W262" s="12" t="str" cm="1">
        <f t="array" ref="W262">IF(T262="",R262,_xlfn.LET(_xlpm.inv, TRIM(_xlfn.TEXTSPLIT(R262,";")),_xlpm.fol, TRIM(_xlfn.TEXTSPLIT(T262,";")),_xlfn.TEXTJOIN("; ", TRUE, _xlfn._xlws.FILTER(_xlpm.inv, ISNA(MATCH(_xlpm.inv, _xlpm.fol, 0)), ""))
  )
)</f>
        <v>Collaborative Fund; Cool Climate Collective; Day One Ventures; Divergent Capital; Divergent Capital; Freshtracks Capital; Gratitude Railroad; Highstreet Insurance Partners; Magnuson Center for Entrepreneurship; Pure Ventures; Riverstyx Foundation; Silence VC; Susquehanna Foundation; Third Sphere; Tuck Social Venture Fund</v>
      </c>
      <c r="X262" s="16" cm="1">
        <f t="array" ref="X262">IF(W262="","N/A",COUNTA(_xlfn._xlws.FILTER(_xlfn.TEXTSPLIT(W262,";"), _xlfn.TEXTSPLIT(W262,";")&lt;&gt;"")))</f>
        <v>15</v>
      </c>
      <c r="Y262" s="17">
        <f t="shared" si="18"/>
        <v>1</v>
      </c>
      <c r="Z262" s="4" t="s">
        <v>812</v>
      </c>
      <c r="AA262" s="4" t="s">
        <v>79</v>
      </c>
      <c r="AB262" s="4" t="s">
        <v>890</v>
      </c>
      <c r="AC262" s="4" t="s">
        <v>517</v>
      </c>
    </row>
    <row r="263" spans="1:29" ht="29" x14ac:dyDescent="0.35">
      <c r="A263" s="4">
        <f t="shared" si="19"/>
        <v>261</v>
      </c>
      <c r="B263" s="4" t="s">
        <v>449</v>
      </c>
      <c r="C263" s="4" t="s">
        <v>248</v>
      </c>
      <c r="D263" s="4">
        <v>2006</v>
      </c>
      <c r="E263" s="12" t="s">
        <v>944</v>
      </c>
      <c r="F263" s="4" t="s">
        <v>961</v>
      </c>
      <c r="G263" s="4" t="s">
        <v>1376</v>
      </c>
      <c r="H263" s="4" t="s">
        <v>1377</v>
      </c>
      <c r="I263" s="14">
        <v>155.66</v>
      </c>
      <c r="J263" s="13">
        <v>45955</v>
      </c>
      <c r="K263" s="25">
        <v>3.29</v>
      </c>
      <c r="L263" s="14">
        <v>4.9000000000000004</v>
      </c>
      <c r="M263" s="14">
        <v>42</v>
      </c>
      <c r="N263" s="4" t="s">
        <v>474</v>
      </c>
      <c r="O263" s="18">
        <v>0.13</v>
      </c>
      <c r="P263" s="14"/>
      <c r="Q263" s="15">
        <f t="shared" si="16"/>
        <v>0</v>
      </c>
      <c r="R263" s="12"/>
      <c r="S263" s="16" cm="1">
        <f t="array" ref="S263">IF(R263="",0,COUNTA(_xlfn._xlws.FILTER(_xlfn.TEXTSPLIT(R263,";"), _xlfn.TEXTSPLIT(R263,";")&lt;&gt;"")))</f>
        <v>0</v>
      </c>
      <c r="T263" s="12"/>
      <c r="U263" s="16" cm="1">
        <f t="array" ref="U263">IF(T263="",0,COUNTA(_xlfn._xlws.FILTER(_xlfn.TEXTSPLIT(T263,";"), _xlfn.TEXTSPLIT(T263,";")&lt;&gt;"")))</f>
        <v>0</v>
      </c>
      <c r="V263" s="17" t="str">
        <f t="shared" si="17"/>
        <v>N/A</v>
      </c>
      <c r="W263" s="12" cm="1">
        <f t="array" ref="W263">IF(T263="",R263,_xlfn.LET(_xlpm.inv, TRIM(_xlfn.TEXTSPLIT(R263,";")),_xlpm.fol, TRIM(_xlfn.TEXTSPLIT(T263,";")),_xlfn.TEXTJOIN("; ", TRUE, _xlfn._xlws.FILTER(_xlpm.inv, ISNA(MATCH(_xlpm.inv, _xlpm.fol, 0)), ""))
  )
)</f>
        <v>0</v>
      </c>
      <c r="X263" s="16" cm="1">
        <f t="array" ref="X263">IF(W263="","N/A",COUNTA(_xlfn._xlws.FILTER(_xlfn.TEXTSPLIT(W263,";"), _xlfn.TEXTSPLIT(W263,";")&lt;&gt;"")))</f>
        <v>1</v>
      </c>
      <c r="Y263" s="17" t="str">
        <f t="shared" si="18"/>
        <v>N/A</v>
      </c>
      <c r="Z263" s="4" t="s">
        <v>810</v>
      </c>
      <c r="AA263" s="4" t="s">
        <v>79</v>
      </c>
      <c r="AB263" s="4" t="s">
        <v>879</v>
      </c>
      <c r="AC263" s="4" t="s">
        <v>517</v>
      </c>
    </row>
    <row r="264" spans="1:29" ht="43.5" x14ac:dyDescent="0.35">
      <c r="A264" s="4">
        <f t="shared" si="19"/>
        <v>262</v>
      </c>
      <c r="B264" s="4" t="s">
        <v>552</v>
      </c>
      <c r="C264" s="4" t="s">
        <v>198</v>
      </c>
      <c r="D264" s="4">
        <v>2016</v>
      </c>
      <c r="E264" s="12" t="s">
        <v>940</v>
      </c>
      <c r="F264" s="4" t="s">
        <v>958</v>
      </c>
      <c r="G264" s="4" t="s">
        <v>1394</v>
      </c>
      <c r="H264" s="4" t="s">
        <v>1378</v>
      </c>
      <c r="I264" s="14">
        <v>120</v>
      </c>
      <c r="J264" s="13">
        <v>44589</v>
      </c>
      <c r="K264" s="25">
        <v>2.25</v>
      </c>
      <c r="L264" s="14">
        <v>100</v>
      </c>
      <c r="M264" s="14">
        <v>449.69</v>
      </c>
      <c r="N264" s="4" t="s">
        <v>471</v>
      </c>
      <c r="O264" s="18">
        <v>8.23</v>
      </c>
      <c r="P264" s="14"/>
      <c r="Q264" s="15">
        <f t="shared" si="16"/>
        <v>0</v>
      </c>
      <c r="R264" s="12" t="s">
        <v>757</v>
      </c>
      <c r="S264" s="16" cm="1">
        <f t="array" ref="S264">IF(R264="",0,COUNTA(_xlfn._xlws.FILTER(_xlfn.TEXTSPLIT(R264,";"), _xlfn.TEXTSPLIT(R264,";")&lt;&gt;"")))</f>
        <v>14</v>
      </c>
      <c r="T264" s="12" t="s">
        <v>779</v>
      </c>
      <c r="U264" s="16" cm="1">
        <f t="array" ref="U264">IF(T264="",0,COUNTA(_xlfn._xlws.FILTER(_xlfn.TEXTSPLIT(T264,";"), _xlfn.TEXTSPLIT(T264,";")&lt;&gt;"")))</f>
        <v>5</v>
      </c>
      <c r="V264" s="17">
        <f t="shared" si="17"/>
        <v>0.35714285714285715</v>
      </c>
      <c r="W264" s="12" t="str" cm="1">
        <f t="array" ref="W264">IF(T264="",R264,_xlfn.LET(_xlpm.inv, TRIM(_xlfn.TEXTSPLIT(R264,";")),_xlpm.fol, TRIM(_xlfn.TEXTSPLIT(T264,";")),_xlfn.TEXTJOIN("; ", TRUE, _xlfn._xlws.FILTER(_xlpm.inv, ISNA(MATCH(_xlpm.inv, _xlpm.fol, 0)), ""))
  )
)</f>
        <v>Bezos Expeditions; Cargill; Footprint Coalition; Full Circle Africa; Hestia Venture Partners; L Catterton; Leonardo Di Caprio; S2G Ventures; Temasek Holdings</v>
      </c>
      <c r="X264" s="16" cm="1">
        <f t="array" ref="X264">IF(W264="","N/A",COUNTA(_xlfn._xlws.FILTER(_xlfn.TEXTSPLIT(W264,";"), _xlfn.TEXTSPLIT(W264,";")&lt;&gt;"")))</f>
        <v>9</v>
      </c>
      <c r="Y264" s="17">
        <f t="shared" si="18"/>
        <v>0.6428571428571429</v>
      </c>
      <c r="Z264" s="4" t="s">
        <v>810</v>
      </c>
      <c r="AA264" s="4" t="s">
        <v>830</v>
      </c>
      <c r="AB264" s="4" t="s">
        <v>814</v>
      </c>
      <c r="AC264" s="4" t="s">
        <v>517</v>
      </c>
    </row>
    <row r="265" spans="1:29" x14ac:dyDescent="0.35">
      <c r="A265" s="4">
        <f t="shared" si="19"/>
        <v>263</v>
      </c>
      <c r="B265" s="4" t="s">
        <v>157</v>
      </c>
      <c r="C265" s="4" t="s">
        <v>195</v>
      </c>
      <c r="D265" s="4">
        <v>2006</v>
      </c>
      <c r="E265" s="12" t="s">
        <v>897</v>
      </c>
      <c r="F265" s="4" t="s">
        <v>557</v>
      </c>
      <c r="G265" s="4" t="s">
        <v>1379</v>
      </c>
      <c r="H265" s="4" t="s">
        <v>1380</v>
      </c>
      <c r="I265" s="14">
        <v>4.4000000000000004</v>
      </c>
      <c r="J265" s="13">
        <v>44949</v>
      </c>
      <c r="K265" s="25"/>
      <c r="L265" s="14"/>
      <c r="M265" s="14"/>
      <c r="N265" s="4"/>
      <c r="O265" s="18"/>
      <c r="P265" s="14"/>
      <c r="Q265" s="15" t="str">
        <f t="shared" si="16"/>
        <v>N/A</v>
      </c>
      <c r="R265" s="12" t="s">
        <v>532</v>
      </c>
      <c r="S265" s="16" cm="1">
        <f t="array" ref="S265">IF(R265="",0,COUNTA(_xlfn._xlws.FILTER(_xlfn.TEXTSPLIT(R265,";"), _xlfn.TEXTSPLIT(R265,";")&lt;&gt;"")))</f>
        <v>2</v>
      </c>
      <c r="T265" s="12"/>
      <c r="U265" s="16" cm="1">
        <f t="array" ref="U265">IF(T265="",0,COUNTA(_xlfn._xlws.FILTER(_xlfn.TEXTSPLIT(T265,";"), _xlfn.TEXTSPLIT(T265,";")&lt;&gt;"")))</f>
        <v>0</v>
      </c>
      <c r="V265" s="17">
        <f t="shared" si="17"/>
        <v>0</v>
      </c>
      <c r="W265" s="12" t="str" cm="1">
        <f t="array" ref="W265">IF(T265="",R265,_xlfn.LET(_xlpm.inv, TRIM(_xlfn.TEXTSPLIT(R265,";")),_xlpm.fol, TRIM(_xlfn.TEXTSPLIT(T265,";")),_xlfn.TEXTJOIN("; ", TRUE, _xlfn._xlws.FILTER(_xlpm.inv, ISNA(MATCH(_xlpm.inv, _xlpm.fol, 0)), ""))
  )
)</f>
        <v>K Street Capital; Triangle Tweener Fund</v>
      </c>
      <c r="X265" s="16" cm="1">
        <f t="array" ref="X265">IF(W265="","N/A",COUNTA(_xlfn._xlws.FILTER(_xlfn.TEXTSPLIT(W265,";"), _xlfn.TEXTSPLIT(W265,";")&lt;&gt;"")))</f>
        <v>2</v>
      </c>
      <c r="Y265" s="17">
        <f t="shared" si="18"/>
        <v>1</v>
      </c>
      <c r="Z265" s="4" t="s">
        <v>812</v>
      </c>
      <c r="AA265" s="4" t="s">
        <v>79</v>
      </c>
      <c r="AB265" s="4" t="s">
        <v>811</v>
      </c>
      <c r="AC265" s="4" t="s">
        <v>517</v>
      </c>
    </row>
    <row r="266" spans="1:29" ht="29" x14ac:dyDescent="0.35">
      <c r="A266" s="4">
        <f t="shared" si="19"/>
        <v>264</v>
      </c>
      <c r="B266" s="4" t="s">
        <v>450</v>
      </c>
      <c r="C266" s="4" t="s">
        <v>186</v>
      </c>
      <c r="D266" s="4">
        <v>2005</v>
      </c>
      <c r="E266" s="12" t="s">
        <v>913</v>
      </c>
      <c r="F266" s="4" t="s">
        <v>961</v>
      </c>
      <c r="G266" s="4" t="s">
        <v>1381</v>
      </c>
      <c r="H266" s="4" t="s">
        <v>1382</v>
      </c>
      <c r="I266" s="14">
        <v>64.73</v>
      </c>
      <c r="J266" s="13">
        <v>43707</v>
      </c>
      <c r="K266" s="25">
        <v>2.44</v>
      </c>
      <c r="L266" s="14">
        <v>11.45</v>
      </c>
      <c r="M266" s="14">
        <v>15.45</v>
      </c>
      <c r="N266" s="4" t="s">
        <v>474</v>
      </c>
      <c r="O266" s="18">
        <v>0.03</v>
      </c>
      <c r="P266" s="14"/>
      <c r="Q266" s="15">
        <f t="shared" si="16"/>
        <v>0</v>
      </c>
      <c r="R266" s="12" t="s">
        <v>533</v>
      </c>
      <c r="S266" s="16" cm="1">
        <f t="array" ref="S266">IF(R266="",0,COUNTA(_xlfn._xlws.FILTER(_xlfn.TEXTSPLIT(R266,";"), _xlfn.TEXTSPLIT(R266,";")&lt;&gt;"")))</f>
        <v>2</v>
      </c>
      <c r="T266" s="12"/>
      <c r="U266" s="16" cm="1">
        <f t="array" ref="U266">IF(T266="",0,COUNTA(_xlfn._xlws.FILTER(_xlfn.TEXTSPLIT(T266,";"), _xlfn.TEXTSPLIT(T266,";")&lt;&gt;"")))</f>
        <v>0</v>
      </c>
      <c r="V266" s="17">
        <f t="shared" si="17"/>
        <v>0</v>
      </c>
      <c r="W266" s="12" t="str" cm="1">
        <f t="array" ref="W266">IF(T266="",R266,_xlfn.LET(_xlpm.inv, TRIM(_xlfn.TEXTSPLIT(R266,";")),_xlpm.fol, TRIM(_xlfn.TEXTSPLIT(T266,";")),_xlfn.TEXTJOIN("; ", TRUE, _xlfn._xlws.FILTER(_xlpm.inv, ISNA(MATCH(_xlpm.inv, _xlpm.fol, 0)), ""))
  )
)</f>
        <v>Edgewater Captial Group; Firsthand Capital Management</v>
      </c>
      <c r="X266" s="16" cm="1">
        <f t="array" ref="X266">IF(W266="","N/A",COUNTA(_xlfn._xlws.FILTER(_xlfn.TEXTSPLIT(W266,";"), _xlfn.TEXTSPLIT(W266,";")&lt;&gt;"")))</f>
        <v>2</v>
      </c>
      <c r="Y266" s="17">
        <f t="shared" si="18"/>
        <v>1</v>
      </c>
      <c r="Z266" s="4" t="s">
        <v>810</v>
      </c>
      <c r="AA266" s="4" t="s">
        <v>864</v>
      </c>
      <c r="AB266" s="4" t="s">
        <v>850</v>
      </c>
      <c r="AC266" s="4" t="s">
        <v>517</v>
      </c>
    </row>
    <row r="267" spans="1:29" ht="29" x14ac:dyDescent="0.35">
      <c r="A267" s="4">
        <f t="shared" si="19"/>
        <v>265</v>
      </c>
      <c r="B267" s="4" t="s">
        <v>451</v>
      </c>
      <c r="C267" s="4" t="s">
        <v>452</v>
      </c>
      <c r="D267" s="4">
        <v>2008</v>
      </c>
      <c r="E267" s="12" t="s">
        <v>897</v>
      </c>
      <c r="F267" s="4" t="s">
        <v>557</v>
      </c>
      <c r="G267" s="4" t="s">
        <v>1383</v>
      </c>
      <c r="H267" s="4" t="s">
        <v>1384</v>
      </c>
      <c r="I267" s="14">
        <v>52</v>
      </c>
      <c r="J267" s="13">
        <v>45716</v>
      </c>
      <c r="K267" s="25">
        <v>1.1200000000000001</v>
      </c>
      <c r="L267" s="14">
        <v>13</v>
      </c>
      <c r="M267" s="14"/>
      <c r="N267" s="4"/>
      <c r="O267" s="18"/>
      <c r="P267" s="14"/>
      <c r="Q267" s="15">
        <f t="shared" si="16"/>
        <v>0</v>
      </c>
      <c r="R267" s="12" t="s">
        <v>758</v>
      </c>
      <c r="S267" s="16" cm="1">
        <f t="array" ref="S267">IF(R267="",0,COUNTA(_xlfn._xlws.FILTER(_xlfn.TEXTSPLIT(R267,";"), _xlfn.TEXTSPLIT(R267,";")&lt;&gt;"")))</f>
        <v>4</v>
      </c>
      <c r="T267" s="12"/>
      <c r="U267" s="16" cm="1">
        <f t="array" ref="U267">IF(T267="",0,COUNTA(_xlfn._xlws.FILTER(_xlfn.TEXTSPLIT(T267,";"), _xlfn.TEXTSPLIT(T267,";")&lt;&gt;"")))</f>
        <v>0</v>
      </c>
      <c r="V267" s="17">
        <f t="shared" si="17"/>
        <v>0</v>
      </c>
      <c r="W267" s="12" t="str" cm="1">
        <f t="array" ref="W267">IF(T267="",R267,_xlfn.LET(_xlpm.inv, TRIM(_xlfn.TEXTSPLIT(R267,";")),_xlpm.fol, TRIM(_xlfn.TEXTSPLIT(T267,";")),_xlfn.TEXTJOIN("; ", TRUE, _xlfn._xlws.FILTER(_xlpm.inv, ISNA(MATCH(_xlpm.inv, _xlpm.fol, 0)), ""))
  )
)</f>
        <v>Aligned Climate Capital; ClearSky; Climate Innovation Capital; WovenEarth Ventures</v>
      </c>
      <c r="X267" s="16" cm="1">
        <f t="array" ref="X267">IF(W267="","N/A",COUNTA(_xlfn._xlws.FILTER(_xlfn.TEXTSPLIT(W267,";"), _xlfn.TEXTSPLIT(W267,";")&lt;&gt;"")))</f>
        <v>4</v>
      </c>
      <c r="Y267" s="17">
        <f t="shared" si="18"/>
        <v>1</v>
      </c>
      <c r="Z267" s="4" t="s">
        <v>810</v>
      </c>
      <c r="AA267" s="4"/>
      <c r="AB267" s="4" t="s">
        <v>822</v>
      </c>
      <c r="AC267" s="4" t="s">
        <v>517</v>
      </c>
    </row>
    <row r="268" spans="1:29" x14ac:dyDescent="0.35">
      <c r="A268" s="4">
        <f t="shared" si="19"/>
        <v>266</v>
      </c>
      <c r="B268" s="4" t="s">
        <v>453</v>
      </c>
      <c r="C268" s="4" t="s">
        <v>454</v>
      </c>
      <c r="D268" s="4">
        <v>2018</v>
      </c>
      <c r="E268" s="12" t="s">
        <v>897</v>
      </c>
      <c r="F268" s="4" t="s">
        <v>557</v>
      </c>
      <c r="G268" s="4" t="s">
        <v>1385</v>
      </c>
      <c r="H268" s="4" t="s">
        <v>1386</v>
      </c>
      <c r="I268" s="14">
        <v>6.5</v>
      </c>
      <c r="J268" s="13">
        <v>44055</v>
      </c>
      <c r="K268" s="25"/>
      <c r="L268" s="14">
        <v>6.5</v>
      </c>
      <c r="M268" s="14">
        <v>25</v>
      </c>
      <c r="N268" s="4"/>
      <c r="O268" s="18"/>
      <c r="P268" s="14"/>
      <c r="Q268" s="15">
        <f t="shared" si="16"/>
        <v>0</v>
      </c>
      <c r="R268" s="12" t="s">
        <v>759</v>
      </c>
      <c r="S268" s="16" cm="1">
        <f t="array" ref="S268">IF(R268="",0,COUNTA(_xlfn._xlws.FILTER(_xlfn.TEXTSPLIT(R268,";"), _xlfn.TEXTSPLIT(R268,";")&lt;&gt;"")))</f>
        <v>2</v>
      </c>
      <c r="T268" s="12"/>
      <c r="U268" s="16" cm="1">
        <f t="array" ref="U268">IF(T268="",0,COUNTA(_xlfn._xlws.FILTER(_xlfn.TEXTSPLIT(T268,";"), _xlfn.TEXTSPLIT(T268,";")&lt;&gt;"")))</f>
        <v>0</v>
      </c>
      <c r="V268" s="17">
        <f t="shared" si="17"/>
        <v>0</v>
      </c>
      <c r="W268" s="12" t="str" cm="1">
        <f t="array" ref="W268">IF(T268="",R268,_xlfn.LET(_xlpm.inv, TRIM(_xlfn.TEXTSPLIT(R268,";")),_xlpm.fol, TRIM(_xlfn.TEXTSPLIT(T268,";")),_xlfn.TEXTJOIN("; ", TRUE, _xlfn._xlws.FILTER(_xlpm.inv, ISNA(MATCH(_xlpm.inv, _xlpm.fol, 0)), ""))
  )
)</f>
        <v>Chevron Technology Ventures; Lowercarbon Capital</v>
      </c>
      <c r="X268" s="16" cm="1">
        <f t="array" ref="X268">IF(W268="","N/A",COUNTA(_xlfn._xlws.FILTER(_xlfn.TEXTSPLIT(W268,";"), _xlfn.TEXTSPLIT(W268,";")&lt;&gt;"")))</f>
        <v>2</v>
      </c>
      <c r="Y268" s="17">
        <f t="shared" si="18"/>
        <v>1</v>
      </c>
      <c r="Z268" s="4" t="s">
        <v>817</v>
      </c>
      <c r="AA268" s="4" t="s">
        <v>831</v>
      </c>
      <c r="AB268" s="4" t="s">
        <v>811</v>
      </c>
      <c r="AC268" s="4" t="s">
        <v>517</v>
      </c>
    </row>
    <row r="269" spans="1:29" ht="29" x14ac:dyDescent="0.35">
      <c r="A269" s="4">
        <f t="shared" si="19"/>
        <v>267</v>
      </c>
      <c r="B269" s="4" t="s">
        <v>455</v>
      </c>
      <c r="C269" s="4" t="s">
        <v>1402</v>
      </c>
      <c r="D269" s="4">
        <v>2019</v>
      </c>
      <c r="E269" s="12" t="s">
        <v>900</v>
      </c>
      <c r="F269" s="4" t="s">
        <v>962</v>
      </c>
      <c r="G269" s="4" t="s">
        <v>1387</v>
      </c>
      <c r="H269" s="4" t="s">
        <v>1388</v>
      </c>
      <c r="I269" s="14">
        <v>0.75</v>
      </c>
      <c r="J269" s="13">
        <v>44120</v>
      </c>
      <c r="K269" s="25"/>
      <c r="L269" s="14">
        <v>0.75</v>
      </c>
      <c r="M269" s="14">
        <v>3.75</v>
      </c>
      <c r="N269" s="4"/>
      <c r="O269" s="18"/>
      <c r="P269" s="14"/>
      <c r="Q269" s="15">
        <f t="shared" si="16"/>
        <v>0</v>
      </c>
      <c r="R269" s="12" t="s">
        <v>534</v>
      </c>
      <c r="S269" s="16" cm="1">
        <f t="array" ref="S269">IF(R269="",0,COUNTA(_xlfn._xlws.FILTER(_xlfn.TEXTSPLIT(R269,";"), _xlfn.TEXTSPLIT(R269,";")&lt;&gt;"")))</f>
        <v>2</v>
      </c>
      <c r="T269" s="12"/>
      <c r="U269" s="16" cm="1">
        <f t="array" ref="U269">IF(T269="",0,COUNTA(_xlfn._xlws.FILTER(_xlfn.TEXTSPLIT(T269,";"), _xlfn.TEXTSPLIT(T269,";")&lt;&gt;"")))</f>
        <v>0</v>
      </c>
      <c r="V269" s="17">
        <f t="shared" si="17"/>
        <v>0</v>
      </c>
      <c r="W269" s="12" t="str" cm="1">
        <f t="array" ref="W269">IF(T269="",R269,_xlfn.LET(_xlpm.inv, TRIM(_xlfn.TEXTSPLIT(R269,";")),_xlpm.fol, TRIM(_xlfn.TEXTSPLIT(T269,";")),_xlfn.TEXTJOIN("; ", TRUE, _xlfn._xlws.FILTER(_xlpm.inv, ISNA(MATCH(_xlpm.inv, _xlpm.fol, 0)), ""))
  )
)</f>
        <v>Carnite Ventures; Houston Angel Network</v>
      </c>
      <c r="X269" s="16" cm="1">
        <f t="array" ref="X269">IF(W269="","N/A",COUNTA(_xlfn._xlws.FILTER(_xlfn.TEXTSPLIT(W269,";"), _xlfn.TEXTSPLIT(W269,";")&lt;&gt;"")))</f>
        <v>2</v>
      </c>
      <c r="Y269" s="17">
        <f t="shared" si="18"/>
        <v>1</v>
      </c>
      <c r="Z269" s="4" t="s">
        <v>812</v>
      </c>
      <c r="AA269" s="4" t="s">
        <v>79</v>
      </c>
      <c r="AB269" s="4" t="s">
        <v>838</v>
      </c>
      <c r="AC269" s="4" t="s">
        <v>517</v>
      </c>
    </row>
    <row r="270" spans="1:29" ht="29" x14ac:dyDescent="0.35">
      <c r="A270" s="4">
        <f t="shared" si="19"/>
        <v>268</v>
      </c>
      <c r="B270" s="4" t="s">
        <v>456</v>
      </c>
      <c r="C270" s="4" t="s">
        <v>242</v>
      </c>
      <c r="D270" s="4">
        <v>2018</v>
      </c>
      <c r="E270" s="12" t="s">
        <v>927</v>
      </c>
      <c r="F270" s="4" t="s">
        <v>978</v>
      </c>
      <c r="G270" s="4" t="s">
        <v>1389</v>
      </c>
      <c r="H270" s="4" t="s">
        <v>1390</v>
      </c>
      <c r="I270" s="14">
        <v>0.63</v>
      </c>
      <c r="J270" s="13">
        <v>43404</v>
      </c>
      <c r="K270" s="25"/>
      <c r="L270" s="14">
        <v>0.63</v>
      </c>
      <c r="M270" s="14"/>
      <c r="N270" s="4"/>
      <c r="O270" s="18"/>
      <c r="P270" s="14"/>
      <c r="Q270" s="15">
        <f t="shared" si="16"/>
        <v>0</v>
      </c>
      <c r="R270" s="12"/>
      <c r="S270" s="16" cm="1">
        <f t="array" ref="S270">IF(R270="",0,COUNTA(_xlfn._xlws.FILTER(_xlfn.TEXTSPLIT(R270,";"), _xlfn.TEXTSPLIT(R270,";")&lt;&gt;"")))</f>
        <v>0</v>
      </c>
      <c r="T270" s="12"/>
      <c r="U270" s="16" cm="1">
        <f t="array" ref="U270">IF(T270="",0,COUNTA(_xlfn._xlws.FILTER(_xlfn.TEXTSPLIT(T270,";"), _xlfn.TEXTSPLIT(T270,";")&lt;&gt;"")))</f>
        <v>0</v>
      </c>
      <c r="V270" s="17" t="str">
        <f t="shared" si="17"/>
        <v>N/A</v>
      </c>
      <c r="W270" s="12" cm="1">
        <f t="array" ref="W270">IF(T270="",R270,_xlfn.LET(_xlpm.inv, TRIM(_xlfn.TEXTSPLIT(R270,";")),_xlpm.fol, TRIM(_xlfn.TEXTSPLIT(T270,";")),_xlfn.TEXTJOIN("; ", TRUE, _xlfn._xlws.FILTER(_xlpm.inv, ISNA(MATCH(_xlpm.inv, _xlpm.fol, 0)), ""))
  )
)</f>
        <v>0</v>
      </c>
      <c r="X270" s="16" cm="1">
        <f t="array" ref="X270">IF(W270="","N/A",COUNTA(_xlfn._xlws.FILTER(_xlfn.TEXTSPLIT(W270,";"), _xlfn.TEXTSPLIT(W270,";")&lt;&gt;"")))</f>
        <v>1</v>
      </c>
      <c r="Y270" s="17" t="str">
        <f t="shared" si="18"/>
        <v>N/A</v>
      </c>
      <c r="Z270" s="4" t="s">
        <v>812</v>
      </c>
      <c r="AA270" s="4" t="s">
        <v>79</v>
      </c>
      <c r="AB270" s="4" t="s">
        <v>889</v>
      </c>
      <c r="AC270" s="4" t="s">
        <v>517</v>
      </c>
    </row>
    <row r="271" spans="1:29" ht="29" x14ac:dyDescent="0.35">
      <c r="A271" s="4">
        <f t="shared" si="19"/>
        <v>269</v>
      </c>
      <c r="B271" s="4" t="s">
        <v>456</v>
      </c>
      <c r="C271" s="4" t="s">
        <v>242</v>
      </c>
      <c r="D271" s="4">
        <v>2018</v>
      </c>
      <c r="E271" s="12" t="s">
        <v>927</v>
      </c>
      <c r="F271" s="4" t="s">
        <v>978</v>
      </c>
      <c r="G271" s="4" t="s">
        <v>1389</v>
      </c>
      <c r="H271" s="4" t="s">
        <v>1390</v>
      </c>
      <c r="I271" s="14">
        <v>0.98</v>
      </c>
      <c r="J271" s="13">
        <v>44562</v>
      </c>
      <c r="K271" s="25"/>
      <c r="L271" s="14">
        <v>0.35</v>
      </c>
      <c r="M271" s="14"/>
      <c r="N271" s="4"/>
      <c r="O271" s="18"/>
      <c r="P271" s="14"/>
      <c r="Q271" s="15">
        <f t="shared" si="16"/>
        <v>0</v>
      </c>
      <c r="R271" s="12"/>
      <c r="S271" s="16" cm="1">
        <f t="array" ref="S271">IF(R271="",0,COUNTA(_xlfn._xlws.FILTER(_xlfn.TEXTSPLIT(R271,";"), _xlfn.TEXTSPLIT(R271,";")&lt;&gt;"")))</f>
        <v>0</v>
      </c>
      <c r="T271" s="12"/>
      <c r="U271" s="16" cm="1">
        <f t="array" ref="U271">IF(T271="",0,COUNTA(_xlfn._xlws.FILTER(_xlfn.TEXTSPLIT(T271,";"), _xlfn.TEXTSPLIT(T271,";")&lt;&gt;"")))</f>
        <v>0</v>
      </c>
      <c r="V271" s="17" t="str">
        <f t="shared" si="17"/>
        <v>N/A</v>
      </c>
      <c r="W271" s="12" cm="1">
        <f t="array" ref="W271">IF(T271="",R271,_xlfn.LET(_xlpm.inv, TRIM(_xlfn.TEXTSPLIT(R271,";")),_xlpm.fol, TRIM(_xlfn.TEXTSPLIT(T271,";")),_xlfn.TEXTJOIN("; ", TRUE, _xlfn._xlws.FILTER(_xlpm.inv, ISNA(MATCH(_xlpm.inv, _xlpm.fol, 0)), ""))
  )
)</f>
        <v>0</v>
      </c>
      <c r="X271" s="16" cm="1">
        <f t="array" ref="X271">IF(W271="","N/A",COUNTA(_xlfn._xlws.FILTER(_xlfn.TEXTSPLIT(W271,";"), _xlfn.TEXTSPLIT(W271,";")&lt;&gt;"")))</f>
        <v>1</v>
      </c>
      <c r="Y271" s="17" t="str">
        <f t="shared" si="18"/>
        <v>N/A</v>
      </c>
      <c r="Z271" s="4" t="s">
        <v>812</v>
      </c>
      <c r="AA271" s="4" t="s">
        <v>813</v>
      </c>
      <c r="AB271" s="4" t="s">
        <v>889</v>
      </c>
      <c r="AC271" s="4" t="s">
        <v>517</v>
      </c>
    </row>
    <row r="272" spans="1:29" ht="29" x14ac:dyDescent="0.35">
      <c r="A272" s="4">
        <f t="shared" si="19"/>
        <v>270</v>
      </c>
      <c r="B272" s="4" t="s">
        <v>457</v>
      </c>
      <c r="C272" s="4" t="s">
        <v>458</v>
      </c>
      <c r="D272" s="4">
        <v>2016</v>
      </c>
      <c r="E272" s="12" t="s">
        <v>896</v>
      </c>
      <c r="F272" s="4" t="s">
        <v>959</v>
      </c>
      <c r="G272" s="4" t="s">
        <v>1393</v>
      </c>
      <c r="H272" s="4" t="s">
        <v>1391</v>
      </c>
      <c r="I272" s="14">
        <v>219.02</v>
      </c>
      <c r="J272" s="13">
        <v>45505</v>
      </c>
      <c r="K272" s="25"/>
      <c r="L272" s="14"/>
      <c r="M272" s="14"/>
      <c r="N272" s="4"/>
      <c r="O272" s="18"/>
      <c r="P272" s="14"/>
      <c r="Q272" s="15" t="str">
        <f t="shared" si="16"/>
        <v>N/A</v>
      </c>
      <c r="R272" s="12" t="s">
        <v>535</v>
      </c>
      <c r="S272" s="16" cm="1">
        <f t="array" ref="S272">IF(R272="",0,COUNTA(_xlfn._xlws.FILTER(_xlfn.TEXTSPLIT(R272,";"), _xlfn.TEXTSPLIT(R272,";")&lt;&gt;"")))</f>
        <v>2</v>
      </c>
      <c r="T272" s="12"/>
      <c r="U272" s="16" cm="1">
        <f t="array" ref="U272">IF(T272="",0,COUNTA(_xlfn._xlws.FILTER(_xlfn.TEXTSPLIT(T272,";"), _xlfn.TEXTSPLIT(T272,";")&lt;&gt;"")))</f>
        <v>0</v>
      </c>
      <c r="V272" s="17">
        <f t="shared" si="17"/>
        <v>0</v>
      </c>
      <c r="W272" s="12" t="str" cm="1">
        <f t="array" ref="W272">IF(T272="",R272,_xlfn.LET(_xlpm.inv, TRIM(_xlfn.TEXTSPLIT(R272,";")),_xlpm.fol, TRIM(_xlfn.TEXTSPLIT(T272,";")),_xlfn.TEXTJOIN("; ", TRUE, _xlfn._xlws.FILTER(_xlpm.inv, ISNA(MATCH(_xlpm.inv, _xlpm.fol, 0)), ""))
  )
)</f>
        <v>DBL Partners; Gray's Creek Capital Partners</v>
      </c>
      <c r="X272" s="16" cm="1">
        <f t="array" ref="X272">IF(W272="","N/A",COUNTA(_xlfn._xlws.FILTER(_xlfn.TEXTSPLIT(W272,";"), _xlfn.TEXTSPLIT(W272,";")&lt;&gt;"")))</f>
        <v>2</v>
      </c>
      <c r="Y272" s="17">
        <f t="shared" si="18"/>
        <v>1</v>
      </c>
      <c r="Z272" s="4" t="s">
        <v>815</v>
      </c>
      <c r="AA272" s="4"/>
      <c r="AB272" s="4" t="s">
        <v>824</v>
      </c>
      <c r="AC272" s="4" t="s">
        <v>517</v>
      </c>
    </row>
    <row r="273" spans="1:29" ht="29" x14ac:dyDescent="0.35">
      <c r="A273" s="4">
        <f t="shared" si="19"/>
        <v>271</v>
      </c>
      <c r="B273" s="4" t="s">
        <v>457</v>
      </c>
      <c r="C273" s="4" t="s">
        <v>458</v>
      </c>
      <c r="D273" s="4">
        <v>2016</v>
      </c>
      <c r="E273" s="12" t="s">
        <v>896</v>
      </c>
      <c r="F273" s="4" t="s">
        <v>959</v>
      </c>
      <c r="G273" s="4" t="s">
        <v>1393</v>
      </c>
      <c r="H273" s="4" t="s">
        <v>1391</v>
      </c>
      <c r="I273" s="14">
        <v>244.78</v>
      </c>
      <c r="J273" s="13">
        <v>45818</v>
      </c>
      <c r="K273" s="25"/>
      <c r="L273" s="14">
        <v>25.76</v>
      </c>
      <c r="M273" s="14"/>
      <c r="N273" s="4"/>
      <c r="O273" s="18"/>
      <c r="P273" s="14"/>
      <c r="Q273" s="15">
        <f t="shared" si="16"/>
        <v>0</v>
      </c>
      <c r="R273" s="12"/>
      <c r="S273" s="16" cm="1">
        <f t="array" ref="S273">IF(R273="",0,COUNTA(_xlfn._xlws.FILTER(_xlfn.TEXTSPLIT(R273,";"), _xlfn.TEXTSPLIT(R273,";")&lt;&gt;"")))</f>
        <v>0</v>
      </c>
      <c r="T273" s="12"/>
      <c r="U273" s="16" cm="1">
        <f t="array" ref="U273">IF(T273="",0,COUNTA(_xlfn._xlws.FILTER(_xlfn.TEXTSPLIT(T273,";"), _xlfn.TEXTSPLIT(T273,";")&lt;&gt;"")))</f>
        <v>0</v>
      </c>
      <c r="V273" s="17" t="str">
        <f t="shared" si="17"/>
        <v>N/A</v>
      </c>
      <c r="W273" s="12" cm="1">
        <f t="array" ref="W273">IF(T273="",R273,_xlfn.LET(_xlpm.inv, TRIM(_xlfn.TEXTSPLIT(R273,";")),_xlpm.fol, TRIM(_xlfn.TEXTSPLIT(T273,";")),_xlfn.TEXTJOIN("; ", TRUE, _xlfn._xlws.FILTER(_xlpm.inv, ISNA(MATCH(_xlpm.inv, _xlpm.fol, 0)), ""))
  )
)</f>
        <v>0</v>
      </c>
      <c r="X273" s="16" cm="1">
        <f t="array" ref="X273">IF(W273="","N/A",COUNTA(_xlfn._xlws.FILTER(_xlfn.TEXTSPLIT(W273,";"), _xlfn.TEXTSPLIT(W273,";")&lt;&gt;"")))</f>
        <v>1</v>
      </c>
      <c r="Y273" s="17" t="str">
        <f t="shared" si="18"/>
        <v>N/A</v>
      </c>
      <c r="Z273" s="4" t="s">
        <v>815</v>
      </c>
      <c r="AA273" s="4"/>
      <c r="AB273" s="4" t="s">
        <v>824</v>
      </c>
      <c r="AC273" s="4" t="s">
        <v>517</v>
      </c>
    </row>
    <row r="274" spans="1:29" x14ac:dyDescent="0.35">
      <c r="A274" s="4"/>
      <c r="B274" s="4"/>
      <c r="C274" s="4" t="s">
        <v>517</v>
      </c>
      <c r="D274" s="4" t="s">
        <v>517</v>
      </c>
      <c r="E274" s="12"/>
      <c r="F274" s="4" t="s">
        <v>517</v>
      </c>
      <c r="G274" s="4" t="s">
        <v>517</v>
      </c>
      <c r="H274" s="4" t="s">
        <v>517</v>
      </c>
      <c r="I274" s="4" t="s">
        <v>517</v>
      </c>
      <c r="J274" s="4" t="s">
        <v>517</v>
      </c>
      <c r="K274" s="4" t="s">
        <v>517</v>
      </c>
      <c r="L274" s="4" t="s">
        <v>517</v>
      </c>
      <c r="M274" s="4" t="s">
        <v>517</v>
      </c>
      <c r="N274" s="4" t="s">
        <v>517</v>
      </c>
      <c r="O274" s="4" t="s">
        <v>517</v>
      </c>
      <c r="P274" s="4" t="s">
        <v>517</v>
      </c>
      <c r="Q274" s="4" t="s">
        <v>517</v>
      </c>
      <c r="R274" s="12" t="s">
        <v>517</v>
      </c>
      <c r="S274" s="4" t="s">
        <v>517</v>
      </c>
      <c r="T274" s="12" t="s">
        <v>517</v>
      </c>
      <c r="U274" s="4" t="s">
        <v>517</v>
      </c>
      <c r="V274" s="19" t="s">
        <v>517</v>
      </c>
      <c r="W274" s="12" t="s">
        <v>517</v>
      </c>
      <c r="X274" s="4" t="s">
        <v>517</v>
      </c>
      <c r="Y274" s="4" t="s">
        <v>517</v>
      </c>
      <c r="Z274" s="4" t="s">
        <v>517</v>
      </c>
      <c r="AA274" s="4" t="s">
        <v>517</v>
      </c>
      <c r="AB274" s="4" t="s">
        <v>517</v>
      </c>
      <c r="AC274" s="4" t="s">
        <v>517</v>
      </c>
    </row>
  </sheetData>
  <autoFilter ref="A2:AB2" xr:uid="{65B32EA1-3BB1-4EA1-BEF6-DD66A5BDD355}"/>
  <dataValidations count="1">
    <dataValidation type="list" allowBlank="1" showInputMessage="1" showErrorMessage="1" sqref="F3:F273" xr:uid="{5C1284DC-C529-4CA8-9B07-17AF8AE7F7FC}">
      <formula1>"Renewables,LDES,Hydrogen,CDR,Industrial Decarbonization,Buildings,Mobility,Food&amp;Ag"</formula1>
    </dataValidation>
  </dataValidations>
  <hyperlinks>
    <hyperlink ref="H17" r:id="rId1" xr:uid="{BB7C2A59-044A-48AF-970C-8EBBDCA64AAF}"/>
    <hyperlink ref="H18" r:id="rId2" xr:uid="{6896048E-D7C8-4664-9E79-E1FD1EF47079}"/>
    <hyperlink ref="H150" r:id="rId3" xr:uid="{24901072-F3D8-4D0E-B9FE-2131742EE2CE}"/>
    <hyperlink ref="H227" r:id="rId4" xr:uid="{016FAE3F-72B9-4844-BB42-27FF45753EE1}"/>
  </hyperlinks>
  <pageMargins left="0.7" right="0.7" top="0.75" bottom="0.75" header="0.3" footer="0.3"/>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97988-73C2-40C9-9837-A8812ACF75F5}">
  <sheetPr>
    <tabColor rgb="FFFF0000"/>
  </sheetPr>
  <dimension ref="B2:G87"/>
  <sheetViews>
    <sheetView showGridLines="0" zoomScale="68" workbookViewId="0">
      <selection activeCell="B2" sqref="B2"/>
    </sheetView>
  </sheetViews>
  <sheetFormatPr defaultRowHeight="14.5" x14ac:dyDescent="0.35"/>
  <cols>
    <col min="1" max="1" width="3.7265625" style="4" customWidth="1"/>
    <col min="2" max="2" width="26" style="4" customWidth="1"/>
    <col min="3" max="3" width="39.08984375" style="4" customWidth="1"/>
    <col min="4" max="4" width="4.90625" style="4" customWidth="1"/>
    <col min="5" max="5" width="27.36328125" style="4" customWidth="1"/>
    <col min="6" max="6" width="28.1796875" style="4" customWidth="1"/>
    <col min="7" max="7" width="8.7265625" style="4"/>
    <col min="8" max="8" width="29.7265625" style="4" bestFit="1" customWidth="1"/>
    <col min="9" max="14" width="8.7265625" style="4"/>
    <col min="15" max="15" width="24.81640625" style="4" bestFit="1" customWidth="1"/>
    <col min="16" max="16" width="17.6328125" style="4" bestFit="1" customWidth="1"/>
    <col min="17" max="16384" width="8.7265625" style="4"/>
  </cols>
  <sheetData>
    <row r="2" spans="2:6" x14ac:dyDescent="0.35">
      <c r="B2" s="20" t="s">
        <v>966</v>
      </c>
      <c r="C2" s="20"/>
      <c r="E2" s="20" t="s">
        <v>967</v>
      </c>
      <c r="F2" s="20"/>
    </row>
    <row r="3" spans="2:6" x14ac:dyDescent="0.35">
      <c r="B3" s="21" t="s">
        <v>152</v>
      </c>
      <c r="C3" s="21" t="s">
        <v>556</v>
      </c>
      <c r="E3" s="21" t="s">
        <v>970</v>
      </c>
      <c r="F3" s="21" t="s">
        <v>153</v>
      </c>
    </row>
    <row r="4" spans="2:6" x14ac:dyDescent="0.35">
      <c r="B4" s="4" t="s">
        <v>8</v>
      </c>
      <c r="C4" s="4" t="s">
        <v>964</v>
      </c>
      <c r="E4" s="4" t="s">
        <v>74</v>
      </c>
      <c r="F4" s="4" t="s">
        <v>75</v>
      </c>
    </row>
    <row r="5" spans="2:6" x14ac:dyDescent="0.35">
      <c r="B5" s="4" t="s">
        <v>14</v>
      </c>
      <c r="C5" s="4" t="s">
        <v>968</v>
      </c>
      <c r="E5" s="4" t="s">
        <v>76</v>
      </c>
      <c r="F5" s="4" t="s">
        <v>75</v>
      </c>
    </row>
    <row r="6" spans="2:6" x14ac:dyDescent="0.35">
      <c r="B6" s="4" t="s">
        <v>9</v>
      </c>
      <c r="C6" s="4" t="s">
        <v>964</v>
      </c>
      <c r="E6" s="4" t="s">
        <v>77</v>
      </c>
      <c r="F6" s="4" t="s">
        <v>75</v>
      </c>
    </row>
    <row r="7" spans="2:6" x14ac:dyDescent="0.35">
      <c r="B7" s="4" t="s">
        <v>10</v>
      </c>
      <c r="C7" s="4" t="s">
        <v>964</v>
      </c>
      <c r="E7" s="4" t="s">
        <v>78</v>
      </c>
      <c r="F7" s="4" t="s">
        <v>79</v>
      </c>
    </row>
    <row r="8" spans="2:6" x14ac:dyDescent="0.35">
      <c r="B8" s="4" t="s">
        <v>7</v>
      </c>
      <c r="C8" s="4" t="s">
        <v>964</v>
      </c>
      <c r="E8" s="4" t="s">
        <v>80</v>
      </c>
      <c r="F8" s="4" t="s">
        <v>75</v>
      </c>
    </row>
    <row r="9" spans="2:6" x14ac:dyDescent="0.35">
      <c r="B9" s="4" t="s">
        <v>11</v>
      </c>
      <c r="C9" s="4" t="s">
        <v>964</v>
      </c>
      <c r="E9" s="4" t="s">
        <v>81</v>
      </c>
      <c r="F9" s="4" t="s">
        <v>79</v>
      </c>
    </row>
    <row r="10" spans="2:6" x14ac:dyDescent="0.35">
      <c r="B10" s="4" t="s">
        <v>17</v>
      </c>
      <c r="C10" s="4" t="s">
        <v>965</v>
      </c>
      <c r="E10" s="4" t="s">
        <v>82</v>
      </c>
      <c r="F10" s="4" t="s">
        <v>75</v>
      </c>
    </row>
    <row r="11" spans="2:6" x14ac:dyDescent="0.35">
      <c r="B11" s="4" t="s">
        <v>12</v>
      </c>
      <c r="C11" s="4" t="s">
        <v>964</v>
      </c>
      <c r="E11" s="4" t="s">
        <v>15</v>
      </c>
      <c r="F11" s="4" t="s">
        <v>75</v>
      </c>
    </row>
    <row r="12" spans="2:6" x14ac:dyDescent="0.35">
      <c r="B12" s="4" t="s">
        <v>13</v>
      </c>
      <c r="C12" s="4" t="s">
        <v>964</v>
      </c>
      <c r="E12" s="4" t="s">
        <v>83</v>
      </c>
      <c r="F12" s="4" t="s">
        <v>75</v>
      </c>
    </row>
    <row r="13" spans="2:6" x14ac:dyDescent="0.35">
      <c r="B13" s="4" t="s">
        <v>16</v>
      </c>
      <c r="C13" s="4" t="s">
        <v>965</v>
      </c>
      <c r="E13" s="4" t="s">
        <v>84</v>
      </c>
      <c r="F13" s="4" t="s">
        <v>75</v>
      </c>
    </row>
    <row r="14" spans="2:6" x14ac:dyDescent="0.35">
      <c r="B14" s="4" t="s">
        <v>18</v>
      </c>
      <c r="C14" s="4" t="s">
        <v>964</v>
      </c>
      <c r="E14" s="4" t="s">
        <v>85</v>
      </c>
      <c r="F14" s="4" t="s">
        <v>75</v>
      </c>
    </row>
    <row r="15" spans="2:6" x14ac:dyDescent="0.35">
      <c r="B15" s="4" t="s">
        <v>19</v>
      </c>
      <c r="C15" s="4" t="s">
        <v>969</v>
      </c>
      <c r="E15" s="4" t="s">
        <v>86</v>
      </c>
      <c r="F15" s="4" t="s">
        <v>75</v>
      </c>
    </row>
    <row r="16" spans="2:6" x14ac:dyDescent="0.35">
      <c r="B16" s="4" t="s">
        <v>20</v>
      </c>
      <c r="C16" s="4" t="s">
        <v>968</v>
      </c>
      <c r="E16" s="4" t="s">
        <v>87</v>
      </c>
      <c r="F16" s="4" t="s">
        <v>75</v>
      </c>
    </row>
    <row r="17" spans="2:6" x14ac:dyDescent="0.35">
      <c r="B17" s="4" t="s">
        <v>6</v>
      </c>
      <c r="C17" s="4" t="s">
        <v>965</v>
      </c>
      <c r="E17" s="4" t="s">
        <v>88</v>
      </c>
      <c r="F17" s="4" t="s">
        <v>75</v>
      </c>
    </row>
    <row r="18" spans="2:6" x14ac:dyDescent="0.35">
      <c r="B18" s="4" t="s">
        <v>21</v>
      </c>
      <c r="C18" s="4" t="s">
        <v>964</v>
      </c>
      <c r="E18" s="4" t="s">
        <v>25</v>
      </c>
      <c r="F18" s="4" t="s">
        <v>75</v>
      </c>
    </row>
    <row r="19" spans="2:6" x14ac:dyDescent="0.35">
      <c r="B19" s="4" t="s">
        <v>22</v>
      </c>
      <c r="C19" s="4" t="s">
        <v>964</v>
      </c>
      <c r="E19" s="4" t="s">
        <v>89</v>
      </c>
      <c r="F19" s="4" t="s">
        <v>75</v>
      </c>
    </row>
    <row r="20" spans="2:6" x14ac:dyDescent="0.35">
      <c r="B20" s="4" t="s">
        <v>23</v>
      </c>
      <c r="C20" s="4" t="s">
        <v>964</v>
      </c>
      <c r="E20" s="4" t="s">
        <v>90</v>
      </c>
      <c r="F20" s="4" t="s">
        <v>75</v>
      </c>
    </row>
    <row r="21" spans="2:6" x14ac:dyDescent="0.35">
      <c r="B21" s="4" t="s">
        <v>24</v>
      </c>
      <c r="C21" s="4" t="s">
        <v>965</v>
      </c>
      <c r="E21" s="4" t="s">
        <v>91</v>
      </c>
      <c r="F21" s="4" t="s">
        <v>79</v>
      </c>
    </row>
    <row r="22" spans="2:6" x14ac:dyDescent="0.35">
      <c r="B22" s="4" t="s">
        <v>26</v>
      </c>
      <c r="C22" s="4" t="s">
        <v>964</v>
      </c>
      <c r="E22" s="4" t="s">
        <v>92</v>
      </c>
      <c r="F22" s="4" t="s">
        <v>75</v>
      </c>
    </row>
    <row r="23" spans="2:6" x14ac:dyDescent="0.35">
      <c r="B23" s="4" t="s">
        <v>1</v>
      </c>
      <c r="C23" s="4" t="s">
        <v>964</v>
      </c>
      <c r="E23" s="4" t="s">
        <v>93</v>
      </c>
      <c r="F23" s="4" t="s">
        <v>79</v>
      </c>
    </row>
    <row r="24" spans="2:6" x14ac:dyDescent="0.35">
      <c r="B24" s="4" t="s">
        <v>27</v>
      </c>
      <c r="C24" s="4" t="s">
        <v>965</v>
      </c>
      <c r="E24" s="4" t="s">
        <v>94</v>
      </c>
      <c r="F24" s="4" t="s">
        <v>79</v>
      </c>
    </row>
    <row r="25" spans="2:6" x14ac:dyDescent="0.35">
      <c r="B25" s="4" t="s">
        <v>28</v>
      </c>
      <c r="C25" s="4" t="s">
        <v>964</v>
      </c>
      <c r="E25" s="4" t="s">
        <v>95</v>
      </c>
      <c r="F25" s="4" t="s">
        <v>79</v>
      </c>
    </row>
    <row r="26" spans="2:6" x14ac:dyDescent="0.35">
      <c r="B26" s="4" t="s">
        <v>29</v>
      </c>
      <c r="C26" s="4" t="s">
        <v>965</v>
      </c>
      <c r="E26" s="4" t="s">
        <v>96</v>
      </c>
      <c r="F26" s="4" t="s">
        <v>75</v>
      </c>
    </row>
    <row r="27" spans="2:6" x14ac:dyDescent="0.35">
      <c r="B27" s="4" t="s">
        <v>30</v>
      </c>
      <c r="C27" s="4" t="s">
        <v>964</v>
      </c>
      <c r="E27" s="4" t="s">
        <v>97</v>
      </c>
      <c r="F27" s="4" t="s">
        <v>99</v>
      </c>
    </row>
    <row r="28" spans="2:6" x14ac:dyDescent="0.35">
      <c r="B28" s="4" t="s">
        <v>31</v>
      </c>
      <c r="C28" s="4" t="s">
        <v>964</v>
      </c>
      <c r="E28" s="4" t="s">
        <v>98</v>
      </c>
      <c r="F28" s="4" t="s">
        <v>75</v>
      </c>
    </row>
    <row r="29" spans="2:6" x14ac:dyDescent="0.35">
      <c r="B29" s="4" t="s">
        <v>32</v>
      </c>
      <c r="C29" s="4" t="s">
        <v>964</v>
      </c>
      <c r="E29" s="4" t="s">
        <v>100</v>
      </c>
      <c r="F29" s="4" t="s">
        <v>75</v>
      </c>
    </row>
    <row r="30" spans="2:6" x14ac:dyDescent="0.35">
      <c r="B30" s="4" t="s">
        <v>33</v>
      </c>
      <c r="C30" s="4" t="s">
        <v>969</v>
      </c>
      <c r="E30" s="4" t="s">
        <v>101</v>
      </c>
      <c r="F30" s="4" t="s">
        <v>75</v>
      </c>
    </row>
    <row r="31" spans="2:6" x14ac:dyDescent="0.35">
      <c r="B31" s="4" t="s">
        <v>3</v>
      </c>
      <c r="C31" s="4" t="s">
        <v>964</v>
      </c>
      <c r="E31" s="4" t="s">
        <v>102</v>
      </c>
      <c r="F31" s="4" t="s">
        <v>75</v>
      </c>
    </row>
    <row r="32" spans="2:6" x14ac:dyDescent="0.35">
      <c r="B32" s="4" t="s">
        <v>34</v>
      </c>
      <c r="C32" s="4" t="s">
        <v>964</v>
      </c>
      <c r="E32" s="4" t="s">
        <v>103</v>
      </c>
      <c r="F32" s="4" t="s">
        <v>75</v>
      </c>
    </row>
    <row r="33" spans="2:6" x14ac:dyDescent="0.35">
      <c r="B33" s="4" t="s">
        <v>35</v>
      </c>
      <c r="C33" s="4" t="s">
        <v>964</v>
      </c>
      <c r="E33" s="4" t="s">
        <v>104</v>
      </c>
      <c r="F33" s="4" t="s">
        <v>75</v>
      </c>
    </row>
    <row r="34" spans="2:6" x14ac:dyDescent="0.35">
      <c r="B34" s="4" t="s">
        <v>36</v>
      </c>
      <c r="C34" s="4" t="s">
        <v>964</v>
      </c>
      <c r="E34" s="4" t="s">
        <v>105</v>
      </c>
      <c r="F34" s="4" t="s">
        <v>75</v>
      </c>
    </row>
    <row r="35" spans="2:6" x14ac:dyDescent="0.35">
      <c r="B35" s="4" t="s">
        <v>37</v>
      </c>
      <c r="C35" s="4" t="s">
        <v>964</v>
      </c>
      <c r="E35" s="4" t="s">
        <v>106</v>
      </c>
      <c r="F35" s="4" t="s">
        <v>75</v>
      </c>
    </row>
    <row r="36" spans="2:6" x14ac:dyDescent="0.35">
      <c r="B36" s="4" t="s">
        <v>38</v>
      </c>
      <c r="C36" s="4" t="s">
        <v>964</v>
      </c>
      <c r="E36" s="4" t="s">
        <v>107</v>
      </c>
      <c r="F36" s="4" t="s">
        <v>75</v>
      </c>
    </row>
    <row r="37" spans="2:6" x14ac:dyDescent="0.35">
      <c r="B37" s="4" t="s">
        <v>0</v>
      </c>
      <c r="C37" s="4" t="s">
        <v>968</v>
      </c>
      <c r="E37" s="4" t="s">
        <v>45</v>
      </c>
      <c r="F37" s="4" t="s">
        <v>75</v>
      </c>
    </row>
    <row r="38" spans="2:6" x14ac:dyDescent="0.35">
      <c r="B38" s="4" t="s">
        <v>39</v>
      </c>
      <c r="C38" s="4" t="s">
        <v>964</v>
      </c>
      <c r="E38" s="4" t="s">
        <v>108</v>
      </c>
      <c r="F38" s="4" t="s">
        <v>75</v>
      </c>
    </row>
    <row r="39" spans="2:6" x14ac:dyDescent="0.35">
      <c r="B39" s="4" t="s">
        <v>42</v>
      </c>
      <c r="C39" s="4" t="s">
        <v>965</v>
      </c>
      <c r="E39" s="4" t="s">
        <v>109</v>
      </c>
      <c r="F39" s="4" t="s">
        <v>75</v>
      </c>
    </row>
    <row r="40" spans="2:6" x14ac:dyDescent="0.35">
      <c r="B40" s="4" t="s">
        <v>2</v>
      </c>
      <c r="C40" s="4" t="s">
        <v>965</v>
      </c>
      <c r="E40" s="4" t="s">
        <v>110</v>
      </c>
      <c r="F40" s="4" t="s">
        <v>75</v>
      </c>
    </row>
    <row r="41" spans="2:6" x14ac:dyDescent="0.35">
      <c r="B41" s="4" t="s">
        <v>43</v>
      </c>
      <c r="C41" s="4" t="s">
        <v>964</v>
      </c>
      <c r="E41" s="4" t="s">
        <v>111</v>
      </c>
      <c r="F41" s="4" t="s">
        <v>75</v>
      </c>
    </row>
    <row r="42" spans="2:6" x14ac:dyDescent="0.35">
      <c r="B42" s="4" t="s">
        <v>44</v>
      </c>
      <c r="C42" s="4" t="s">
        <v>964</v>
      </c>
      <c r="E42" s="4" t="s">
        <v>112</v>
      </c>
      <c r="F42" s="4" t="s">
        <v>75</v>
      </c>
    </row>
    <row r="43" spans="2:6" x14ac:dyDescent="0.35">
      <c r="B43" s="4" t="s">
        <v>46</v>
      </c>
      <c r="C43" s="4" t="s">
        <v>965</v>
      </c>
      <c r="E43" s="4" t="s">
        <v>113</v>
      </c>
      <c r="F43" s="4" t="s">
        <v>75</v>
      </c>
    </row>
    <row r="44" spans="2:6" x14ac:dyDescent="0.35">
      <c r="B44" s="4" t="s">
        <v>47</v>
      </c>
      <c r="C44" s="4" t="s">
        <v>964</v>
      </c>
      <c r="E44" s="4" t="s">
        <v>114</v>
      </c>
      <c r="F44" s="4" t="s">
        <v>75</v>
      </c>
    </row>
    <row r="45" spans="2:6" x14ac:dyDescent="0.35">
      <c r="B45" s="4" t="s">
        <v>48</v>
      </c>
      <c r="C45" s="4" t="s">
        <v>964</v>
      </c>
      <c r="E45" s="4" t="s">
        <v>115</v>
      </c>
      <c r="F45" s="4" t="s">
        <v>75</v>
      </c>
    </row>
    <row r="46" spans="2:6" x14ac:dyDescent="0.35">
      <c r="B46" s="4" t="s">
        <v>49</v>
      </c>
      <c r="C46" s="4" t="s">
        <v>964</v>
      </c>
      <c r="E46" s="4" t="s">
        <v>116</v>
      </c>
      <c r="F46" s="4" t="s">
        <v>75</v>
      </c>
    </row>
    <row r="47" spans="2:6" x14ac:dyDescent="0.35">
      <c r="B47" s="4" t="s">
        <v>50</v>
      </c>
      <c r="C47" s="4" t="s">
        <v>964</v>
      </c>
      <c r="E47" s="4" t="s">
        <v>117</v>
      </c>
      <c r="F47" s="4" t="s">
        <v>75</v>
      </c>
    </row>
    <row r="48" spans="2:6" x14ac:dyDescent="0.35">
      <c r="B48" s="4" t="s">
        <v>51</v>
      </c>
      <c r="C48" s="4" t="s">
        <v>964</v>
      </c>
      <c r="E48" s="4" t="s">
        <v>118</v>
      </c>
      <c r="F48" s="4" t="s">
        <v>75</v>
      </c>
    </row>
    <row r="49" spans="2:6" x14ac:dyDescent="0.35">
      <c r="B49" s="4" t="s">
        <v>52</v>
      </c>
      <c r="C49" s="4" t="s">
        <v>965</v>
      </c>
      <c r="E49" s="4" t="s">
        <v>119</v>
      </c>
      <c r="F49" s="4" t="s">
        <v>75</v>
      </c>
    </row>
    <row r="50" spans="2:6" x14ac:dyDescent="0.35">
      <c r="B50" s="4" t="s">
        <v>53</v>
      </c>
      <c r="C50" s="4" t="s">
        <v>964</v>
      </c>
      <c r="E50" s="4" t="s">
        <v>120</v>
      </c>
      <c r="F50" s="4" t="s">
        <v>79</v>
      </c>
    </row>
    <row r="51" spans="2:6" x14ac:dyDescent="0.35">
      <c r="B51" s="4" t="s">
        <v>54</v>
      </c>
      <c r="C51" s="4" t="s">
        <v>964</v>
      </c>
      <c r="E51" s="4" t="s">
        <v>121</v>
      </c>
      <c r="F51" s="4" t="s">
        <v>79</v>
      </c>
    </row>
    <row r="52" spans="2:6" x14ac:dyDescent="0.35">
      <c r="B52" s="4" t="s">
        <v>55</v>
      </c>
      <c r="C52" s="4" t="s">
        <v>964</v>
      </c>
      <c r="E52" s="4" t="s">
        <v>122</v>
      </c>
      <c r="F52" s="4" t="s">
        <v>79</v>
      </c>
    </row>
    <row r="53" spans="2:6" x14ac:dyDescent="0.35">
      <c r="B53" s="4" t="s">
        <v>56</v>
      </c>
      <c r="C53" s="4" t="s">
        <v>964</v>
      </c>
      <c r="E53" s="4" t="s">
        <v>123</v>
      </c>
      <c r="F53" s="4" t="s">
        <v>79</v>
      </c>
    </row>
    <row r="54" spans="2:6" x14ac:dyDescent="0.35">
      <c r="B54" s="4" t="s">
        <v>4</v>
      </c>
      <c r="C54" s="4" t="s">
        <v>964</v>
      </c>
      <c r="E54" s="4" t="s">
        <v>124</v>
      </c>
      <c r="F54" s="4" t="s">
        <v>75</v>
      </c>
    </row>
    <row r="55" spans="2:6" x14ac:dyDescent="0.35">
      <c r="B55" s="4" t="s">
        <v>57</v>
      </c>
      <c r="C55" s="4" t="s">
        <v>964</v>
      </c>
      <c r="E55" s="4" t="s">
        <v>125</v>
      </c>
      <c r="F55" s="4" t="s">
        <v>75</v>
      </c>
    </row>
    <row r="56" spans="2:6" x14ac:dyDescent="0.35">
      <c r="B56" s="4" t="s">
        <v>58</v>
      </c>
      <c r="C56" s="4" t="s">
        <v>964</v>
      </c>
      <c r="E56" s="4" t="s">
        <v>126</v>
      </c>
      <c r="F56" s="4" t="s">
        <v>75</v>
      </c>
    </row>
    <row r="57" spans="2:6" x14ac:dyDescent="0.35">
      <c r="B57" s="4" t="s">
        <v>59</v>
      </c>
      <c r="C57" s="4" t="s">
        <v>964</v>
      </c>
      <c r="E57" s="4" t="s">
        <v>127</v>
      </c>
      <c r="F57" s="4" t="s">
        <v>75</v>
      </c>
    </row>
    <row r="58" spans="2:6" x14ac:dyDescent="0.35">
      <c r="B58" s="4" t="s">
        <v>60</v>
      </c>
      <c r="C58" s="4" t="s">
        <v>964</v>
      </c>
      <c r="E58" s="4" t="s">
        <v>128</v>
      </c>
      <c r="F58" s="4" t="s">
        <v>75</v>
      </c>
    </row>
    <row r="59" spans="2:6" x14ac:dyDescent="0.35">
      <c r="B59" s="4" t="s">
        <v>61</v>
      </c>
      <c r="C59" s="4" t="s">
        <v>964</v>
      </c>
      <c r="E59" s="4" t="s">
        <v>129</v>
      </c>
      <c r="F59" s="4" t="s">
        <v>75</v>
      </c>
    </row>
    <row r="60" spans="2:6" x14ac:dyDescent="0.35">
      <c r="B60" s="4" t="s">
        <v>62</v>
      </c>
      <c r="C60" s="4" t="s">
        <v>964</v>
      </c>
      <c r="E60" s="4" t="s">
        <v>130</v>
      </c>
      <c r="F60" s="4" t="s">
        <v>79</v>
      </c>
    </row>
    <row r="61" spans="2:6" x14ac:dyDescent="0.35">
      <c r="B61" s="4" t="s">
        <v>63</v>
      </c>
      <c r="C61" s="4" t="s">
        <v>964</v>
      </c>
      <c r="E61" s="4" t="s">
        <v>131</v>
      </c>
      <c r="F61" s="4" t="s">
        <v>79</v>
      </c>
    </row>
    <row r="62" spans="2:6" x14ac:dyDescent="0.35">
      <c r="B62" s="4" t="s">
        <v>64</v>
      </c>
      <c r="C62" s="4" t="s">
        <v>964</v>
      </c>
      <c r="E62" s="4" t="s">
        <v>132</v>
      </c>
      <c r="F62" s="4" t="s">
        <v>75</v>
      </c>
    </row>
    <row r="63" spans="2:6" x14ac:dyDescent="0.35">
      <c r="B63" s="4" t="s">
        <v>67</v>
      </c>
      <c r="C63" s="4" t="s">
        <v>964</v>
      </c>
      <c r="E63" s="4" t="s">
        <v>133</v>
      </c>
      <c r="F63" s="4" t="s">
        <v>75</v>
      </c>
    </row>
    <row r="64" spans="2:6" x14ac:dyDescent="0.35">
      <c r="B64" s="4" t="s">
        <v>65</v>
      </c>
      <c r="C64" s="4" t="s">
        <v>964</v>
      </c>
      <c r="E64" s="4" t="s">
        <v>134</v>
      </c>
      <c r="F64" s="4" t="s">
        <v>75</v>
      </c>
    </row>
    <row r="65" spans="2:7" x14ac:dyDescent="0.35">
      <c r="B65" s="4" t="s">
        <v>66</v>
      </c>
      <c r="C65" s="4" t="s">
        <v>964</v>
      </c>
      <c r="E65" s="4" t="s">
        <v>135</v>
      </c>
      <c r="F65" s="4" t="s">
        <v>79</v>
      </c>
    </row>
    <row r="66" spans="2:7" x14ac:dyDescent="0.35">
      <c r="B66" s="4" t="s">
        <v>68</v>
      </c>
      <c r="C66" s="4" t="s">
        <v>964</v>
      </c>
      <c r="E66" s="4" t="s">
        <v>136</v>
      </c>
      <c r="F66" s="4" t="s">
        <v>79</v>
      </c>
    </row>
    <row r="67" spans="2:7" x14ac:dyDescent="0.35">
      <c r="B67" s="4" t="s">
        <v>5</v>
      </c>
      <c r="C67" s="4" t="s">
        <v>965</v>
      </c>
      <c r="E67" s="4" t="s">
        <v>137</v>
      </c>
      <c r="F67" s="4" t="s">
        <v>79</v>
      </c>
    </row>
    <row r="68" spans="2:7" x14ac:dyDescent="0.35">
      <c r="B68" s="4" t="s">
        <v>69</v>
      </c>
      <c r="C68" s="4" t="s">
        <v>964</v>
      </c>
      <c r="E68" s="4" t="s">
        <v>138</v>
      </c>
      <c r="F68" s="4" t="s">
        <v>75</v>
      </c>
    </row>
    <row r="69" spans="2:7" x14ac:dyDescent="0.35">
      <c r="B69" s="4" t="s">
        <v>70</v>
      </c>
      <c r="C69" s="4" t="s">
        <v>964</v>
      </c>
      <c r="E69" s="4" t="s">
        <v>139</v>
      </c>
      <c r="F69" s="4" t="s">
        <v>75</v>
      </c>
    </row>
    <row r="70" spans="2:7" x14ac:dyDescent="0.35">
      <c r="B70" s="4" t="s">
        <v>71</v>
      </c>
      <c r="C70" s="4" t="s">
        <v>964</v>
      </c>
      <c r="E70" s="4" t="s">
        <v>140</v>
      </c>
      <c r="F70" s="4" t="s">
        <v>75</v>
      </c>
    </row>
    <row r="71" spans="2:7" x14ac:dyDescent="0.35">
      <c r="B71" s="4" t="s">
        <v>72</v>
      </c>
      <c r="C71" s="4" t="s">
        <v>965</v>
      </c>
      <c r="E71" s="4" t="s">
        <v>141</v>
      </c>
      <c r="F71" s="4" t="s">
        <v>79</v>
      </c>
    </row>
    <row r="72" spans="2:7" x14ac:dyDescent="0.35">
      <c r="B72" s="4" t="s">
        <v>73</v>
      </c>
      <c r="C72" s="4" t="s">
        <v>964</v>
      </c>
      <c r="E72" s="4" t="s">
        <v>142</v>
      </c>
      <c r="F72" s="4" t="s">
        <v>79</v>
      </c>
    </row>
    <row r="73" spans="2:7" x14ac:dyDescent="0.35">
      <c r="E73" s="4" t="s">
        <v>143</v>
      </c>
      <c r="F73" s="4" t="s">
        <v>75</v>
      </c>
    </row>
    <row r="74" spans="2:7" x14ac:dyDescent="0.35">
      <c r="E74" s="4" t="s">
        <v>144</v>
      </c>
      <c r="F74" s="4" t="s">
        <v>79</v>
      </c>
    </row>
    <row r="75" spans="2:7" x14ac:dyDescent="0.35">
      <c r="E75" s="4" t="s">
        <v>145</v>
      </c>
      <c r="F75" s="4" t="s">
        <v>79</v>
      </c>
      <c r="G75" s="21"/>
    </row>
    <row r="76" spans="2:7" x14ac:dyDescent="0.35">
      <c r="E76" s="4" t="s">
        <v>146</v>
      </c>
      <c r="F76" s="4" t="s">
        <v>75</v>
      </c>
      <c r="G76" s="21"/>
    </row>
    <row r="77" spans="2:7" x14ac:dyDescent="0.35">
      <c r="E77" s="4" t="s">
        <v>147</v>
      </c>
      <c r="F77" s="4" t="s">
        <v>75</v>
      </c>
      <c r="G77" s="21"/>
    </row>
    <row r="78" spans="2:7" x14ac:dyDescent="0.35">
      <c r="E78" s="4" t="s">
        <v>148</v>
      </c>
      <c r="F78" s="4" t="s">
        <v>75</v>
      </c>
    </row>
    <row r="79" spans="2:7" x14ac:dyDescent="0.35">
      <c r="E79" s="4" t="s">
        <v>149</v>
      </c>
      <c r="F79" s="4" t="s">
        <v>79</v>
      </c>
    </row>
    <row r="80" spans="2:7" x14ac:dyDescent="0.35">
      <c r="E80" s="4" t="s">
        <v>150</v>
      </c>
      <c r="F80" s="4" t="s">
        <v>75</v>
      </c>
    </row>
    <row r="81" spans="5:6" x14ac:dyDescent="0.35">
      <c r="E81" s="4" t="s">
        <v>151</v>
      </c>
      <c r="F81" s="4" t="s">
        <v>79</v>
      </c>
    </row>
    <row r="82" spans="5:6" x14ac:dyDescent="0.35">
      <c r="E82" s="4" t="s">
        <v>154</v>
      </c>
      <c r="F82" s="4" t="s">
        <v>79</v>
      </c>
    </row>
    <row r="83" spans="5:6" x14ac:dyDescent="0.35">
      <c r="E83" s="4" t="s">
        <v>155</v>
      </c>
      <c r="F83" s="4" t="s">
        <v>79</v>
      </c>
    </row>
    <row r="84" spans="5:6" x14ac:dyDescent="0.35">
      <c r="E84" s="4" t="s">
        <v>156</v>
      </c>
      <c r="F84" s="4" t="s">
        <v>79</v>
      </c>
    </row>
    <row r="85" spans="5:6" x14ac:dyDescent="0.35">
      <c r="E85" s="4" t="s">
        <v>157</v>
      </c>
      <c r="F85" s="4" t="s">
        <v>79</v>
      </c>
    </row>
    <row r="86" spans="5:6" x14ac:dyDescent="0.35">
      <c r="E86" s="4" t="s">
        <v>158</v>
      </c>
      <c r="F86" s="4" t="s">
        <v>79</v>
      </c>
    </row>
    <row r="87" spans="5:6" x14ac:dyDescent="0.35">
      <c r="E87" s="4" t="s">
        <v>159</v>
      </c>
      <c r="F87" s="4" t="s">
        <v>75</v>
      </c>
    </row>
  </sheetData>
  <autoFilter ref="B3:C3" xr:uid="{FF997988-73C2-40C9-9837-A8812ACF75F5}">
    <sortState xmlns:xlrd2="http://schemas.microsoft.com/office/spreadsheetml/2017/richdata2" ref="B4:C72">
      <sortCondition ref="B3"/>
    </sortState>
  </autoFilter>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CEDF-730B-4288-9ECE-D6510A047473}">
  <sheetPr>
    <tabColor rgb="FFFFC000"/>
  </sheetPr>
  <dimension ref="B2:F40"/>
  <sheetViews>
    <sheetView showGridLines="0" zoomScale="70" zoomScaleNormal="70" workbookViewId="0"/>
  </sheetViews>
  <sheetFormatPr defaultRowHeight="14.5" x14ac:dyDescent="0.35"/>
  <cols>
    <col min="1" max="1" width="4.453125" customWidth="1"/>
    <col min="2" max="2" width="29.81640625" style="38" bestFit="1" customWidth="1"/>
    <col min="3" max="3" width="2.453125" style="38" customWidth="1"/>
    <col min="4" max="4" width="22.26953125" customWidth="1"/>
    <col min="5" max="5" width="3" customWidth="1"/>
    <col min="6" max="6" width="22.453125" customWidth="1"/>
  </cols>
  <sheetData>
    <row r="2" spans="2:6" x14ac:dyDescent="0.35">
      <c r="B2" s="39" t="s">
        <v>1407</v>
      </c>
      <c r="C2" s="40"/>
      <c r="D2" s="26" t="s">
        <v>1447</v>
      </c>
      <c r="E2" s="41"/>
      <c r="F2" s="26" t="s">
        <v>1451</v>
      </c>
    </row>
    <row r="3" spans="2:6" x14ac:dyDescent="0.35">
      <c r="B3" s="42" t="s">
        <v>1408</v>
      </c>
      <c r="C3" s="42"/>
      <c r="D3" s="4" t="s">
        <v>1448</v>
      </c>
      <c r="E3" s="4"/>
      <c r="F3" s="4" t="s">
        <v>1452</v>
      </c>
    </row>
    <row r="4" spans="2:6" x14ac:dyDescent="0.35">
      <c r="B4" s="42" t="s">
        <v>1409</v>
      </c>
      <c r="C4" s="42"/>
      <c r="D4" s="4" t="s">
        <v>1449</v>
      </c>
      <c r="E4" s="4"/>
      <c r="F4" s="4" t="s">
        <v>1453</v>
      </c>
    </row>
    <row r="5" spans="2:6" x14ac:dyDescent="0.35">
      <c r="B5" s="42" t="s">
        <v>1410</v>
      </c>
      <c r="C5" s="42"/>
      <c r="D5" s="4" t="s">
        <v>1450</v>
      </c>
      <c r="E5" s="4"/>
      <c r="F5" s="4" t="s">
        <v>1454</v>
      </c>
    </row>
    <row r="6" spans="2:6" x14ac:dyDescent="0.35">
      <c r="B6" s="42" t="s">
        <v>1411</v>
      </c>
      <c r="C6" s="42"/>
      <c r="D6" s="4"/>
      <c r="E6" s="4"/>
      <c r="F6" s="4" t="s">
        <v>1455</v>
      </c>
    </row>
    <row r="7" spans="2:6" x14ac:dyDescent="0.35">
      <c r="B7" s="42" t="s">
        <v>1412</v>
      </c>
      <c r="C7" s="42"/>
      <c r="D7" s="4"/>
      <c r="E7" s="4"/>
      <c r="F7" s="4" t="s">
        <v>1456</v>
      </c>
    </row>
    <row r="8" spans="2:6" x14ac:dyDescent="0.35">
      <c r="B8" s="42" t="s">
        <v>1413</v>
      </c>
      <c r="C8" s="42"/>
      <c r="D8" s="4"/>
      <c r="E8" s="4"/>
      <c r="F8" s="4" t="s">
        <v>1457</v>
      </c>
    </row>
    <row r="9" spans="2:6" x14ac:dyDescent="0.35">
      <c r="B9" s="42" t="s">
        <v>1414</v>
      </c>
      <c r="C9" s="42"/>
      <c r="D9" s="4"/>
      <c r="E9" s="4"/>
      <c r="F9" s="4" t="s">
        <v>1463</v>
      </c>
    </row>
    <row r="10" spans="2:6" x14ac:dyDescent="0.35">
      <c r="B10" s="42" t="s">
        <v>1415</v>
      </c>
      <c r="C10" s="42"/>
      <c r="D10" s="4"/>
      <c r="E10" s="4"/>
      <c r="F10" s="4" t="s">
        <v>1458</v>
      </c>
    </row>
    <row r="11" spans="2:6" x14ac:dyDescent="0.35">
      <c r="B11" s="42" t="s">
        <v>1416</v>
      </c>
      <c r="C11" s="42"/>
      <c r="D11" s="4"/>
      <c r="E11" s="4"/>
      <c r="F11" s="4" t="s">
        <v>1459</v>
      </c>
    </row>
    <row r="12" spans="2:6" x14ac:dyDescent="0.35">
      <c r="B12" s="42" t="s">
        <v>1417</v>
      </c>
      <c r="C12" s="42"/>
      <c r="D12" s="4"/>
      <c r="E12" s="4"/>
      <c r="F12" s="4" t="s">
        <v>1460</v>
      </c>
    </row>
    <row r="13" spans="2:6" x14ac:dyDescent="0.35">
      <c r="B13" s="42" t="s">
        <v>1418</v>
      </c>
      <c r="C13" s="42"/>
      <c r="D13" s="4"/>
      <c r="E13" s="4"/>
      <c r="F13" s="4" t="s">
        <v>1461</v>
      </c>
    </row>
    <row r="14" spans="2:6" x14ac:dyDescent="0.35">
      <c r="B14" s="42" t="s">
        <v>1419</v>
      </c>
      <c r="C14" s="42"/>
      <c r="D14" s="4"/>
      <c r="E14" s="4"/>
      <c r="F14" s="4" t="s">
        <v>1462</v>
      </c>
    </row>
    <row r="15" spans="2:6" x14ac:dyDescent="0.35">
      <c r="B15" s="42" t="s">
        <v>1420</v>
      </c>
      <c r="C15" s="42"/>
      <c r="D15" s="4"/>
      <c r="E15" s="4"/>
      <c r="F15" s="4" t="s">
        <v>638</v>
      </c>
    </row>
    <row r="16" spans="2:6" x14ac:dyDescent="0.35">
      <c r="B16" s="42" t="s">
        <v>1421</v>
      </c>
      <c r="C16" s="42"/>
      <c r="D16" s="4"/>
      <c r="E16" s="4"/>
      <c r="F16" s="4"/>
    </row>
    <row r="17" spans="2:6" x14ac:dyDescent="0.35">
      <c r="B17" s="42" t="s">
        <v>1422</v>
      </c>
      <c r="C17" s="42"/>
      <c r="D17" s="4"/>
      <c r="E17" s="4"/>
      <c r="F17" s="4"/>
    </row>
    <row r="18" spans="2:6" x14ac:dyDescent="0.35">
      <c r="B18" s="42" t="s">
        <v>1423</v>
      </c>
      <c r="C18" s="42"/>
      <c r="D18" s="4"/>
      <c r="E18" s="4"/>
      <c r="F18" s="4"/>
    </row>
    <row r="19" spans="2:6" x14ac:dyDescent="0.35">
      <c r="B19" s="42" t="s">
        <v>1424</v>
      </c>
      <c r="C19" s="42"/>
      <c r="D19" s="4"/>
      <c r="E19" s="4"/>
      <c r="F19" s="4"/>
    </row>
    <row r="20" spans="2:6" x14ac:dyDescent="0.35">
      <c r="B20" s="42" t="s">
        <v>1425</v>
      </c>
      <c r="C20" s="42"/>
      <c r="D20" s="4"/>
      <c r="E20" s="4"/>
      <c r="F20" s="4"/>
    </row>
    <row r="21" spans="2:6" x14ac:dyDescent="0.35">
      <c r="B21" s="42" t="s">
        <v>1426</v>
      </c>
      <c r="C21" s="42"/>
      <c r="D21" s="4"/>
      <c r="E21" s="4"/>
      <c r="F21" s="4"/>
    </row>
    <row r="22" spans="2:6" x14ac:dyDescent="0.35">
      <c r="B22" s="42" t="s">
        <v>1427</v>
      </c>
      <c r="C22" s="42"/>
      <c r="D22" s="4"/>
      <c r="E22" s="4"/>
      <c r="F22" s="4"/>
    </row>
    <row r="23" spans="2:6" x14ac:dyDescent="0.35">
      <c r="B23" s="42" t="s">
        <v>1428</v>
      </c>
      <c r="C23" s="42"/>
      <c r="D23" s="4"/>
      <c r="E23" s="4"/>
      <c r="F23" s="4"/>
    </row>
    <row r="24" spans="2:6" x14ac:dyDescent="0.35">
      <c r="B24" s="42" t="s">
        <v>1429</v>
      </c>
      <c r="C24" s="42"/>
      <c r="D24" s="4"/>
      <c r="E24" s="4"/>
      <c r="F24" s="4"/>
    </row>
    <row r="25" spans="2:6" x14ac:dyDescent="0.35">
      <c r="B25" s="42" t="s">
        <v>1430</v>
      </c>
      <c r="C25" s="42"/>
      <c r="D25" s="4"/>
      <c r="E25" s="4"/>
      <c r="F25" s="4"/>
    </row>
    <row r="26" spans="2:6" ht="15" customHeight="1" x14ac:dyDescent="0.35">
      <c r="B26" s="42" t="s">
        <v>1431</v>
      </c>
      <c r="C26" s="42"/>
      <c r="D26" s="4"/>
      <c r="E26" s="4"/>
      <c r="F26" s="4"/>
    </row>
    <row r="27" spans="2:6" x14ac:dyDescent="0.35">
      <c r="B27" s="42" t="s">
        <v>1432</v>
      </c>
      <c r="C27" s="42"/>
      <c r="D27" s="4"/>
      <c r="E27" s="4"/>
      <c r="F27" s="4"/>
    </row>
    <row r="28" spans="2:6" x14ac:dyDescent="0.35">
      <c r="B28" s="42" t="s">
        <v>1433</v>
      </c>
      <c r="C28" s="42"/>
      <c r="D28" s="4"/>
      <c r="E28" s="4"/>
      <c r="F28" s="4"/>
    </row>
    <row r="29" spans="2:6" x14ac:dyDescent="0.35">
      <c r="B29" s="42" t="s">
        <v>1434</v>
      </c>
      <c r="C29" s="42"/>
      <c r="D29" s="4"/>
      <c r="E29" s="4"/>
      <c r="F29" s="4"/>
    </row>
    <row r="30" spans="2:6" x14ac:dyDescent="0.35">
      <c r="B30" s="42" t="s">
        <v>1435</v>
      </c>
      <c r="C30" s="42"/>
      <c r="D30" s="4"/>
      <c r="E30" s="4"/>
      <c r="F30" s="4"/>
    </row>
    <row r="31" spans="2:6" x14ac:dyDescent="0.35">
      <c r="B31" s="42" t="s">
        <v>1436</v>
      </c>
      <c r="C31" s="42"/>
      <c r="D31" s="4"/>
      <c r="E31" s="4"/>
      <c r="F31" s="4"/>
    </row>
    <row r="32" spans="2:6" x14ac:dyDescent="0.35">
      <c r="B32" s="42" t="s">
        <v>1445</v>
      </c>
      <c r="C32" s="42"/>
      <c r="D32" s="4"/>
      <c r="E32" s="4"/>
      <c r="F32" s="4"/>
    </row>
    <row r="33" spans="2:6" x14ac:dyDescent="0.35">
      <c r="B33" s="42" t="s">
        <v>1437</v>
      </c>
      <c r="C33" s="42"/>
      <c r="D33" s="4"/>
      <c r="E33" s="4"/>
      <c r="F33" s="4"/>
    </row>
    <row r="34" spans="2:6" x14ac:dyDescent="0.35">
      <c r="B34" s="42" t="s">
        <v>1438</v>
      </c>
      <c r="C34" s="42"/>
      <c r="D34" s="4"/>
      <c r="E34" s="4"/>
      <c r="F34" s="4"/>
    </row>
    <row r="35" spans="2:6" x14ac:dyDescent="0.35">
      <c r="B35" s="42" t="s">
        <v>1439</v>
      </c>
      <c r="C35" s="42"/>
      <c r="D35" s="4"/>
      <c r="E35" s="4"/>
      <c r="F35" s="4"/>
    </row>
    <row r="36" spans="2:6" x14ac:dyDescent="0.35">
      <c r="B36" s="42" t="s">
        <v>1440</v>
      </c>
      <c r="C36" s="42"/>
      <c r="D36" s="4"/>
      <c r="E36" s="4"/>
      <c r="F36" s="4"/>
    </row>
    <row r="37" spans="2:6" x14ac:dyDescent="0.35">
      <c r="B37" s="42" t="s">
        <v>1441</v>
      </c>
      <c r="C37" s="42"/>
      <c r="D37" s="4"/>
      <c r="E37" s="4"/>
      <c r="F37" s="4"/>
    </row>
    <row r="38" spans="2:6" x14ac:dyDescent="0.35">
      <c r="B38" s="42" t="s">
        <v>1442</v>
      </c>
      <c r="C38" s="42"/>
      <c r="D38" s="4"/>
      <c r="E38" s="4"/>
      <c r="F38" s="4"/>
    </row>
    <row r="39" spans="2:6" x14ac:dyDescent="0.35">
      <c r="B39" s="42" t="s">
        <v>1446</v>
      </c>
      <c r="C39" s="42"/>
      <c r="D39" s="4"/>
      <c r="E39" s="4"/>
      <c r="F39" s="4"/>
    </row>
    <row r="40" spans="2:6" x14ac:dyDescent="0.35">
      <c r="B40" s="42" t="s">
        <v>1444</v>
      </c>
      <c r="C40" s="42"/>
      <c r="D40" s="4"/>
      <c r="E40" s="4"/>
      <c r="F4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0CD3-772F-4975-9E2E-B52D4DFA4910}">
  <sheetPr>
    <tabColor theme="5" tint="0.79998168889431442"/>
  </sheetPr>
  <dimension ref="B2:F1128"/>
  <sheetViews>
    <sheetView zoomScale="70" zoomScaleNormal="70" workbookViewId="0">
      <selection activeCell="E4" sqref="E4"/>
    </sheetView>
  </sheetViews>
  <sheetFormatPr defaultRowHeight="14.5" outlineLevelCol="1" x14ac:dyDescent="0.35"/>
  <cols>
    <col min="1" max="1" width="4.36328125" customWidth="1"/>
    <col min="2" max="2" width="34.36328125" customWidth="1" outlineLevel="1"/>
    <col min="3" max="3" width="15.90625" customWidth="1" outlineLevel="1"/>
    <col min="4" max="4" width="4.1796875" customWidth="1"/>
    <col min="5" max="5" width="30.36328125" customWidth="1"/>
    <col min="6" max="6" width="16.453125" customWidth="1"/>
  </cols>
  <sheetData>
    <row r="2" spans="2:6" ht="27.5" customHeight="1" x14ac:dyDescent="0.45">
      <c r="B2" s="45" t="s">
        <v>2297</v>
      </c>
      <c r="C2" s="46"/>
      <c r="D2" s="46"/>
      <c r="E2" s="46"/>
      <c r="F2" s="46"/>
    </row>
    <row r="3" spans="2:6" ht="16" x14ac:dyDescent="0.4">
      <c r="B3" s="44" t="s">
        <v>1494</v>
      </c>
      <c r="C3" s="44" t="s">
        <v>1495</v>
      </c>
      <c r="E3" s="44" t="s">
        <v>1494</v>
      </c>
      <c r="F3" s="44" t="s">
        <v>1495</v>
      </c>
    </row>
    <row r="4" spans="2:6" x14ac:dyDescent="0.35">
      <c r="B4" t="str" cm="1">
        <f t="array" ref="B4:B1128">_xlfn.LET(_xlpm.allText,_xlfn.TEXTJOIN(";",TRUE,Cleaned_Data!$M$3:$M$273),_xlfn.TOCOL(TRIM(_xlfn.TEXTSPLIT(_xlpm.allText,";")),1))</f>
        <v>Safar Partners</v>
      </c>
      <c r="C4" cm="1">
        <f t="array" ref="C4:C1128">_xlfn.MAP(_xlfn.ANCHORARRAY(B4),_xlfn.LAMBDA(_xlpm.inv, COUNTIF(_xlfn.ANCHORARRAY($B$4), _xlpm.inv)))</f>
        <v>7</v>
      </c>
      <c r="E4" t="s">
        <v>774</v>
      </c>
      <c r="F4">
        <v>10</v>
      </c>
    </row>
    <row r="5" spans="2:6" x14ac:dyDescent="0.35">
      <c r="B5" t="str">
        <v>COCONUT GROVE</v>
      </c>
      <c r="C5">
        <v>1</v>
      </c>
      <c r="E5" t="s">
        <v>774</v>
      </c>
      <c r="F5">
        <v>10</v>
      </c>
    </row>
    <row r="6" spans="2:6" x14ac:dyDescent="0.35">
      <c r="B6" t="str">
        <v>First Financial Bankshares</v>
      </c>
      <c r="C6">
        <v>1</v>
      </c>
      <c r="E6" t="s">
        <v>774</v>
      </c>
      <c r="F6">
        <v>10</v>
      </c>
    </row>
    <row r="7" spans="2:6" x14ac:dyDescent="0.35">
      <c r="B7" t="str">
        <v>M10Lean capital</v>
      </c>
      <c r="C7">
        <v>1</v>
      </c>
      <c r="E7" t="s">
        <v>774</v>
      </c>
      <c r="F7">
        <v>10</v>
      </c>
    </row>
    <row r="8" spans="2:6" x14ac:dyDescent="0.35">
      <c r="B8" t="str">
        <v>Mintz</v>
      </c>
      <c r="C8">
        <v>2</v>
      </c>
      <c r="E8" t="s">
        <v>774</v>
      </c>
      <c r="F8">
        <v>10</v>
      </c>
    </row>
    <row r="9" spans="2:6" x14ac:dyDescent="0.35">
      <c r="B9" t="str">
        <v>Alex Chung</v>
      </c>
      <c r="C9">
        <v>1</v>
      </c>
      <c r="E9" t="s">
        <v>774</v>
      </c>
      <c r="F9">
        <v>10</v>
      </c>
    </row>
    <row r="10" spans="2:6" x14ac:dyDescent="0.35">
      <c r="B10" t="str">
        <v>Draper Associates</v>
      </c>
      <c r="C10">
        <v>3</v>
      </c>
      <c r="E10" t="s">
        <v>774</v>
      </c>
      <c r="F10">
        <v>10</v>
      </c>
    </row>
    <row r="11" spans="2:6" x14ac:dyDescent="0.35">
      <c r="B11" t="str">
        <v>Kabir Misra</v>
      </c>
      <c r="C11">
        <v>1</v>
      </c>
      <c r="E11" t="s">
        <v>774</v>
      </c>
      <c r="F11">
        <v>10</v>
      </c>
    </row>
    <row r="12" spans="2:6" x14ac:dyDescent="0.35">
      <c r="B12" t="str">
        <v>RPS Ventures</v>
      </c>
      <c r="C12">
        <v>1</v>
      </c>
      <c r="E12" t="s">
        <v>774</v>
      </c>
      <c r="F12">
        <v>10</v>
      </c>
    </row>
    <row r="13" spans="2:6" x14ac:dyDescent="0.35">
      <c r="B13" t="str">
        <v>SOSV</v>
      </c>
      <c r="C13">
        <v>8</v>
      </c>
      <c r="E13" t="s">
        <v>774</v>
      </c>
      <c r="F13">
        <v>10</v>
      </c>
    </row>
    <row r="14" spans="2:6" x14ac:dyDescent="0.35">
      <c r="B14" t="str">
        <v>Alberta Investment Management</v>
      </c>
      <c r="C14">
        <v>1</v>
      </c>
      <c r="E14" t="s">
        <v>1522</v>
      </c>
      <c r="F14">
        <v>9</v>
      </c>
    </row>
    <row r="15" spans="2:6" x14ac:dyDescent="0.35">
      <c r="B15" t="str">
        <v>GIC Private</v>
      </c>
      <c r="C15">
        <v>1</v>
      </c>
      <c r="E15" t="s">
        <v>1522</v>
      </c>
      <c r="F15">
        <v>9</v>
      </c>
    </row>
    <row r="16" spans="2:6" x14ac:dyDescent="0.35">
      <c r="B16" t="str">
        <v>Haddington Ventures, Manulife Financial</v>
      </c>
      <c r="C16">
        <v>1</v>
      </c>
      <c r="E16" t="s">
        <v>1522</v>
      </c>
      <c r="F16">
        <v>9</v>
      </c>
    </row>
    <row r="17" spans="2:6" x14ac:dyDescent="0.35">
      <c r="B17" t="str">
        <v>Onterio Teachers Pension Plan</v>
      </c>
      <c r="C17">
        <v>1</v>
      </c>
      <c r="E17" t="s">
        <v>1522</v>
      </c>
      <c r="F17">
        <v>9</v>
      </c>
    </row>
    <row r="18" spans="2:6" x14ac:dyDescent="0.35">
      <c r="B18" t="str">
        <v>At One Ventures</v>
      </c>
      <c r="C18">
        <v>3</v>
      </c>
      <c r="E18" t="s">
        <v>1522</v>
      </c>
      <c r="F18">
        <v>9</v>
      </c>
    </row>
    <row r="19" spans="2:6" x14ac:dyDescent="0.35">
      <c r="B19" t="str">
        <v>Engine Ventures</v>
      </c>
      <c r="C19">
        <v>4</v>
      </c>
      <c r="E19" t="s">
        <v>1522</v>
      </c>
      <c r="F19">
        <v>9</v>
      </c>
    </row>
    <row r="20" spans="2:6" x14ac:dyDescent="0.35">
      <c r="B20" t="str">
        <v>Pillar VC</v>
      </c>
      <c r="C20">
        <v>1</v>
      </c>
      <c r="E20" t="s">
        <v>1522</v>
      </c>
      <c r="F20">
        <v>9</v>
      </c>
    </row>
    <row r="21" spans="2:6" x14ac:dyDescent="0.35">
      <c r="B21" t="str">
        <v>BlueWater Angels</v>
      </c>
      <c r="C21">
        <v>2</v>
      </c>
      <c r="E21" t="s">
        <v>1522</v>
      </c>
      <c r="F21">
        <v>9</v>
      </c>
    </row>
    <row r="22" spans="2:6" x14ac:dyDescent="0.35">
      <c r="B22" t="str">
        <v>BlueWater Angels</v>
      </c>
      <c r="C22">
        <v>2</v>
      </c>
      <c r="E22" t="s">
        <v>1522</v>
      </c>
      <c r="F22">
        <v>9</v>
      </c>
    </row>
    <row r="23" spans="2:6" x14ac:dyDescent="0.35">
      <c r="B23" t="str">
        <v>RSVP Ventures</v>
      </c>
      <c r="C23">
        <v>1</v>
      </c>
      <c r="E23" t="s">
        <v>489</v>
      </c>
      <c r="F23">
        <v>8</v>
      </c>
    </row>
    <row r="24" spans="2:6" x14ac:dyDescent="0.35">
      <c r="B24" t="str">
        <v>Encap Investments</v>
      </c>
      <c r="C24">
        <v>1</v>
      </c>
      <c r="E24" t="s">
        <v>1673</v>
      </c>
      <c r="F24">
        <v>8</v>
      </c>
    </row>
    <row r="25" spans="2:6" x14ac:dyDescent="0.35">
      <c r="B25" t="str">
        <v>NGP Energy Capital Management</v>
      </c>
      <c r="C25">
        <v>2</v>
      </c>
      <c r="E25" t="s">
        <v>1673</v>
      </c>
      <c r="F25">
        <v>8</v>
      </c>
    </row>
    <row r="26" spans="2:6" x14ac:dyDescent="0.35">
      <c r="B26" t="str">
        <v>Chartered Investment Managers</v>
      </c>
      <c r="C26">
        <v>1</v>
      </c>
      <c r="E26" t="s">
        <v>489</v>
      </c>
      <c r="F26">
        <v>8</v>
      </c>
    </row>
    <row r="27" spans="2:6" x14ac:dyDescent="0.35">
      <c r="B27" t="str">
        <v>Innova Capital Partners</v>
      </c>
      <c r="C27">
        <v>2</v>
      </c>
      <c r="E27" t="s">
        <v>489</v>
      </c>
      <c r="F27">
        <v>8</v>
      </c>
    </row>
    <row r="28" spans="2:6" x14ac:dyDescent="0.35">
      <c r="B28" t="str">
        <v>AP Ventures</v>
      </c>
      <c r="C28">
        <v>3</v>
      </c>
      <c r="E28" t="s">
        <v>1673</v>
      </c>
      <c r="F28">
        <v>8</v>
      </c>
    </row>
    <row r="29" spans="2:6" x14ac:dyDescent="0.35">
      <c r="B29" t="str">
        <v>Aramco Ventures</v>
      </c>
      <c r="C29">
        <v>3</v>
      </c>
      <c r="E29" t="s">
        <v>1673</v>
      </c>
      <c r="F29">
        <v>8</v>
      </c>
    </row>
    <row r="30" spans="2:6" x14ac:dyDescent="0.35">
      <c r="B30" t="str">
        <v>DCVC</v>
      </c>
      <c r="C30">
        <v>2</v>
      </c>
      <c r="E30" t="s">
        <v>489</v>
      </c>
      <c r="F30">
        <v>8</v>
      </c>
    </row>
    <row r="31" spans="2:6" x14ac:dyDescent="0.35">
      <c r="B31" t="str">
        <v>Guernsey Holdings</v>
      </c>
      <c r="C31">
        <v>1</v>
      </c>
      <c r="E31" t="s">
        <v>1673</v>
      </c>
      <c r="F31">
        <v>8</v>
      </c>
    </row>
    <row r="32" spans="2:6" x14ac:dyDescent="0.35">
      <c r="B32" t="str">
        <v>Korea Zinc</v>
      </c>
      <c r="C32">
        <v>1</v>
      </c>
      <c r="E32" t="s">
        <v>1673</v>
      </c>
      <c r="F32">
        <v>8</v>
      </c>
    </row>
    <row r="33" spans="2:6" x14ac:dyDescent="0.35">
      <c r="B33" t="str">
        <v>Mitsui &amp; Company</v>
      </c>
      <c r="C33">
        <v>3</v>
      </c>
      <c r="E33" t="s">
        <v>489</v>
      </c>
      <c r="F33">
        <v>8</v>
      </c>
    </row>
    <row r="34" spans="2:6" x14ac:dyDescent="0.35">
      <c r="B34" t="str">
        <v>MOL PLUS</v>
      </c>
      <c r="C34">
        <v>2</v>
      </c>
      <c r="E34" t="s">
        <v>1673</v>
      </c>
      <c r="F34">
        <v>8</v>
      </c>
    </row>
    <row r="35" spans="2:6" x14ac:dyDescent="0.35">
      <c r="B35" t="str">
        <v>SK Innovation</v>
      </c>
      <c r="C35">
        <v>2</v>
      </c>
      <c r="E35" t="s">
        <v>489</v>
      </c>
      <c r="F35">
        <v>8</v>
      </c>
    </row>
    <row r="36" spans="2:6" x14ac:dyDescent="0.35">
      <c r="B36" t="str">
        <v>Temasek Holdings</v>
      </c>
      <c r="C36">
        <v>9</v>
      </c>
      <c r="E36" t="s">
        <v>489</v>
      </c>
      <c r="F36">
        <v>8</v>
      </c>
    </row>
    <row r="37" spans="2:6" x14ac:dyDescent="0.35">
      <c r="B37" t="str">
        <v>Yanmar Holdings</v>
      </c>
      <c r="C37">
        <v>2</v>
      </c>
      <c r="E37" t="s">
        <v>489</v>
      </c>
      <c r="F37">
        <v>8</v>
      </c>
    </row>
    <row r="38" spans="2:6" x14ac:dyDescent="0.35">
      <c r="B38" t="str">
        <v>Zeon Ventures</v>
      </c>
      <c r="C38">
        <v>1</v>
      </c>
      <c r="E38" t="s">
        <v>1673</v>
      </c>
      <c r="F38">
        <v>8</v>
      </c>
    </row>
    <row r="39" spans="2:6" x14ac:dyDescent="0.35">
      <c r="B39" t="str">
        <v>AFW Partners</v>
      </c>
      <c r="C39">
        <v>2</v>
      </c>
      <c r="E39" t="s">
        <v>469</v>
      </c>
      <c r="F39">
        <v>7</v>
      </c>
    </row>
    <row r="40" spans="2:6" x14ac:dyDescent="0.35">
      <c r="B40" t="str">
        <v>AP Ventures</v>
      </c>
      <c r="C40">
        <v>3</v>
      </c>
      <c r="E40" t="s">
        <v>1589</v>
      </c>
      <c r="F40">
        <v>7</v>
      </c>
    </row>
    <row r="41" spans="2:6" x14ac:dyDescent="0.35">
      <c r="B41" t="str">
        <v>Aramco Ventures</v>
      </c>
      <c r="C41">
        <v>3</v>
      </c>
      <c r="E41" t="s">
        <v>1589</v>
      </c>
      <c r="F41">
        <v>7</v>
      </c>
    </row>
    <row r="42" spans="2:6" x14ac:dyDescent="0.35">
      <c r="B42" t="str">
        <v>BHP Ventures</v>
      </c>
      <c r="C42">
        <v>2</v>
      </c>
      <c r="E42" t="s">
        <v>469</v>
      </c>
      <c r="F42">
        <v>7</v>
      </c>
    </row>
    <row r="43" spans="2:6" x14ac:dyDescent="0.35">
      <c r="B43" t="str">
        <v>KDB Investment</v>
      </c>
      <c r="C43">
        <v>1</v>
      </c>
      <c r="E43" t="s">
        <v>469</v>
      </c>
      <c r="F43">
        <v>7</v>
      </c>
    </row>
    <row r="44" spans="2:6" x14ac:dyDescent="0.35">
      <c r="B44" t="str">
        <v>SV Investment</v>
      </c>
      <c r="C44">
        <v>1</v>
      </c>
      <c r="E44" t="s">
        <v>1589</v>
      </c>
      <c r="F44">
        <v>7</v>
      </c>
    </row>
    <row r="45" spans="2:6" x14ac:dyDescent="0.35">
      <c r="B45" t="str">
        <v>MOL PLUS</v>
      </c>
      <c r="C45">
        <v>2</v>
      </c>
      <c r="E45" t="s">
        <v>1589</v>
      </c>
      <c r="F45">
        <v>7</v>
      </c>
    </row>
    <row r="46" spans="2:6" x14ac:dyDescent="0.35">
      <c r="B46" t="str">
        <v>Yanmar Holdings</v>
      </c>
      <c r="C46">
        <v>2</v>
      </c>
      <c r="E46" t="s">
        <v>469</v>
      </c>
      <c r="F46">
        <v>7</v>
      </c>
    </row>
    <row r="47" spans="2:6" x14ac:dyDescent="0.35">
      <c r="B47" t="str">
        <v>Samsung Heavy Industries</v>
      </c>
      <c r="C47">
        <v>1</v>
      </c>
      <c r="E47" t="s">
        <v>2023</v>
      </c>
      <c r="F47">
        <v>7</v>
      </c>
    </row>
    <row r="48" spans="2:6" x14ac:dyDescent="0.35">
      <c r="B48" t="str">
        <v>BHP Ventures</v>
      </c>
      <c r="C48">
        <v>2</v>
      </c>
      <c r="E48" t="s">
        <v>2023</v>
      </c>
      <c r="F48">
        <v>7</v>
      </c>
    </row>
    <row r="49" spans="2:6" x14ac:dyDescent="0.35">
      <c r="B49" t="str">
        <v>MOL Switch</v>
      </c>
      <c r="C49">
        <v>3</v>
      </c>
      <c r="E49" t="s">
        <v>2023</v>
      </c>
      <c r="F49">
        <v>7</v>
      </c>
    </row>
    <row r="50" spans="2:6" x14ac:dyDescent="0.35">
      <c r="B50" t="str">
        <v>JB Investment (Private Equity)</v>
      </c>
      <c r="C50">
        <v>1</v>
      </c>
      <c r="E50" t="s">
        <v>469</v>
      </c>
      <c r="F50">
        <v>7</v>
      </c>
    </row>
    <row r="51" spans="2:6" x14ac:dyDescent="0.35">
      <c r="B51" t="str">
        <v>GS Engineering &amp; Construction</v>
      </c>
      <c r="C51">
        <v>1</v>
      </c>
      <c r="E51" t="s">
        <v>1589</v>
      </c>
      <c r="F51">
        <v>7</v>
      </c>
    </row>
    <row r="52" spans="2:6" x14ac:dyDescent="0.35">
      <c r="B52" t="str">
        <v>Xplor Investment</v>
      </c>
      <c r="C52">
        <v>1</v>
      </c>
      <c r="E52" t="s">
        <v>2023</v>
      </c>
      <c r="F52">
        <v>7</v>
      </c>
    </row>
    <row r="53" spans="2:6" x14ac:dyDescent="0.35">
      <c r="B53" t="str">
        <v>GS Futures</v>
      </c>
      <c r="C53">
        <v>2</v>
      </c>
      <c r="E53" t="s">
        <v>469</v>
      </c>
      <c r="F53">
        <v>7</v>
      </c>
    </row>
    <row r="54" spans="2:6" x14ac:dyDescent="0.35">
      <c r="B54" t="str">
        <v>Marunouchi Innovation Partners</v>
      </c>
      <c r="C54">
        <v>1</v>
      </c>
      <c r="E54" t="s">
        <v>2023</v>
      </c>
      <c r="F54">
        <v>7</v>
      </c>
    </row>
    <row r="55" spans="2:6" x14ac:dyDescent="0.35">
      <c r="B55" t="str">
        <v>Pathway Capital Management</v>
      </c>
      <c r="C55">
        <v>1</v>
      </c>
      <c r="E55" t="s">
        <v>2023</v>
      </c>
      <c r="F55">
        <v>7</v>
      </c>
    </row>
    <row r="56" spans="2:6" x14ac:dyDescent="0.35">
      <c r="B56" t="str">
        <v>Seoul Investment Partners</v>
      </c>
      <c r="C56">
        <v>1</v>
      </c>
      <c r="E56" t="s">
        <v>2023</v>
      </c>
      <c r="F56">
        <v>7</v>
      </c>
    </row>
    <row r="57" spans="2:6" x14ac:dyDescent="0.35">
      <c r="B57" t="str">
        <v>AFW Partners</v>
      </c>
      <c r="C57">
        <v>2</v>
      </c>
      <c r="E57" t="s">
        <v>1589</v>
      </c>
      <c r="F57">
        <v>7</v>
      </c>
    </row>
    <row r="58" spans="2:6" x14ac:dyDescent="0.35">
      <c r="B58" t="str">
        <v>AP Ventures</v>
      </c>
      <c r="C58">
        <v>3</v>
      </c>
      <c r="E58" t="s">
        <v>469</v>
      </c>
      <c r="F58">
        <v>7</v>
      </c>
    </row>
    <row r="59" spans="2:6" x14ac:dyDescent="0.35">
      <c r="B59" t="str">
        <v>Odyssey Ventures (London)</v>
      </c>
      <c r="C59">
        <v>1</v>
      </c>
      <c r="E59" t="s">
        <v>1589</v>
      </c>
      <c r="F59">
        <v>7</v>
      </c>
    </row>
    <row r="60" spans="2:6" x14ac:dyDescent="0.35">
      <c r="B60" t="str">
        <v>BonAngels Venture Partners</v>
      </c>
      <c r="C60">
        <v>1</v>
      </c>
      <c r="E60" t="s">
        <v>475</v>
      </c>
      <c r="F60">
        <v>6</v>
      </c>
    </row>
    <row r="61" spans="2:6" x14ac:dyDescent="0.35">
      <c r="B61" t="str">
        <v>Quantum Ventures Korea</v>
      </c>
      <c r="C61">
        <v>1</v>
      </c>
      <c r="E61" t="s">
        <v>475</v>
      </c>
      <c r="F61">
        <v>6</v>
      </c>
    </row>
    <row r="62" spans="2:6" x14ac:dyDescent="0.35">
      <c r="B62" t="str">
        <v>Kibo Invest</v>
      </c>
      <c r="C62">
        <v>1</v>
      </c>
      <c r="E62" t="s">
        <v>475</v>
      </c>
      <c r="F62">
        <v>6</v>
      </c>
    </row>
    <row r="63" spans="2:6" x14ac:dyDescent="0.35">
      <c r="B63" t="str">
        <v>Temasek Holdings</v>
      </c>
      <c r="C63">
        <v>9</v>
      </c>
      <c r="E63" t="s">
        <v>475</v>
      </c>
      <c r="F63">
        <v>6</v>
      </c>
    </row>
    <row r="64" spans="2:6" x14ac:dyDescent="0.35">
      <c r="B64" t="str">
        <v>Hanwha Investment &amp; Securities Company</v>
      </c>
      <c r="C64">
        <v>1</v>
      </c>
      <c r="E64" t="s">
        <v>475</v>
      </c>
      <c r="F64">
        <v>6</v>
      </c>
    </row>
    <row r="65" spans="2:6" x14ac:dyDescent="0.35">
      <c r="B65" t="str">
        <v>Gorilla Private Equity</v>
      </c>
      <c r="C65">
        <v>1</v>
      </c>
      <c r="E65" t="s">
        <v>475</v>
      </c>
      <c r="F65">
        <v>6</v>
      </c>
    </row>
    <row r="66" spans="2:6" x14ac:dyDescent="0.35">
      <c r="B66" t="str">
        <v>Enbridge</v>
      </c>
      <c r="C66">
        <v>1</v>
      </c>
      <c r="E66" t="s">
        <v>1796</v>
      </c>
      <c r="F66">
        <v>5</v>
      </c>
    </row>
    <row r="67" spans="2:6" x14ac:dyDescent="0.35">
      <c r="B67" t="str">
        <v>Energy Impact Partners</v>
      </c>
      <c r="C67">
        <v>3</v>
      </c>
      <c r="E67" t="s">
        <v>1847</v>
      </c>
      <c r="F67">
        <v>5</v>
      </c>
    </row>
    <row r="68" spans="2:6" x14ac:dyDescent="0.35">
      <c r="B68" t="str">
        <v>Black Mountain Ventures</v>
      </c>
      <c r="C68">
        <v>1</v>
      </c>
      <c r="E68" t="s">
        <v>1847</v>
      </c>
      <c r="F68">
        <v>5</v>
      </c>
    </row>
    <row r="69" spans="2:6" x14ac:dyDescent="0.35">
      <c r="B69" t="str">
        <v>Cameron Drummond</v>
      </c>
      <c r="C69">
        <v>1</v>
      </c>
      <c r="E69" t="s">
        <v>1847</v>
      </c>
      <c r="F69">
        <v>5</v>
      </c>
    </row>
    <row r="70" spans="2:6" x14ac:dyDescent="0.35">
      <c r="B70" t="str">
        <v>Dorm Room Fund</v>
      </c>
      <c r="C70">
        <v>1</v>
      </c>
      <c r="E70" t="s">
        <v>1796</v>
      </c>
      <c r="F70">
        <v>5</v>
      </c>
    </row>
    <row r="71" spans="2:6" x14ac:dyDescent="0.35">
      <c r="B71" t="str">
        <v>CalSEED</v>
      </c>
      <c r="C71">
        <v>1</v>
      </c>
      <c r="E71" t="s">
        <v>1796</v>
      </c>
      <c r="F71">
        <v>5</v>
      </c>
    </row>
    <row r="72" spans="2:6" x14ac:dyDescent="0.35">
      <c r="B72" t="str">
        <v>Keybridge Venture Partners</v>
      </c>
      <c r="C72">
        <v>1</v>
      </c>
      <c r="E72" t="s">
        <v>1847</v>
      </c>
      <c r="F72">
        <v>5</v>
      </c>
    </row>
    <row r="73" spans="2:6" x14ac:dyDescent="0.35">
      <c r="B73" t="str">
        <v>Overture Climate VC</v>
      </c>
      <c r="C73">
        <v>1</v>
      </c>
      <c r="E73" t="s">
        <v>1796</v>
      </c>
      <c r="F73">
        <v>5</v>
      </c>
    </row>
    <row r="74" spans="2:6" x14ac:dyDescent="0.35">
      <c r="B74" t="str">
        <v>Reaction Global</v>
      </c>
      <c r="C74">
        <v>1</v>
      </c>
      <c r="E74" t="s">
        <v>1796</v>
      </c>
      <c r="F74">
        <v>5</v>
      </c>
    </row>
    <row r="75" spans="2:6" x14ac:dyDescent="0.35">
      <c r="B75" t="str">
        <v>StartX</v>
      </c>
      <c r="C75">
        <v>2</v>
      </c>
      <c r="E75" t="s">
        <v>1847</v>
      </c>
      <c r="F75">
        <v>5</v>
      </c>
    </row>
    <row r="76" spans="2:6" x14ac:dyDescent="0.35">
      <c r="B76" t="str">
        <v>AENU</v>
      </c>
      <c r="C76">
        <v>1</v>
      </c>
      <c r="E76" t="s">
        <v>1508</v>
      </c>
      <c r="F76">
        <v>4</v>
      </c>
    </row>
    <row r="77" spans="2:6" x14ac:dyDescent="0.35">
      <c r="B77" t="str">
        <v>Energy Impact Partners</v>
      </c>
      <c r="C77">
        <v>3</v>
      </c>
      <c r="E77" t="s">
        <v>1508</v>
      </c>
      <c r="F77">
        <v>4</v>
      </c>
    </row>
    <row r="78" spans="2:6" x14ac:dyDescent="0.35">
      <c r="B78" t="str">
        <v>Nippon Steel Trading</v>
      </c>
      <c r="C78">
        <v>1</v>
      </c>
      <c r="E78" t="s">
        <v>1632</v>
      </c>
      <c r="F78">
        <v>4</v>
      </c>
    </row>
    <row r="79" spans="2:6" x14ac:dyDescent="0.35">
      <c r="B79" t="str">
        <v>Rio Tinto</v>
      </c>
      <c r="C79">
        <v>2</v>
      </c>
      <c r="E79" t="s">
        <v>1632</v>
      </c>
      <c r="F79">
        <v>4</v>
      </c>
    </row>
    <row r="80" spans="2:6" x14ac:dyDescent="0.35">
      <c r="B80" t="str">
        <v>Sandton Capital Partners</v>
      </c>
      <c r="C80">
        <v>1</v>
      </c>
      <c r="E80" t="s">
        <v>508</v>
      </c>
      <c r="F80">
        <v>4</v>
      </c>
    </row>
    <row r="81" spans="2:6" x14ac:dyDescent="0.35">
      <c r="B81" t="str">
        <v>Steel Dynamics</v>
      </c>
      <c r="C81">
        <v>1</v>
      </c>
      <c r="E81" t="s">
        <v>1692</v>
      </c>
      <c r="F81">
        <v>4</v>
      </c>
    </row>
    <row r="82" spans="2:6" x14ac:dyDescent="0.35">
      <c r="B82" t="str">
        <v>Compass Group Equity Partners</v>
      </c>
      <c r="C82">
        <v>1</v>
      </c>
      <c r="E82" t="s">
        <v>1692</v>
      </c>
      <c r="F82">
        <v>4</v>
      </c>
    </row>
    <row r="83" spans="2:6" x14ac:dyDescent="0.35">
      <c r="B83" t="str">
        <v>Cottonwood Technology Fund+S32</v>
      </c>
      <c r="C83">
        <v>1</v>
      </c>
      <c r="E83" t="s">
        <v>1692</v>
      </c>
      <c r="F83">
        <v>4</v>
      </c>
    </row>
    <row r="84" spans="2:6" x14ac:dyDescent="0.35">
      <c r="B84" t="str">
        <v>Fortistar</v>
      </c>
      <c r="C84">
        <v>1</v>
      </c>
      <c r="E84" t="s">
        <v>1750</v>
      </c>
      <c r="F84">
        <v>4</v>
      </c>
    </row>
    <row r="85" spans="2:6" x14ac:dyDescent="0.35">
      <c r="B85" t="str">
        <v>Newlight Partners</v>
      </c>
      <c r="C85">
        <v>2</v>
      </c>
      <c r="E85" t="s">
        <v>1632</v>
      </c>
      <c r="F85">
        <v>4</v>
      </c>
    </row>
    <row r="86" spans="2:6" x14ac:dyDescent="0.35">
      <c r="B86" t="str">
        <v>Sun Mountain Capital</v>
      </c>
      <c r="C86">
        <v>1</v>
      </c>
      <c r="E86" t="s">
        <v>1508</v>
      </c>
      <c r="F86">
        <v>4</v>
      </c>
    </row>
    <row r="87" spans="2:6" x14ac:dyDescent="0.35">
      <c r="B87" t="str">
        <v>2150</v>
      </c>
      <c r="C87">
        <v>2</v>
      </c>
      <c r="E87" t="s">
        <v>1750</v>
      </c>
      <c r="F87">
        <v>4</v>
      </c>
    </row>
    <row r="88" spans="2:6" x14ac:dyDescent="0.35">
      <c r="B88" t="str">
        <v>Celesta Capital</v>
      </c>
      <c r="C88">
        <v>1</v>
      </c>
      <c r="E88" t="s">
        <v>1750</v>
      </c>
      <c r="F88">
        <v>4</v>
      </c>
    </row>
    <row r="89" spans="2:6" x14ac:dyDescent="0.35">
      <c r="B89" t="str">
        <v>Noel Ventures</v>
      </c>
      <c r="C89">
        <v>1</v>
      </c>
      <c r="E89" t="s">
        <v>508</v>
      </c>
      <c r="F89">
        <v>4</v>
      </c>
    </row>
    <row r="90" spans="2:6" x14ac:dyDescent="0.35">
      <c r="B90" t="str">
        <v>Novo Holdings</v>
      </c>
      <c r="C90">
        <v>2</v>
      </c>
      <c r="E90" t="s">
        <v>508</v>
      </c>
      <c r="F90">
        <v>4</v>
      </c>
    </row>
    <row r="91" spans="2:6" x14ac:dyDescent="0.35">
      <c r="B91" t="str">
        <v>2150</v>
      </c>
      <c r="C91">
        <v>2</v>
      </c>
      <c r="E91" t="s">
        <v>508</v>
      </c>
      <c r="F91">
        <v>4</v>
      </c>
    </row>
    <row r="92" spans="2:6" x14ac:dyDescent="0.35">
      <c r="B92" t="str">
        <v>Breakthrough Energy</v>
      </c>
      <c r="C92">
        <v>10</v>
      </c>
      <c r="E92" t="s">
        <v>1692</v>
      </c>
      <c r="F92">
        <v>4</v>
      </c>
    </row>
    <row r="93" spans="2:6" x14ac:dyDescent="0.35">
      <c r="B93" t="str">
        <v>Florida Opportunity Fund</v>
      </c>
      <c r="C93">
        <v>2</v>
      </c>
      <c r="E93" t="s">
        <v>1632</v>
      </c>
      <c r="F93">
        <v>4</v>
      </c>
    </row>
    <row r="94" spans="2:6" x14ac:dyDescent="0.35">
      <c r="B94" t="str">
        <v>Tech Square Ventures</v>
      </c>
      <c r="C94">
        <v>1</v>
      </c>
      <c r="E94" t="s">
        <v>1508</v>
      </c>
      <c r="F94">
        <v>4</v>
      </c>
    </row>
    <row r="95" spans="2:6" x14ac:dyDescent="0.35">
      <c r="B95" t="str">
        <v>Volo Earth Ventures</v>
      </c>
      <c r="C95">
        <v>3</v>
      </c>
      <c r="E95" t="s">
        <v>1750</v>
      </c>
      <c r="F95">
        <v>4</v>
      </c>
    </row>
    <row r="96" spans="2:6" x14ac:dyDescent="0.35">
      <c r="B96" t="str">
        <v>Jackson Investment Group</v>
      </c>
      <c r="C96">
        <v>1</v>
      </c>
      <c r="E96" t="s">
        <v>494</v>
      </c>
      <c r="F96">
        <v>3</v>
      </c>
    </row>
    <row r="97" spans="2:6" x14ac:dyDescent="0.35">
      <c r="B97" t="str">
        <v>Connecticut Innovations</v>
      </c>
      <c r="C97">
        <v>1</v>
      </c>
      <c r="E97" t="s">
        <v>1507</v>
      </c>
      <c r="F97">
        <v>3</v>
      </c>
    </row>
    <row r="98" spans="2:6" x14ac:dyDescent="0.35">
      <c r="B98" t="str">
        <v>Daniel Hagedorn</v>
      </c>
      <c r="C98">
        <v>1</v>
      </c>
      <c r="E98" t="s">
        <v>1515</v>
      </c>
      <c r="F98">
        <v>3</v>
      </c>
    </row>
    <row r="99" spans="2:6" x14ac:dyDescent="0.35">
      <c r="B99" t="str">
        <v>Reliance Industries</v>
      </c>
      <c r="C99">
        <v>2</v>
      </c>
      <c r="E99" t="s">
        <v>1426</v>
      </c>
      <c r="F99">
        <v>3</v>
      </c>
    </row>
    <row r="100" spans="2:6" x14ac:dyDescent="0.35">
      <c r="B100" t="str">
        <v>Khosla Ventures</v>
      </c>
      <c r="C100">
        <v>6</v>
      </c>
      <c r="E100" t="s">
        <v>1519</v>
      </c>
      <c r="F100">
        <v>3</v>
      </c>
    </row>
    <row r="101" spans="2:6" x14ac:dyDescent="0.35">
      <c r="B101" t="str">
        <v>31 Ventures</v>
      </c>
      <c r="C101">
        <v>1</v>
      </c>
      <c r="E101" t="s">
        <v>1515</v>
      </c>
      <c r="F101">
        <v>3</v>
      </c>
    </row>
    <row r="102" spans="2:6" x14ac:dyDescent="0.35">
      <c r="B102" t="str">
        <v>F-Prime Capital</v>
      </c>
      <c r="C102">
        <v>2</v>
      </c>
      <c r="E102" t="s">
        <v>1426</v>
      </c>
      <c r="F102">
        <v>3</v>
      </c>
    </row>
    <row r="103" spans="2:6" x14ac:dyDescent="0.35">
      <c r="B103" t="str">
        <v>Global Brain</v>
      </c>
      <c r="C103">
        <v>2</v>
      </c>
      <c r="E103" t="s">
        <v>1529</v>
      </c>
      <c r="F103">
        <v>3</v>
      </c>
    </row>
    <row r="104" spans="2:6" x14ac:dyDescent="0.35">
      <c r="B104" t="str">
        <v>Khosla Ventures</v>
      </c>
      <c r="C104">
        <v>6</v>
      </c>
      <c r="E104" t="s">
        <v>1515</v>
      </c>
      <c r="F104">
        <v>3</v>
      </c>
    </row>
    <row r="105" spans="2:6" x14ac:dyDescent="0.35">
      <c r="B105" t="str">
        <v>Mitsui Fudosan</v>
      </c>
      <c r="C105">
        <v>2</v>
      </c>
      <c r="E105" t="s">
        <v>472</v>
      </c>
      <c r="F105">
        <v>3</v>
      </c>
    </row>
    <row r="106" spans="2:6" x14ac:dyDescent="0.35">
      <c r="B106" t="str">
        <v>NextEra Energy</v>
      </c>
      <c r="C106">
        <v>2</v>
      </c>
      <c r="E106" t="s">
        <v>472</v>
      </c>
      <c r="F106">
        <v>3</v>
      </c>
    </row>
    <row r="107" spans="2:6" x14ac:dyDescent="0.35">
      <c r="B107" t="str">
        <v>Reliance Industries</v>
      </c>
      <c r="C107">
        <v>2</v>
      </c>
      <c r="E107" t="s">
        <v>1564</v>
      </c>
      <c r="F107">
        <v>3</v>
      </c>
    </row>
    <row r="108" spans="2:6" x14ac:dyDescent="0.35">
      <c r="B108" t="str">
        <v>Temasek Holdins</v>
      </c>
      <c r="C108">
        <v>1</v>
      </c>
      <c r="E108" t="s">
        <v>1529</v>
      </c>
      <c r="F108">
        <v>3</v>
      </c>
    </row>
    <row r="109" spans="2:6" x14ac:dyDescent="0.35">
      <c r="B109" t="str">
        <v>Acario Innovation</v>
      </c>
      <c r="C109">
        <v>1</v>
      </c>
      <c r="E109" t="s">
        <v>1564</v>
      </c>
      <c r="F109">
        <v>3</v>
      </c>
    </row>
    <row r="110" spans="2:6" x14ac:dyDescent="0.35">
      <c r="B110" t="str">
        <v>Dolby Family Ventures</v>
      </c>
      <c r="C110">
        <v>1</v>
      </c>
      <c r="E110" t="s">
        <v>1595</v>
      </c>
      <c r="F110">
        <v>3</v>
      </c>
    </row>
    <row r="111" spans="2:6" x14ac:dyDescent="0.35">
      <c r="B111" t="str">
        <v>Freeflow Ventures</v>
      </c>
      <c r="C111">
        <v>1</v>
      </c>
      <c r="E111" t="s">
        <v>785</v>
      </c>
      <c r="F111">
        <v>3</v>
      </c>
    </row>
    <row r="112" spans="2:6" x14ac:dyDescent="0.35">
      <c r="B112" t="str">
        <v>Hess</v>
      </c>
      <c r="C112">
        <v>1</v>
      </c>
      <c r="E112" t="s">
        <v>481</v>
      </c>
      <c r="F112">
        <v>3</v>
      </c>
    </row>
    <row r="113" spans="2:6" x14ac:dyDescent="0.35">
      <c r="B113" t="str">
        <v>Jericho Energy Ventures</v>
      </c>
      <c r="C113">
        <v>1</v>
      </c>
      <c r="E113" t="s">
        <v>481</v>
      </c>
      <c r="F113">
        <v>3</v>
      </c>
    </row>
    <row r="114" spans="2:6" x14ac:dyDescent="0.35">
      <c r="B114" t="str">
        <v>MOL Switch</v>
      </c>
      <c r="C114">
        <v>3</v>
      </c>
      <c r="E114" t="s">
        <v>481</v>
      </c>
      <c r="F114">
        <v>3</v>
      </c>
    </row>
    <row r="115" spans="2:6" x14ac:dyDescent="0.35">
      <c r="B115" t="str">
        <v>Motus Ventures</v>
      </c>
      <c r="C115">
        <v>1</v>
      </c>
      <c r="E115" t="s">
        <v>1624</v>
      </c>
      <c r="F115">
        <v>3</v>
      </c>
    </row>
    <row r="116" spans="2:6" x14ac:dyDescent="0.35">
      <c r="B116" t="str">
        <v>Tokyo Gas</v>
      </c>
      <c r="C116">
        <v>1</v>
      </c>
      <c r="E116" t="s">
        <v>1519</v>
      </c>
      <c r="F116">
        <v>3</v>
      </c>
    </row>
    <row r="117" spans="2:6" x14ac:dyDescent="0.35">
      <c r="B117" t="str">
        <v>TSV Capital</v>
      </c>
      <c r="C117">
        <v>1</v>
      </c>
      <c r="E117" t="s">
        <v>1651</v>
      </c>
      <c r="F117">
        <v>3</v>
      </c>
    </row>
    <row r="118" spans="2:6" x14ac:dyDescent="0.35">
      <c r="B118" t="str">
        <v>Volo Earth Ventures</v>
      </c>
      <c r="C118">
        <v>3</v>
      </c>
      <c r="E118" t="s">
        <v>1408</v>
      </c>
      <c r="F118">
        <v>3</v>
      </c>
    </row>
    <row r="119" spans="2:6" x14ac:dyDescent="0.35">
      <c r="B119" t="str">
        <v>Brookfield Corporation</v>
      </c>
      <c r="C119">
        <v>1</v>
      </c>
      <c r="E119" t="s">
        <v>1408</v>
      </c>
      <c r="F119">
        <v>3</v>
      </c>
    </row>
    <row r="120" spans="2:6" x14ac:dyDescent="0.35">
      <c r="B120" t="str">
        <v>Broadscale Group</v>
      </c>
      <c r="C120">
        <v>1</v>
      </c>
      <c r="E120" t="s">
        <v>1624</v>
      </c>
      <c r="F120">
        <v>3</v>
      </c>
    </row>
    <row r="121" spans="2:6" x14ac:dyDescent="0.35">
      <c r="B121" t="str">
        <v>Rijn Capital</v>
      </c>
      <c r="C121">
        <v>1</v>
      </c>
      <c r="E121" t="s">
        <v>1712</v>
      </c>
      <c r="F121">
        <v>3</v>
      </c>
    </row>
    <row r="122" spans="2:6" x14ac:dyDescent="0.35">
      <c r="B122" t="str">
        <v>Spring Lane Capital</v>
      </c>
      <c r="C122">
        <v>1</v>
      </c>
      <c r="E122" t="s">
        <v>785</v>
      </c>
      <c r="F122">
        <v>3</v>
      </c>
    </row>
    <row r="123" spans="2:6" x14ac:dyDescent="0.35">
      <c r="B123" t="str">
        <v>Beresford Ventures</v>
      </c>
      <c r="C123">
        <v>2</v>
      </c>
      <c r="E123" t="s">
        <v>1507</v>
      </c>
      <c r="F123">
        <v>3</v>
      </c>
    </row>
    <row r="124" spans="2:6" x14ac:dyDescent="0.35">
      <c r="B124" t="str">
        <v>Flobas Ventures</v>
      </c>
      <c r="C124">
        <v>1</v>
      </c>
      <c r="E124" t="s">
        <v>494</v>
      </c>
      <c r="F124">
        <v>3</v>
      </c>
    </row>
    <row r="125" spans="2:6" x14ac:dyDescent="0.35">
      <c r="B125" t="str">
        <v>Icebook Investments</v>
      </c>
      <c r="C125">
        <v>2</v>
      </c>
      <c r="E125" t="s">
        <v>494</v>
      </c>
      <c r="F125">
        <v>3</v>
      </c>
    </row>
    <row r="126" spans="2:6" x14ac:dyDescent="0.35">
      <c r="B126" t="str">
        <v>New World Angels</v>
      </c>
      <c r="C126">
        <v>1</v>
      </c>
      <c r="E126" t="s">
        <v>1519</v>
      </c>
      <c r="F126">
        <v>3</v>
      </c>
    </row>
    <row r="127" spans="2:6" x14ac:dyDescent="0.35">
      <c r="B127" t="str">
        <v>Westlake Ventures</v>
      </c>
      <c r="C127">
        <v>1</v>
      </c>
      <c r="E127" t="s">
        <v>1529</v>
      </c>
      <c r="F127">
        <v>3</v>
      </c>
    </row>
    <row r="128" spans="2:6" x14ac:dyDescent="0.35">
      <c r="B128" t="str">
        <v>Icebook Investments</v>
      </c>
      <c r="C128">
        <v>2</v>
      </c>
      <c r="E128" t="s">
        <v>800</v>
      </c>
      <c r="F128">
        <v>3</v>
      </c>
    </row>
    <row r="129" spans="2:6" x14ac:dyDescent="0.35">
      <c r="B129" t="str">
        <v>Varnadore Financial</v>
      </c>
      <c r="C129">
        <v>1</v>
      </c>
      <c r="E129" t="s">
        <v>1408</v>
      </c>
      <c r="F129">
        <v>3</v>
      </c>
    </row>
    <row r="130" spans="2:6" x14ac:dyDescent="0.35">
      <c r="B130" t="str">
        <v>David Ulevitch</v>
      </c>
      <c r="C130">
        <v>1</v>
      </c>
      <c r="E130" t="s">
        <v>1804</v>
      </c>
      <c r="F130">
        <v>3</v>
      </c>
    </row>
    <row r="131" spans="2:6" x14ac:dyDescent="0.35">
      <c r="B131" t="str">
        <v>Incite Ventures</v>
      </c>
      <c r="C131">
        <v>2</v>
      </c>
      <c r="E131" t="s">
        <v>1825</v>
      </c>
      <c r="F131">
        <v>3</v>
      </c>
    </row>
    <row r="132" spans="2:6" x14ac:dyDescent="0.35">
      <c r="B132" t="str">
        <v>James Tamplin</v>
      </c>
      <c r="C132">
        <v>1</v>
      </c>
      <c r="E132" t="s">
        <v>783</v>
      </c>
      <c r="F132">
        <v>3</v>
      </c>
    </row>
    <row r="133" spans="2:6" x14ac:dyDescent="0.35">
      <c r="B133" t="str">
        <v>Lowercarbon Capital</v>
      </c>
      <c r="C133">
        <v>7</v>
      </c>
      <c r="E133" t="s">
        <v>1595</v>
      </c>
      <c r="F133">
        <v>3</v>
      </c>
    </row>
    <row r="134" spans="2:6" x14ac:dyDescent="0.35">
      <c r="B134" t="str">
        <v>Nat Friedman</v>
      </c>
      <c r="C134">
        <v>1</v>
      </c>
      <c r="E134" t="s">
        <v>784</v>
      </c>
      <c r="F134">
        <v>3</v>
      </c>
    </row>
    <row r="135" spans="2:6" x14ac:dyDescent="0.35">
      <c r="B135" t="str">
        <v>Peter Reinhardt</v>
      </c>
      <c r="C135">
        <v>1</v>
      </c>
      <c r="E135" t="s">
        <v>785</v>
      </c>
      <c r="F135">
        <v>3</v>
      </c>
    </row>
    <row r="136" spans="2:6" x14ac:dyDescent="0.35">
      <c r="B136" t="str">
        <v>Stripe</v>
      </c>
      <c r="C136">
        <v>1</v>
      </c>
      <c r="E136" t="s">
        <v>1879</v>
      </c>
      <c r="F136">
        <v>3</v>
      </c>
    </row>
    <row r="137" spans="2:6" x14ac:dyDescent="0.35">
      <c r="B137" t="str">
        <v>Thomas Mvlnerney</v>
      </c>
      <c r="C137">
        <v>1</v>
      </c>
      <c r="E137" t="s">
        <v>1881</v>
      </c>
      <c r="F137">
        <v>3</v>
      </c>
    </row>
    <row r="138" spans="2:6" x14ac:dyDescent="0.35">
      <c r="B138" t="str">
        <v>Valor Equity Partners</v>
      </c>
      <c r="C138">
        <v>2</v>
      </c>
      <c r="E138" t="s">
        <v>1886</v>
      </c>
      <c r="F138">
        <v>3</v>
      </c>
    </row>
    <row r="139" spans="2:6" x14ac:dyDescent="0.35">
      <c r="B139" t="str">
        <v>Impact Assets</v>
      </c>
      <c r="C139">
        <v>3</v>
      </c>
      <c r="E139" t="s">
        <v>1889</v>
      </c>
      <c r="F139">
        <v>3</v>
      </c>
    </row>
    <row r="140" spans="2:6" x14ac:dyDescent="0.35">
      <c r="B140" t="str">
        <v>PRIME Coalition</v>
      </c>
      <c r="C140">
        <v>3</v>
      </c>
      <c r="E140" t="s">
        <v>783</v>
      </c>
      <c r="F140">
        <v>3</v>
      </c>
    </row>
    <row r="141" spans="2:6" x14ac:dyDescent="0.35">
      <c r="B141" t="str">
        <v>Seek Ventures</v>
      </c>
      <c r="C141">
        <v>1</v>
      </c>
      <c r="E141" t="s">
        <v>1905</v>
      </c>
      <c r="F141">
        <v>3</v>
      </c>
    </row>
    <row r="142" spans="2:6" x14ac:dyDescent="0.35">
      <c r="B142" t="str">
        <v>Social Impact Capital</v>
      </c>
      <c r="C142">
        <v>2</v>
      </c>
      <c r="E142" t="s">
        <v>1889</v>
      </c>
      <c r="F142">
        <v>3</v>
      </c>
    </row>
    <row r="143" spans="2:6" x14ac:dyDescent="0.35">
      <c r="B143" t="str">
        <v>Cloverlay</v>
      </c>
      <c r="C143">
        <v>1</v>
      </c>
      <c r="E143" t="s">
        <v>1886</v>
      </c>
      <c r="F143">
        <v>3</v>
      </c>
    </row>
    <row r="144" spans="2:6" x14ac:dyDescent="0.35">
      <c r="B144" t="str">
        <v>CPP Investments</v>
      </c>
      <c r="C144">
        <v>3</v>
      </c>
      <c r="E144" t="s">
        <v>1881</v>
      </c>
      <c r="F144">
        <v>3</v>
      </c>
    </row>
    <row r="145" spans="2:6" x14ac:dyDescent="0.35">
      <c r="B145" t="str">
        <v>DBL Partners</v>
      </c>
      <c r="C145">
        <v>2</v>
      </c>
      <c r="E145" t="s">
        <v>1595</v>
      </c>
      <c r="F145">
        <v>3</v>
      </c>
    </row>
    <row r="146" spans="2:6" x14ac:dyDescent="0.35">
      <c r="B146" t="str">
        <v>Kimmeridge</v>
      </c>
      <c r="C146">
        <v>1</v>
      </c>
      <c r="E146" t="s">
        <v>1507</v>
      </c>
      <c r="F146">
        <v>3</v>
      </c>
    </row>
    <row r="147" spans="2:6" x14ac:dyDescent="0.35">
      <c r="B147" t="str">
        <v>CPP Investments</v>
      </c>
      <c r="C147">
        <v>3</v>
      </c>
      <c r="E147" t="s">
        <v>1946</v>
      </c>
      <c r="F147">
        <v>3</v>
      </c>
    </row>
    <row r="148" spans="2:6" x14ac:dyDescent="0.35">
      <c r="B148" t="str">
        <v>CPP Investments</v>
      </c>
      <c r="C148">
        <v>3</v>
      </c>
      <c r="E148" t="s">
        <v>1825</v>
      </c>
      <c r="F148">
        <v>3</v>
      </c>
    </row>
    <row r="149" spans="2:6" x14ac:dyDescent="0.35">
      <c r="B149" t="str">
        <v>8090 Industries</v>
      </c>
      <c r="C149">
        <v>2</v>
      </c>
      <c r="E149" t="s">
        <v>1946</v>
      </c>
      <c r="F149">
        <v>3</v>
      </c>
    </row>
    <row r="150" spans="2:6" x14ac:dyDescent="0.35">
      <c r="B150" t="str">
        <v>8090 Partners</v>
      </c>
      <c r="C150">
        <v>1</v>
      </c>
      <c r="E150" t="s">
        <v>1889</v>
      </c>
      <c r="F150">
        <v>3</v>
      </c>
    </row>
    <row r="151" spans="2:6" x14ac:dyDescent="0.35">
      <c r="B151" t="str">
        <v>Alante Capital</v>
      </c>
      <c r="C151">
        <v>1</v>
      </c>
      <c r="E151" t="s">
        <v>1712</v>
      </c>
      <c r="F151">
        <v>3</v>
      </c>
    </row>
    <row r="152" spans="2:6" x14ac:dyDescent="0.35">
      <c r="B152" t="str">
        <v>Avery Dennison</v>
      </c>
      <c r="C152">
        <v>1</v>
      </c>
      <c r="E152" t="s">
        <v>783</v>
      </c>
      <c r="F152">
        <v>3</v>
      </c>
    </row>
    <row r="153" spans="2:6" x14ac:dyDescent="0.35">
      <c r="B153" t="str">
        <v>Breaktrhough Energy</v>
      </c>
      <c r="C153">
        <v>1</v>
      </c>
      <c r="E153" t="s">
        <v>1905</v>
      </c>
      <c r="F153">
        <v>3</v>
      </c>
    </row>
    <row r="154" spans="2:6" x14ac:dyDescent="0.35">
      <c r="B154" t="str">
        <v>Card Sound Capital</v>
      </c>
      <c r="C154">
        <v>1</v>
      </c>
      <c r="E154" t="s">
        <v>1804</v>
      </c>
      <c r="F154">
        <v>3</v>
      </c>
    </row>
    <row r="155" spans="2:6" x14ac:dyDescent="0.35">
      <c r="B155" t="str">
        <v>Cerity Partners Ventures</v>
      </c>
      <c r="C155">
        <v>1</v>
      </c>
      <c r="E155" t="s">
        <v>800</v>
      </c>
      <c r="F155">
        <v>3</v>
      </c>
    </row>
    <row r="156" spans="2:6" x14ac:dyDescent="0.35">
      <c r="B156" t="str">
        <v>Circulate Capital</v>
      </c>
      <c r="C156">
        <v>1</v>
      </c>
      <c r="E156" t="s">
        <v>800</v>
      </c>
      <c r="F156">
        <v>3</v>
      </c>
    </row>
    <row r="157" spans="2:6" x14ac:dyDescent="0.35">
      <c r="B157" t="str">
        <v>City Light Capital</v>
      </c>
      <c r="C157">
        <v>1</v>
      </c>
      <c r="E157" t="s">
        <v>1881</v>
      </c>
      <c r="F157">
        <v>3</v>
      </c>
    </row>
    <row r="158" spans="2:6" x14ac:dyDescent="0.35">
      <c r="B158" t="str">
        <v>Envisioning Partners</v>
      </c>
      <c r="C158">
        <v>1</v>
      </c>
      <c r="E158" t="s">
        <v>1624</v>
      </c>
      <c r="F158">
        <v>3</v>
      </c>
    </row>
    <row r="159" spans="2:6" x14ac:dyDescent="0.35">
      <c r="B159" t="str">
        <v>Industrial de Diseno Textil</v>
      </c>
      <c r="C159">
        <v>1</v>
      </c>
      <c r="E159" t="s">
        <v>1946</v>
      </c>
      <c r="F159">
        <v>3</v>
      </c>
    </row>
    <row r="160" spans="2:6" x14ac:dyDescent="0.35">
      <c r="B160" t="str">
        <v>Lansdowne Partners</v>
      </c>
      <c r="C160">
        <v>1</v>
      </c>
      <c r="E160" t="s">
        <v>1712</v>
      </c>
      <c r="F160">
        <v>3</v>
      </c>
    </row>
    <row r="161" spans="2:6" x14ac:dyDescent="0.35">
      <c r="B161" t="str">
        <v>Marubeni</v>
      </c>
      <c r="C161">
        <v>1</v>
      </c>
      <c r="E161" t="s">
        <v>2062</v>
      </c>
      <c r="F161">
        <v>3</v>
      </c>
    </row>
    <row r="162" spans="2:6" x14ac:dyDescent="0.35">
      <c r="B162" t="str">
        <v>Milliken &amp; Company</v>
      </c>
      <c r="C162">
        <v>1</v>
      </c>
      <c r="E162" t="s">
        <v>2062</v>
      </c>
      <c r="F162">
        <v>3</v>
      </c>
    </row>
    <row r="163" spans="2:6" x14ac:dyDescent="0.35">
      <c r="B163" t="str">
        <v>Pandion Innovation for Impact</v>
      </c>
      <c r="C163">
        <v>1</v>
      </c>
      <c r="E163" t="s">
        <v>2062</v>
      </c>
      <c r="F163">
        <v>3</v>
      </c>
    </row>
    <row r="164" spans="2:6" x14ac:dyDescent="0.35">
      <c r="B164" t="str">
        <v>Plug &amp; Play Tech Center</v>
      </c>
      <c r="C164">
        <v>2</v>
      </c>
      <c r="E164" t="s">
        <v>1426</v>
      </c>
      <c r="F164">
        <v>3</v>
      </c>
    </row>
    <row r="165" spans="2:6" x14ac:dyDescent="0.35">
      <c r="B165" t="str">
        <v>Temasek Holdings</v>
      </c>
      <c r="C165">
        <v>9</v>
      </c>
      <c r="E165" t="s">
        <v>472</v>
      </c>
      <c r="F165">
        <v>3</v>
      </c>
    </row>
    <row r="166" spans="2:6" x14ac:dyDescent="0.35">
      <c r="B166" t="str">
        <v>Vodia Capital</v>
      </c>
      <c r="C166">
        <v>1</v>
      </c>
      <c r="E166" t="s">
        <v>2076</v>
      </c>
      <c r="F166">
        <v>3</v>
      </c>
    </row>
    <row r="167" spans="2:6" x14ac:dyDescent="0.35">
      <c r="B167" t="str">
        <v>Youngone</v>
      </c>
      <c r="C167">
        <v>1</v>
      </c>
      <c r="E167" t="s">
        <v>2076</v>
      </c>
      <c r="F167">
        <v>3</v>
      </c>
    </row>
    <row r="168" spans="2:6" x14ac:dyDescent="0.35">
      <c r="B168" t="str">
        <v>Zalando</v>
      </c>
      <c r="C168">
        <v>1</v>
      </c>
      <c r="E168" t="s">
        <v>2076</v>
      </c>
      <c r="F168">
        <v>3</v>
      </c>
    </row>
    <row r="169" spans="2:6" x14ac:dyDescent="0.35">
      <c r="B169" t="str">
        <v>Homecoming Capital</v>
      </c>
      <c r="C169">
        <v>1</v>
      </c>
      <c r="E169" t="s">
        <v>1905</v>
      </c>
      <c r="F169">
        <v>3</v>
      </c>
    </row>
    <row r="170" spans="2:6" x14ac:dyDescent="0.35">
      <c r="B170" t="str">
        <v>BPH Energy</v>
      </c>
      <c r="C170">
        <v>1</v>
      </c>
      <c r="E170" t="s">
        <v>1564</v>
      </c>
      <c r="F170">
        <v>3</v>
      </c>
    </row>
    <row r="171" spans="2:6" x14ac:dyDescent="0.35">
      <c r="B171" t="str">
        <v>WNY Impact Investment Fund</v>
      </c>
      <c r="C171">
        <v>1</v>
      </c>
      <c r="E171" t="s">
        <v>1651</v>
      </c>
      <c r="F171">
        <v>3</v>
      </c>
    </row>
    <row r="172" spans="2:6" x14ac:dyDescent="0.35">
      <c r="B172" t="str">
        <v>Greenbacker Capital Management</v>
      </c>
      <c r="C172">
        <v>2</v>
      </c>
      <c r="E172" t="s">
        <v>1651</v>
      </c>
      <c r="F172">
        <v>3</v>
      </c>
    </row>
    <row r="173" spans="2:6" x14ac:dyDescent="0.35">
      <c r="B173" t="str">
        <v>Castlelake</v>
      </c>
      <c r="C173">
        <v>1</v>
      </c>
      <c r="E173" t="s">
        <v>2205</v>
      </c>
      <c r="F173">
        <v>3</v>
      </c>
    </row>
    <row r="174" spans="2:6" x14ac:dyDescent="0.35">
      <c r="B174" t="str">
        <v>Artfo Holdings</v>
      </c>
      <c r="C174">
        <v>1</v>
      </c>
      <c r="E174" t="s">
        <v>784</v>
      </c>
      <c r="F174">
        <v>3</v>
      </c>
    </row>
    <row r="175" spans="2:6" x14ac:dyDescent="0.35">
      <c r="B175" t="str">
        <v>Beni Venture Capital</v>
      </c>
      <c r="C175">
        <v>3</v>
      </c>
      <c r="E175" t="s">
        <v>2208</v>
      </c>
      <c r="F175">
        <v>3</v>
      </c>
    </row>
    <row r="176" spans="2:6" x14ac:dyDescent="0.35">
      <c r="B176" t="str">
        <v>Breakthrough Energy</v>
      </c>
      <c r="C176">
        <v>10</v>
      </c>
      <c r="E176" t="s">
        <v>2205</v>
      </c>
      <c r="F176">
        <v>3</v>
      </c>
    </row>
    <row r="177" spans="2:6" x14ac:dyDescent="0.35">
      <c r="B177" t="str">
        <v>Devonshire Investors</v>
      </c>
      <c r="C177">
        <v>1</v>
      </c>
      <c r="E177" t="s">
        <v>1804</v>
      </c>
      <c r="F177">
        <v>3</v>
      </c>
    </row>
    <row r="178" spans="2:6" x14ac:dyDescent="0.35">
      <c r="B178" t="str">
        <v>Engine Ventures</v>
      </c>
      <c r="C178">
        <v>4</v>
      </c>
      <c r="E178" t="s">
        <v>784</v>
      </c>
      <c r="F178">
        <v>3</v>
      </c>
    </row>
    <row r="179" spans="2:6" x14ac:dyDescent="0.35">
      <c r="B179" t="str">
        <v>Equinor Venturses</v>
      </c>
      <c r="C179">
        <v>1</v>
      </c>
      <c r="E179" t="s">
        <v>2208</v>
      </c>
      <c r="F179">
        <v>3</v>
      </c>
    </row>
    <row r="180" spans="2:6" x14ac:dyDescent="0.35">
      <c r="B180" t="str">
        <v>Futures Ventures</v>
      </c>
      <c r="C180">
        <v>1</v>
      </c>
      <c r="E180" t="s">
        <v>2205</v>
      </c>
      <c r="F180">
        <v>3</v>
      </c>
    </row>
    <row r="181" spans="2:6" x14ac:dyDescent="0.35">
      <c r="B181" t="str">
        <v>Hostplus Superannuation Fund</v>
      </c>
      <c r="C181">
        <v>2</v>
      </c>
      <c r="E181" t="s">
        <v>1825</v>
      </c>
      <c r="F181">
        <v>3</v>
      </c>
    </row>
    <row r="182" spans="2:6" x14ac:dyDescent="0.35">
      <c r="B182" t="str">
        <v>Khosla Ventures</v>
      </c>
      <c r="C182">
        <v>6</v>
      </c>
      <c r="E182" t="s">
        <v>1879</v>
      </c>
      <c r="F182">
        <v>3</v>
      </c>
    </row>
    <row r="183" spans="2:6" x14ac:dyDescent="0.35">
      <c r="B183" t="str">
        <v>Lowercarbon Capital</v>
      </c>
      <c r="C183">
        <v>7</v>
      </c>
      <c r="E183" t="s">
        <v>1879</v>
      </c>
      <c r="F183">
        <v>3</v>
      </c>
    </row>
    <row r="184" spans="2:6" x14ac:dyDescent="0.35">
      <c r="B184" t="str">
        <v>Moore Strategic Ventures</v>
      </c>
      <c r="C184">
        <v>1</v>
      </c>
      <c r="E184" t="s">
        <v>1886</v>
      </c>
      <c r="F184">
        <v>3</v>
      </c>
    </row>
    <row r="185" spans="2:6" x14ac:dyDescent="0.35">
      <c r="B185" t="str">
        <v>Prime Movers Lab</v>
      </c>
      <c r="C185">
        <v>1</v>
      </c>
      <c r="E185" t="s">
        <v>2208</v>
      </c>
      <c r="F185">
        <v>3</v>
      </c>
    </row>
    <row r="186" spans="2:6" x14ac:dyDescent="0.35">
      <c r="B186" t="str">
        <v>Safar Partners</v>
      </c>
      <c r="C186">
        <v>7</v>
      </c>
      <c r="E186" t="s">
        <v>1499</v>
      </c>
      <c r="F186">
        <v>2</v>
      </c>
    </row>
    <row r="187" spans="2:6" x14ac:dyDescent="0.35">
      <c r="B187" t="str">
        <v>Schooner Capital</v>
      </c>
      <c r="C187">
        <v>1</v>
      </c>
      <c r="E187" t="s">
        <v>470</v>
      </c>
      <c r="F187">
        <v>2</v>
      </c>
    </row>
    <row r="188" spans="2:6" x14ac:dyDescent="0.35">
      <c r="B188" t="str">
        <v>Starlight Ventures</v>
      </c>
      <c r="C188">
        <v>4</v>
      </c>
      <c r="E188" t="s">
        <v>470</v>
      </c>
      <c r="F188">
        <v>2</v>
      </c>
    </row>
    <row r="189" spans="2:6" x14ac:dyDescent="0.35">
      <c r="B189" t="str">
        <v>Temasek Holdings</v>
      </c>
      <c r="C189">
        <v>9</v>
      </c>
      <c r="E189" t="s">
        <v>1512</v>
      </c>
      <c r="F189">
        <v>2</v>
      </c>
    </row>
    <row r="190" spans="2:6" x14ac:dyDescent="0.35">
      <c r="B190" t="str">
        <v>Yild Capital Partners</v>
      </c>
      <c r="C190">
        <v>1</v>
      </c>
      <c r="E190" t="s">
        <v>1514</v>
      </c>
      <c r="F190">
        <v>2</v>
      </c>
    </row>
    <row r="191" spans="2:6" x14ac:dyDescent="0.35">
      <c r="B191" t="str">
        <v>31Ventures</v>
      </c>
      <c r="C191">
        <v>1</v>
      </c>
      <c r="E191" t="s">
        <v>1516</v>
      </c>
      <c r="F191">
        <v>2</v>
      </c>
    </row>
    <row r="192" spans="2:6" x14ac:dyDescent="0.35">
      <c r="B192" t="str">
        <v>Breakthrough Energy</v>
      </c>
      <c r="C192">
        <v>10</v>
      </c>
      <c r="E192" t="s">
        <v>1520</v>
      </c>
      <c r="F192">
        <v>2</v>
      </c>
    </row>
    <row r="193" spans="2:6" x14ac:dyDescent="0.35">
      <c r="B193" t="str">
        <v>Brevan Howard Macro Venture Fund</v>
      </c>
      <c r="C193">
        <v>1</v>
      </c>
      <c r="E193" t="s">
        <v>1521</v>
      </c>
      <c r="F193">
        <v>2</v>
      </c>
    </row>
    <row r="194" spans="2:6" x14ac:dyDescent="0.35">
      <c r="B194" t="str">
        <v>Eni Next, FFA Private Bank Dubai, NTT Docomo Ventures</v>
      </c>
      <c r="C194">
        <v>1</v>
      </c>
      <c r="E194" t="s">
        <v>1523</v>
      </c>
      <c r="F194">
        <v>2</v>
      </c>
    </row>
    <row r="195" spans="2:6" x14ac:dyDescent="0.35">
      <c r="B195" t="str">
        <v>Mitsui &amp; Company</v>
      </c>
      <c r="C195">
        <v>3</v>
      </c>
      <c r="E195" t="s">
        <v>1525</v>
      </c>
      <c r="F195">
        <v>2</v>
      </c>
    </row>
    <row r="196" spans="2:6" x14ac:dyDescent="0.35">
      <c r="B196" t="str">
        <v>Mitsubishi Corporation Urban Development</v>
      </c>
      <c r="C196">
        <v>1</v>
      </c>
      <c r="E196" t="s">
        <v>1441</v>
      </c>
      <c r="F196">
        <v>2</v>
      </c>
    </row>
    <row r="197" spans="2:6" x14ac:dyDescent="0.35">
      <c r="B197" t="str">
        <v>Development Bank of Japan</v>
      </c>
      <c r="C197">
        <v>2</v>
      </c>
      <c r="E197" t="s">
        <v>1520</v>
      </c>
      <c r="F197">
        <v>2</v>
      </c>
    </row>
    <row r="198" spans="2:6" x14ac:dyDescent="0.35">
      <c r="B198" t="str">
        <v>Fujikura</v>
      </c>
      <c r="C198">
        <v>1</v>
      </c>
      <c r="E198" t="s">
        <v>1523</v>
      </c>
      <c r="F198">
        <v>2</v>
      </c>
    </row>
    <row r="199" spans="2:6" x14ac:dyDescent="0.35">
      <c r="B199" t="str">
        <v>Jera</v>
      </c>
      <c r="C199">
        <v>1</v>
      </c>
      <c r="E199" t="s">
        <v>1441</v>
      </c>
      <c r="F199">
        <v>2</v>
      </c>
    </row>
    <row r="200" spans="2:6" x14ac:dyDescent="0.35">
      <c r="B200" t="str">
        <v>NVentures</v>
      </c>
      <c r="C200">
        <v>1</v>
      </c>
      <c r="E200" t="s">
        <v>1533</v>
      </c>
      <c r="F200">
        <v>2</v>
      </c>
    </row>
    <row r="201" spans="2:6" x14ac:dyDescent="0.35">
      <c r="B201" t="str">
        <v>Mitsui Fudosan</v>
      </c>
      <c r="C201">
        <v>2</v>
      </c>
      <c r="E201" t="s">
        <v>1525</v>
      </c>
      <c r="F201">
        <v>2</v>
      </c>
    </row>
    <row r="202" spans="2:6" x14ac:dyDescent="0.35">
      <c r="B202" t="str">
        <v>Nvidia</v>
      </c>
      <c r="C202">
        <v>1</v>
      </c>
      <c r="E202" t="s">
        <v>1549</v>
      </c>
      <c r="F202">
        <v>2</v>
      </c>
    </row>
    <row r="203" spans="2:6" x14ac:dyDescent="0.35">
      <c r="B203" t="str">
        <v>Mitsui O.S.K. Lines</v>
      </c>
      <c r="C203">
        <v>1</v>
      </c>
      <c r="E203" t="s">
        <v>1440</v>
      </c>
      <c r="F203">
        <v>2</v>
      </c>
    </row>
    <row r="204" spans="2:6" x14ac:dyDescent="0.35">
      <c r="B204" t="str">
        <v>Kansai Electric Power</v>
      </c>
      <c r="C204">
        <v>1</v>
      </c>
      <c r="E204" t="s">
        <v>1557</v>
      </c>
      <c r="F204">
        <v>2</v>
      </c>
    </row>
    <row r="205" spans="2:6" x14ac:dyDescent="0.35">
      <c r="B205" t="str">
        <v>K4 Ventures</v>
      </c>
      <c r="C205">
        <v>1</v>
      </c>
      <c r="E205" t="s">
        <v>1559</v>
      </c>
      <c r="F205">
        <v>2</v>
      </c>
    </row>
    <row r="206" spans="2:6" x14ac:dyDescent="0.35">
      <c r="B206" t="str">
        <v>Woori Financial Group</v>
      </c>
      <c r="C206">
        <v>1</v>
      </c>
      <c r="E206" t="s">
        <v>776</v>
      </c>
      <c r="F206">
        <v>2</v>
      </c>
    </row>
    <row r="207" spans="2:6" x14ac:dyDescent="0.35">
      <c r="B207" t="str">
        <v>NTT QONOQ</v>
      </c>
      <c r="C207">
        <v>1</v>
      </c>
      <c r="E207" t="s">
        <v>1559</v>
      </c>
      <c r="F207">
        <v>2</v>
      </c>
    </row>
    <row r="208" spans="2:6" x14ac:dyDescent="0.35">
      <c r="B208" t="str">
        <v>Planet First Partners</v>
      </c>
      <c r="C208">
        <v>1</v>
      </c>
      <c r="E208" t="s">
        <v>1562</v>
      </c>
      <c r="F208">
        <v>2</v>
      </c>
    </row>
    <row r="209" spans="2:6" x14ac:dyDescent="0.35">
      <c r="B209" t="str">
        <v>HOF Capital</v>
      </c>
      <c r="C209">
        <v>1</v>
      </c>
      <c r="E209" t="s">
        <v>1567</v>
      </c>
      <c r="F209">
        <v>2</v>
      </c>
    </row>
    <row r="210" spans="2:6" x14ac:dyDescent="0.35">
      <c r="B210" t="str">
        <v>Evolution VC Partners</v>
      </c>
      <c r="C210">
        <v>1</v>
      </c>
      <c r="E210" t="s">
        <v>1569</v>
      </c>
      <c r="F210">
        <v>2</v>
      </c>
    </row>
    <row r="211" spans="2:6" x14ac:dyDescent="0.35">
      <c r="B211" t="str">
        <v>Gigascale Capital</v>
      </c>
      <c r="C211">
        <v>3</v>
      </c>
      <c r="E211" t="s">
        <v>1570</v>
      </c>
      <c r="F211">
        <v>2</v>
      </c>
    </row>
    <row r="212" spans="2:6" x14ac:dyDescent="0.35">
      <c r="B212" t="str">
        <v>NEVA SGR</v>
      </c>
      <c r="C212">
        <v>1</v>
      </c>
      <c r="E212" t="s">
        <v>1571</v>
      </c>
      <c r="F212">
        <v>2</v>
      </c>
    </row>
    <row r="213" spans="2:6" x14ac:dyDescent="0.35">
      <c r="B213" t="str">
        <v>Standish Spring Investments</v>
      </c>
      <c r="C213">
        <v>1</v>
      </c>
      <c r="E213" t="s">
        <v>1430</v>
      </c>
      <c r="F213">
        <v>2</v>
      </c>
    </row>
    <row r="214" spans="2:6" x14ac:dyDescent="0.35">
      <c r="B214" t="str">
        <v>Khosla Ventures</v>
      </c>
      <c r="C214">
        <v>6</v>
      </c>
      <c r="E214" t="s">
        <v>1567</v>
      </c>
      <c r="F214">
        <v>2</v>
      </c>
    </row>
    <row r="215" spans="2:6" x14ac:dyDescent="0.35">
      <c r="B215" t="str">
        <v>Future Ventures</v>
      </c>
      <c r="C215">
        <v>2</v>
      </c>
      <c r="E215" t="s">
        <v>1581</v>
      </c>
      <c r="F215">
        <v>2</v>
      </c>
    </row>
    <row r="216" spans="2:6" x14ac:dyDescent="0.35">
      <c r="B216" t="str">
        <v>Safar Partners</v>
      </c>
      <c r="C216">
        <v>7</v>
      </c>
      <c r="E216" t="s">
        <v>570</v>
      </c>
      <c r="F216">
        <v>2</v>
      </c>
    </row>
    <row r="217" spans="2:6" x14ac:dyDescent="0.35">
      <c r="B217" t="str">
        <v>Starlight Ventures</v>
      </c>
      <c r="C217">
        <v>4</v>
      </c>
      <c r="E217" t="s">
        <v>570</v>
      </c>
      <c r="F217">
        <v>2</v>
      </c>
    </row>
    <row r="218" spans="2:6" x14ac:dyDescent="0.35">
      <c r="B218" t="str">
        <v>Lowercarbon Capital</v>
      </c>
      <c r="C218">
        <v>7</v>
      </c>
      <c r="E218" t="s">
        <v>1587</v>
      </c>
      <c r="F218">
        <v>2</v>
      </c>
    </row>
    <row r="219" spans="2:6" x14ac:dyDescent="0.35">
      <c r="B219" t="str">
        <v>Tiger Global Management</v>
      </c>
      <c r="C219">
        <v>1</v>
      </c>
      <c r="E219" t="s">
        <v>1594</v>
      </c>
      <c r="F219">
        <v>2</v>
      </c>
    </row>
    <row r="220" spans="2:6" x14ac:dyDescent="0.35">
      <c r="B220" t="str">
        <v>Global Brain</v>
      </c>
      <c r="C220">
        <v>2</v>
      </c>
      <c r="E220" t="s">
        <v>1597</v>
      </c>
      <c r="F220">
        <v>2</v>
      </c>
    </row>
    <row r="221" spans="2:6" x14ac:dyDescent="0.35">
      <c r="B221" t="str">
        <v>Galaxy Interactive</v>
      </c>
      <c r="C221">
        <v>1</v>
      </c>
      <c r="E221" t="s">
        <v>1599</v>
      </c>
      <c r="F221">
        <v>2</v>
      </c>
    </row>
    <row r="222" spans="2:6" x14ac:dyDescent="0.35">
      <c r="B222" t="str">
        <v>Gates Frontier</v>
      </c>
      <c r="C222">
        <v>2</v>
      </c>
      <c r="E222" t="s">
        <v>1601</v>
      </c>
      <c r="F222">
        <v>2</v>
      </c>
    </row>
    <row r="223" spans="2:6" x14ac:dyDescent="0.35">
      <c r="B223" t="str">
        <v>Stanley F. Druckenmiller</v>
      </c>
      <c r="C223">
        <v>1</v>
      </c>
      <c r="E223" t="s">
        <v>1616</v>
      </c>
      <c r="F223">
        <v>2</v>
      </c>
    </row>
    <row r="224" spans="2:6" x14ac:dyDescent="0.35">
      <c r="B224" t="str">
        <v>Eric Schmidt</v>
      </c>
      <c r="C224">
        <v>1</v>
      </c>
      <c r="E224" t="s">
        <v>484</v>
      </c>
      <c r="F224">
        <v>2</v>
      </c>
    </row>
    <row r="225" spans="2:6" x14ac:dyDescent="0.35">
      <c r="B225" t="str">
        <v>Sumitomo Mitsui Trust Bank</v>
      </c>
      <c r="C225">
        <v>1</v>
      </c>
      <c r="E225" t="s">
        <v>1628</v>
      </c>
      <c r="F225">
        <v>2</v>
      </c>
    </row>
    <row r="226" spans="2:6" x14ac:dyDescent="0.35">
      <c r="B226" t="str">
        <v>Sumitomo Mitsui Banking</v>
      </c>
      <c r="C226">
        <v>1</v>
      </c>
      <c r="E226" t="s">
        <v>1638</v>
      </c>
      <c r="F226">
        <v>2</v>
      </c>
    </row>
    <row r="227" spans="2:6" x14ac:dyDescent="0.35">
      <c r="B227" t="str">
        <v>JGC Holdings</v>
      </c>
      <c r="C227">
        <v>1</v>
      </c>
      <c r="E227" t="s">
        <v>1571</v>
      </c>
      <c r="F227">
        <v>2</v>
      </c>
    </row>
    <row r="228" spans="2:6" x14ac:dyDescent="0.35">
      <c r="B228" t="str">
        <v>Brightwing Capital</v>
      </c>
      <c r="C228">
        <v>1</v>
      </c>
      <c r="E228" t="s">
        <v>1654</v>
      </c>
      <c r="F228">
        <v>2</v>
      </c>
    </row>
    <row r="229" spans="2:6" x14ac:dyDescent="0.35">
      <c r="B229" t="str">
        <v>One Madison Group</v>
      </c>
      <c r="C229">
        <v>1</v>
      </c>
      <c r="E229" t="s">
        <v>1570</v>
      </c>
      <c r="F229">
        <v>2</v>
      </c>
    </row>
    <row r="230" spans="2:6" x14ac:dyDescent="0.35">
      <c r="B230" t="str">
        <v>Emerson Collective</v>
      </c>
      <c r="C230">
        <v>2</v>
      </c>
      <c r="E230" t="s">
        <v>1657</v>
      </c>
      <c r="F230">
        <v>2</v>
      </c>
    </row>
    <row r="231" spans="2:6" x14ac:dyDescent="0.35">
      <c r="B231" t="str">
        <v>Google Foundation</v>
      </c>
      <c r="C231">
        <v>1</v>
      </c>
      <c r="E231" t="s">
        <v>1665</v>
      </c>
      <c r="F231">
        <v>2</v>
      </c>
    </row>
    <row r="232" spans="2:6" x14ac:dyDescent="0.35">
      <c r="B232" t="str">
        <v>Hostplus Superannuation Fund</v>
      </c>
      <c r="C232">
        <v>2</v>
      </c>
      <c r="E232" t="s">
        <v>1628</v>
      </c>
      <c r="F232">
        <v>2</v>
      </c>
    </row>
    <row r="233" spans="2:6" x14ac:dyDescent="0.35">
      <c r="B233" t="str">
        <v>Ripple Impact Investments</v>
      </c>
      <c r="C233">
        <v>1</v>
      </c>
      <c r="E233" t="s">
        <v>1676</v>
      </c>
      <c r="F233">
        <v>2</v>
      </c>
    </row>
    <row r="234" spans="2:6" x14ac:dyDescent="0.35">
      <c r="B234" t="str">
        <v>Doorga Capital</v>
      </c>
      <c r="C234">
        <v>1</v>
      </c>
      <c r="E234" t="s">
        <v>1677</v>
      </c>
      <c r="F234">
        <v>2</v>
      </c>
    </row>
    <row r="235" spans="2:6" x14ac:dyDescent="0.35">
      <c r="B235" t="str">
        <v>Counterpoint Global</v>
      </c>
      <c r="C235">
        <v>1</v>
      </c>
      <c r="E235" t="s">
        <v>1676</v>
      </c>
      <c r="F235">
        <v>2</v>
      </c>
    </row>
    <row r="236" spans="2:6" x14ac:dyDescent="0.35">
      <c r="B236" t="str">
        <v>Catalus Capital Management (Saif Qazi)</v>
      </c>
      <c r="C236">
        <v>1</v>
      </c>
      <c r="E236" t="s">
        <v>1677</v>
      </c>
      <c r="F236">
        <v>2</v>
      </c>
    </row>
    <row r="237" spans="2:6" x14ac:dyDescent="0.35">
      <c r="B237" t="str">
        <v>Plug and Play Tech Center</v>
      </c>
      <c r="C237">
        <v>4</v>
      </c>
      <c r="E237" t="s">
        <v>1512</v>
      </c>
      <c r="F237">
        <v>2</v>
      </c>
    </row>
    <row r="238" spans="2:6" x14ac:dyDescent="0.35">
      <c r="B238" t="str">
        <v>Highland Ventures Group</v>
      </c>
      <c r="C238">
        <v>1</v>
      </c>
      <c r="E238" t="s">
        <v>1689</v>
      </c>
      <c r="F238">
        <v>2</v>
      </c>
    </row>
    <row r="239" spans="2:6" x14ac:dyDescent="0.35">
      <c r="B239" t="str">
        <v>Catchlight Ventures</v>
      </c>
      <c r="C239">
        <v>1</v>
      </c>
      <c r="E239" t="s">
        <v>576</v>
      </c>
      <c r="F239">
        <v>2</v>
      </c>
    </row>
    <row r="240" spans="2:6" x14ac:dyDescent="0.35">
      <c r="B240" t="str">
        <v>Collaborative Fund</v>
      </c>
      <c r="C240">
        <v>8</v>
      </c>
      <c r="E240" t="s">
        <v>1444</v>
      </c>
      <c r="F240">
        <v>2</v>
      </c>
    </row>
    <row r="241" spans="2:6" x14ac:dyDescent="0.35">
      <c r="B241" t="str">
        <v>Comcast Ventures</v>
      </c>
      <c r="C241">
        <v>1</v>
      </c>
      <c r="E241" t="s">
        <v>1691</v>
      </c>
      <c r="F241">
        <v>2</v>
      </c>
    </row>
    <row r="242" spans="2:6" x14ac:dyDescent="0.35">
      <c r="B242" t="str">
        <v>Ground Up Ventures</v>
      </c>
      <c r="C242">
        <v>1</v>
      </c>
      <c r="E242" t="s">
        <v>1594</v>
      </c>
      <c r="F242">
        <v>2</v>
      </c>
    </row>
    <row r="243" spans="2:6" x14ac:dyDescent="0.35">
      <c r="B243" t="str">
        <v>GV</v>
      </c>
      <c r="C243">
        <v>3</v>
      </c>
      <c r="E243" t="s">
        <v>1581</v>
      </c>
      <c r="F243">
        <v>2</v>
      </c>
    </row>
    <row r="244" spans="2:6" x14ac:dyDescent="0.35">
      <c r="B244" t="str">
        <v>Lennar Ventures</v>
      </c>
      <c r="C244">
        <v>2</v>
      </c>
      <c r="E244" t="s">
        <v>1697</v>
      </c>
      <c r="F244">
        <v>2</v>
      </c>
    </row>
    <row r="245" spans="2:6" x14ac:dyDescent="0.35">
      <c r="B245" t="str">
        <v>New Enterprise Associates</v>
      </c>
      <c r="C245">
        <v>2</v>
      </c>
      <c r="E245" t="s">
        <v>1707</v>
      </c>
      <c r="F245">
        <v>2</v>
      </c>
    </row>
    <row r="246" spans="2:6" x14ac:dyDescent="0.35">
      <c r="B246" t="str">
        <v>Breakthrough Energy</v>
      </c>
      <c r="C246">
        <v>10</v>
      </c>
      <c r="E246" t="s">
        <v>1708</v>
      </c>
      <c r="F246">
        <v>2</v>
      </c>
    </row>
    <row r="247" spans="2:6" x14ac:dyDescent="0.35">
      <c r="B247" t="str">
        <v>Building Ventures</v>
      </c>
      <c r="C247">
        <v>1</v>
      </c>
      <c r="E247" t="s">
        <v>1709</v>
      </c>
      <c r="F247">
        <v>2</v>
      </c>
    </row>
    <row r="248" spans="2:6" x14ac:dyDescent="0.35">
      <c r="B248" t="str">
        <v>Collaborative Fund</v>
      </c>
      <c r="C248">
        <v>8</v>
      </c>
      <c r="E248" t="s">
        <v>1714</v>
      </c>
      <c r="F248">
        <v>2</v>
      </c>
    </row>
    <row r="249" spans="2:6" x14ac:dyDescent="0.35">
      <c r="B249" t="str">
        <v>David Stark</v>
      </c>
      <c r="C249">
        <v>1</v>
      </c>
      <c r="E249" t="s">
        <v>1722</v>
      </c>
      <c r="F249">
        <v>2</v>
      </c>
    </row>
    <row r="250" spans="2:6" x14ac:dyDescent="0.35">
      <c r="B250" t="str">
        <v>GV</v>
      </c>
      <c r="C250">
        <v>3</v>
      </c>
      <c r="E250" t="s">
        <v>1410</v>
      </c>
      <c r="F250">
        <v>2</v>
      </c>
    </row>
    <row r="251" spans="2:6" x14ac:dyDescent="0.35">
      <c r="B251" t="str">
        <v>HiJoJo Partners</v>
      </c>
      <c r="C251">
        <v>1</v>
      </c>
      <c r="E251" t="s">
        <v>580</v>
      </c>
      <c r="F251">
        <v>2</v>
      </c>
    </row>
    <row r="252" spans="2:6" x14ac:dyDescent="0.35">
      <c r="B252" t="str">
        <v>Lennar Ventures</v>
      </c>
      <c r="C252">
        <v>2</v>
      </c>
      <c r="E252" t="s">
        <v>580</v>
      </c>
      <c r="F252">
        <v>2</v>
      </c>
    </row>
    <row r="253" spans="2:6" x14ac:dyDescent="0.35">
      <c r="B253" t="str">
        <v>Michael Sachse</v>
      </c>
      <c r="C253">
        <v>1</v>
      </c>
      <c r="E253" t="s">
        <v>1601</v>
      </c>
      <c r="F253">
        <v>2</v>
      </c>
    </row>
    <row r="254" spans="2:6" x14ac:dyDescent="0.35">
      <c r="B254" t="str">
        <v>New Enterprise Associates</v>
      </c>
      <c r="C254">
        <v>2</v>
      </c>
      <c r="E254" t="s">
        <v>1562</v>
      </c>
      <c r="F254">
        <v>2</v>
      </c>
    </row>
    <row r="255" spans="2:6" x14ac:dyDescent="0.35">
      <c r="B255" t="str">
        <v>NGP Energy Capital Management</v>
      </c>
      <c r="C255">
        <v>2</v>
      </c>
      <c r="E255" t="s">
        <v>1741</v>
      </c>
      <c r="F255">
        <v>2</v>
      </c>
    </row>
    <row r="256" spans="2:6" x14ac:dyDescent="0.35">
      <c r="B256" t="str">
        <v>NGP Energy Technology Partners</v>
      </c>
      <c r="C256">
        <v>1</v>
      </c>
      <c r="E256" t="s">
        <v>1745</v>
      </c>
      <c r="F256">
        <v>2</v>
      </c>
    </row>
    <row r="257" spans="2:6" x14ac:dyDescent="0.35">
      <c r="B257" t="str">
        <v>OurCrowd</v>
      </c>
      <c r="C257">
        <v>1</v>
      </c>
      <c r="E257" t="s">
        <v>1755</v>
      </c>
      <c r="F257">
        <v>2</v>
      </c>
    </row>
    <row r="258" spans="2:6" x14ac:dyDescent="0.35">
      <c r="B258" t="str">
        <v>Sam Landman</v>
      </c>
      <c r="C258">
        <v>1</v>
      </c>
      <c r="E258" t="s">
        <v>1762</v>
      </c>
      <c r="F258">
        <v>2</v>
      </c>
    </row>
    <row r="259" spans="2:6" x14ac:dyDescent="0.35">
      <c r="B259" t="str">
        <v>Tim Krebs</v>
      </c>
      <c r="C259">
        <v>1</v>
      </c>
      <c r="E259" t="s">
        <v>1549</v>
      </c>
      <c r="F259">
        <v>2</v>
      </c>
    </row>
    <row r="260" spans="2:6" x14ac:dyDescent="0.35">
      <c r="B260" t="str">
        <v>Travis Connors</v>
      </c>
      <c r="C260">
        <v>1</v>
      </c>
      <c r="E260" t="s">
        <v>1444</v>
      </c>
      <c r="F260">
        <v>2</v>
      </c>
    </row>
    <row r="261" spans="2:6" x14ac:dyDescent="0.35">
      <c r="B261" t="str">
        <v>Salutem Capital</v>
      </c>
      <c r="C261">
        <v>1</v>
      </c>
      <c r="E261" t="s">
        <v>1638</v>
      </c>
      <c r="F261">
        <v>2</v>
      </c>
    </row>
    <row r="262" spans="2:6" x14ac:dyDescent="0.35">
      <c r="B262" t="str">
        <v>Beni Venture Capital</v>
      </c>
      <c r="C262">
        <v>3</v>
      </c>
      <c r="E262" t="s">
        <v>1787</v>
      </c>
      <c r="F262">
        <v>2</v>
      </c>
    </row>
    <row r="263" spans="2:6" x14ac:dyDescent="0.35">
      <c r="B263" t="str">
        <v>Demos Capital</v>
      </c>
      <c r="C263">
        <v>1</v>
      </c>
      <c r="E263" t="s">
        <v>1741</v>
      </c>
      <c r="F263">
        <v>2</v>
      </c>
    </row>
    <row r="264" spans="2:6" x14ac:dyDescent="0.35">
      <c r="B264" t="str">
        <v>Ithaca Area Economic Development</v>
      </c>
      <c r="C264">
        <v>1</v>
      </c>
      <c r="E264" t="s">
        <v>1714</v>
      </c>
      <c r="F264">
        <v>2</v>
      </c>
    </row>
    <row r="265" spans="2:6" x14ac:dyDescent="0.35">
      <c r="B265" t="str">
        <v>New Climate Ventures</v>
      </c>
      <c r="C265">
        <v>2</v>
      </c>
      <c r="E265" t="s">
        <v>582</v>
      </c>
      <c r="F265">
        <v>2</v>
      </c>
    </row>
    <row r="266" spans="2:6" x14ac:dyDescent="0.35">
      <c r="B266" t="str">
        <v>New York Ventures</v>
      </c>
      <c r="C266">
        <v>2</v>
      </c>
      <c r="E266" t="s">
        <v>1801</v>
      </c>
      <c r="F266">
        <v>2</v>
      </c>
    </row>
    <row r="267" spans="2:6" x14ac:dyDescent="0.35">
      <c r="B267" t="str">
        <v>United Airlines Ventures</v>
      </c>
      <c r="C267">
        <v>2</v>
      </c>
      <c r="E267" t="s">
        <v>1803</v>
      </c>
      <c r="F267">
        <v>2</v>
      </c>
    </row>
    <row r="268" spans="2:6" x14ac:dyDescent="0.35">
      <c r="B268" t="str">
        <v>Bacchus Venture Capital</v>
      </c>
      <c r="C268">
        <v>1</v>
      </c>
      <c r="E268" t="s">
        <v>1827</v>
      </c>
      <c r="F268">
        <v>2</v>
      </c>
    </row>
    <row r="269" spans="2:6" x14ac:dyDescent="0.35">
      <c r="B269" t="str">
        <v>Constellation Technology Ventures</v>
      </c>
      <c r="C269">
        <v>2</v>
      </c>
      <c r="E269" t="s">
        <v>1835</v>
      </c>
      <c r="F269">
        <v>2</v>
      </c>
    </row>
    <row r="270" spans="2:6" x14ac:dyDescent="0.35">
      <c r="B270" t="str">
        <v>Evok Innovations</v>
      </c>
      <c r="C270">
        <v>4</v>
      </c>
      <c r="E270" t="s">
        <v>1835</v>
      </c>
      <c r="F270">
        <v>2</v>
      </c>
    </row>
    <row r="271" spans="2:6" x14ac:dyDescent="0.35">
      <c r="B271" t="str">
        <v>Halliburton Labs</v>
      </c>
      <c r="C271">
        <v>1</v>
      </c>
      <c r="E271" t="s">
        <v>781</v>
      </c>
      <c r="F271">
        <v>2</v>
      </c>
    </row>
    <row r="272" spans="2:6" x14ac:dyDescent="0.35">
      <c r="B272" t="str">
        <v>The Think &amp; Act Differently</v>
      </c>
      <c r="C272">
        <v>1</v>
      </c>
      <c r="E272" t="s">
        <v>781</v>
      </c>
      <c r="F272">
        <v>2</v>
      </c>
    </row>
    <row r="273" spans="2:6" x14ac:dyDescent="0.35">
      <c r="B273" t="str">
        <v>Valor Equity Partners</v>
      </c>
      <c r="C273">
        <v>2</v>
      </c>
      <c r="E273" t="s">
        <v>1438</v>
      </c>
      <c r="F273">
        <v>2</v>
      </c>
    </row>
    <row r="274" spans="2:6" x14ac:dyDescent="0.35">
      <c r="B274" t="str">
        <v>Veriten</v>
      </c>
      <c r="C274">
        <v>1</v>
      </c>
      <c r="E274" t="s">
        <v>1438</v>
      </c>
      <c r="F274">
        <v>2</v>
      </c>
    </row>
    <row r="275" spans="2:6" x14ac:dyDescent="0.35">
      <c r="B275" t="str">
        <v>Clair-vest Group</v>
      </c>
      <c r="C275">
        <v>1</v>
      </c>
      <c r="E275" t="s">
        <v>1860</v>
      </c>
      <c r="F275">
        <v>2</v>
      </c>
    </row>
    <row r="276" spans="2:6" x14ac:dyDescent="0.35">
      <c r="B276" t="str">
        <v>Beresford Ventures</v>
      </c>
      <c r="C276">
        <v>2</v>
      </c>
      <c r="E276" t="s">
        <v>1864</v>
      </c>
      <c r="F276">
        <v>2</v>
      </c>
    </row>
    <row r="277" spans="2:6" x14ac:dyDescent="0.35">
      <c r="B277" t="str">
        <v>Draper Cygnus</v>
      </c>
      <c r="C277">
        <v>1</v>
      </c>
      <c r="E277" t="s">
        <v>1587</v>
      </c>
      <c r="F277">
        <v>2</v>
      </c>
    </row>
    <row r="278" spans="2:6" x14ac:dyDescent="0.35">
      <c r="B278" t="str">
        <v>Ecosphere Ventures</v>
      </c>
      <c r="C278">
        <v>2</v>
      </c>
      <c r="E278" t="s">
        <v>1597</v>
      </c>
      <c r="F278">
        <v>2</v>
      </c>
    </row>
    <row r="279" spans="2:6" x14ac:dyDescent="0.35">
      <c r="B279" t="str">
        <v>Globalive Capital</v>
      </c>
      <c r="C279">
        <v>1</v>
      </c>
      <c r="E279" t="s">
        <v>1877</v>
      </c>
      <c r="F279">
        <v>2</v>
      </c>
    </row>
    <row r="280" spans="2:6" x14ac:dyDescent="0.35">
      <c r="B280" t="str">
        <v>Murchison Capital Partners</v>
      </c>
      <c r="C280">
        <v>1</v>
      </c>
      <c r="E280" t="s">
        <v>1878</v>
      </c>
      <c r="F280">
        <v>2</v>
      </c>
    </row>
    <row r="281" spans="2:6" x14ac:dyDescent="0.35">
      <c r="B281" t="str">
        <v>Murchison Ventures</v>
      </c>
      <c r="C281">
        <v>1</v>
      </c>
      <c r="E281" t="s">
        <v>1884</v>
      </c>
      <c r="F281">
        <v>2</v>
      </c>
    </row>
    <row r="282" spans="2:6" x14ac:dyDescent="0.35">
      <c r="B282" t="str">
        <v>Threshold Impact</v>
      </c>
      <c r="C282">
        <v>1</v>
      </c>
      <c r="E282" t="s">
        <v>1885</v>
      </c>
      <c r="F282">
        <v>2</v>
      </c>
    </row>
    <row r="283" spans="2:6" x14ac:dyDescent="0.35">
      <c r="B283" t="str">
        <v>William Tunstall-Pedoe</v>
      </c>
      <c r="C283">
        <v>1</v>
      </c>
      <c r="E283" t="s">
        <v>1888</v>
      </c>
      <c r="F283">
        <v>2</v>
      </c>
    </row>
    <row r="284" spans="2:6" x14ac:dyDescent="0.35">
      <c r="B284" t="str">
        <v>EDC Investments</v>
      </c>
      <c r="C284">
        <v>1</v>
      </c>
      <c r="E284" t="s">
        <v>1899</v>
      </c>
      <c r="F284">
        <v>2</v>
      </c>
    </row>
    <row r="285" spans="2:6" x14ac:dyDescent="0.35">
      <c r="B285" t="str">
        <v>Evok Innovations</v>
      </c>
      <c r="C285">
        <v>4</v>
      </c>
      <c r="E285" t="s">
        <v>1901</v>
      </c>
      <c r="F285">
        <v>2</v>
      </c>
    </row>
    <row r="286" spans="2:6" x14ac:dyDescent="0.35">
      <c r="B286" t="str">
        <v>Graphite Ventures</v>
      </c>
      <c r="C286">
        <v>1</v>
      </c>
      <c r="E286" t="s">
        <v>1901</v>
      </c>
      <c r="F286">
        <v>2</v>
      </c>
    </row>
    <row r="287" spans="2:6" x14ac:dyDescent="0.35">
      <c r="B287" t="str">
        <v>Mitsubishi Heavy Industries</v>
      </c>
      <c r="C287">
        <v>1</v>
      </c>
      <c r="E287" t="s">
        <v>1885</v>
      </c>
      <c r="F287">
        <v>2</v>
      </c>
    </row>
    <row r="288" spans="2:6" x14ac:dyDescent="0.35">
      <c r="B288" t="str">
        <v>Ultratech Capital Partners</v>
      </c>
      <c r="C288">
        <v>1</v>
      </c>
      <c r="E288" t="s">
        <v>1884</v>
      </c>
      <c r="F288">
        <v>2</v>
      </c>
    </row>
    <row r="289" spans="2:6" x14ac:dyDescent="0.35">
      <c r="B289" t="str">
        <v>Green Reach</v>
      </c>
      <c r="C289">
        <v>1</v>
      </c>
      <c r="E289" t="s">
        <v>1888</v>
      </c>
      <c r="F289">
        <v>2</v>
      </c>
    </row>
    <row r="290" spans="2:6" x14ac:dyDescent="0.35">
      <c r="B290" t="str">
        <v>Chan Zuckerberg Initiative</v>
      </c>
      <c r="C290">
        <v>1</v>
      </c>
      <c r="E290" t="s">
        <v>1899</v>
      </c>
      <c r="F290">
        <v>2</v>
      </c>
    </row>
    <row r="291" spans="2:6" x14ac:dyDescent="0.35">
      <c r="B291" t="str">
        <v>Cisco Foundation</v>
      </c>
      <c r="C291">
        <v>2</v>
      </c>
      <c r="E291" t="s">
        <v>1762</v>
      </c>
      <c r="F291">
        <v>2</v>
      </c>
    </row>
    <row r="292" spans="2:6" x14ac:dyDescent="0.35">
      <c r="B292" t="str">
        <v>Congruent Ventures</v>
      </c>
      <c r="C292">
        <v>2</v>
      </c>
      <c r="E292" t="s">
        <v>502</v>
      </c>
      <c r="F292">
        <v>2</v>
      </c>
    </row>
    <row r="293" spans="2:6" x14ac:dyDescent="0.35">
      <c r="B293" t="str">
        <v>Course Correction Capital</v>
      </c>
      <c r="C293">
        <v>2</v>
      </c>
      <c r="E293" t="s">
        <v>503</v>
      </c>
      <c r="F293">
        <v>2</v>
      </c>
    </row>
    <row r="294" spans="2:6" x14ac:dyDescent="0.35">
      <c r="B294" t="str">
        <v>Elemental Impact</v>
      </c>
      <c r="C294">
        <v>1</v>
      </c>
      <c r="E294" t="s">
        <v>1657</v>
      </c>
      <c r="F294">
        <v>2</v>
      </c>
    </row>
    <row r="295" spans="2:6" x14ac:dyDescent="0.35">
      <c r="B295" t="str">
        <v>Evok Innovations</v>
      </c>
      <c r="C295">
        <v>4</v>
      </c>
      <c r="E295" t="s">
        <v>1430</v>
      </c>
      <c r="F295">
        <v>2</v>
      </c>
    </row>
    <row r="296" spans="2:6" x14ac:dyDescent="0.35">
      <c r="B296" t="str">
        <v>Neglected Climate Opportunities</v>
      </c>
      <c r="C296">
        <v>1</v>
      </c>
      <c r="E296" t="s">
        <v>1722</v>
      </c>
      <c r="F296">
        <v>2</v>
      </c>
    </row>
    <row r="297" spans="2:6" x14ac:dyDescent="0.35">
      <c r="B297" t="str">
        <v>Prelude Ventures</v>
      </c>
      <c r="C297">
        <v>3</v>
      </c>
      <c r="E297" t="s">
        <v>1953</v>
      </c>
      <c r="F297">
        <v>2</v>
      </c>
    </row>
    <row r="298" spans="2:6" x14ac:dyDescent="0.35">
      <c r="B298" t="str">
        <v>PRIME Coalition</v>
      </c>
      <c r="C298">
        <v>3</v>
      </c>
      <c r="E298" t="s">
        <v>1616</v>
      </c>
      <c r="F298">
        <v>2</v>
      </c>
    </row>
    <row r="299" spans="2:6" x14ac:dyDescent="0.35">
      <c r="B299" t="str">
        <v>Propeller</v>
      </c>
      <c r="C299">
        <v>1</v>
      </c>
      <c r="E299" t="s">
        <v>1964</v>
      </c>
      <c r="F299">
        <v>2</v>
      </c>
    </row>
    <row r="300" spans="2:6" x14ac:dyDescent="0.35">
      <c r="B300" t="str">
        <v>The Grantham Foundation</v>
      </c>
      <c r="C300">
        <v>2</v>
      </c>
      <c r="E300" t="s">
        <v>1965</v>
      </c>
      <c r="F300">
        <v>2</v>
      </c>
    </row>
    <row r="301" spans="2:6" x14ac:dyDescent="0.35">
      <c r="B301" t="str">
        <v>Borun Capital (Xiamen)</v>
      </c>
      <c r="C301">
        <v>1</v>
      </c>
      <c r="E301" t="s">
        <v>1827</v>
      </c>
      <c r="F301">
        <v>2</v>
      </c>
    </row>
    <row r="302" spans="2:6" x14ac:dyDescent="0.35">
      <c r="B302" t="str">
        <v>BR Capital</v>
      </c>
      <c r="C302">
        <v>1</v>
      </c>
      <c r="E302" t="s">
        <v>1665</v>
      </c>
      <c r="F302">
        <v>2</v>
      </c>
    </row>
    <row r="303" spans="2:6" x14ac:dyDescent="0.35">
      <c r="B303" t="str">
        <v>Dayone Capital</v>
      </c>
      <c r="C303">
        <v>1</v>
      </c>
      <c r="E303" t="s">
        <v>1425</v>
      </c>
      <c r="F303">
        <v>2</v>
      </c>
    </row>
    <row r="304" spans="2:6" x14ac:dyDescent="0.35">
      <c r="B304" t="str">
        <v>GAC Capital</v>
      </c>
      <c r="C304">
        <v>1</v>
      </c>
      <c r="E304" t="s">
        <v>1745</v>
      </c>
      <c r="F304">
        <v>2</v>
      </c>
    </row>
    <row r="305" spans="2:6" x14ac:dyDescent="0.35">
      <c r="B305" t="str">
        <v>Hongshan Capital Group</v>
      </c>
      <c r="C305">
        <v>1</v>
      </c>
      <c r="E305" t="s">
        <v>1976</v>
      </c>
      <c r="F305">
        <v>2</v>
      </c>
    </row>
    <row r="306" spans="2:6" x14ac:dyDescent="0.35">
      <c r="B306" t="str">
        <v>Niuli Venture</v>
      </c>
      <c r="C306">
        <v>1</v>
      </c>
      <c r="E306" t="s">
        <v>1982</v>
      </c>
      <c r="F306">
        <v>2</v>
      </c>
    </row>
    <row r="307" spans="2:6" x14ac:dyDescent="0.35">
      <c r="B307" t="str">
        <v>Tianqi Capital</v>
      </c>
      <c r="C307">
        <v>1</v>
      </c>
      <c r="E307" t="s">
        <v>484</v>
      </c>
      <c r="F307">
        <v>2</v>
      </c>
    </row>
    <row r="308" spans="2:6" x14ac:dyDescent="0.35">
      <c r="B308" t="str">
        <v>Unreasonable Impact</v>
      </c>
      <c r="C308">
        <v>2</v>
      </c>
      <c r="E308" t="s">
        <v>1988</v>
      </c>
      <c r="F308">
        <v>2</v>
      </c>
    </row>
    <row r="309" spans="2:6" x14ac:dyDescent="0.35">
      <c r="B309" t="str">
        <v>KRF capital</v>
      </c>
      <c r="C309">
        <v>1</v>
      </c>
      <c r="E309" t="s">
        <v>1989</v>
      </c>
      <c r="F309">
        <v>2</v>
      </c>
    </row>
    <row r="310" spans="2:6" x14ac:dyDescent="0.35">
      <c r="B310" t="str">
        <v>Treehouse Investments</v>
      </c>
      <c r="C310">
        <v>1</v>
      </c>
      <c r="E310" t="s">
        <v>1990</v>
      </c>
      <c r="F310">
        <v>2</v>
      </c>
    </row>
    <row r="311" spans="2:6" x14ac:dyDescent="0.35">
      <c r="B311" t="str">
        <v>Alphabet</v>
      </c>
      <c r="C311">
        <v>2</v>
      </c>
      <c r="E311" t="s">
        <v>1992</v>
      </c>
      <c r="F311">
        <v>2</v>
      </c>
    </row>
    <row r="312" spans="2:6" x14ac:dyDescent="0.35">
      <c r="B312" t="str">
        <v>Longmont Capital</v>
      </c>
      <c r="C312">
        <v>1</v>
      </c>
      <c r="E312" t="s">
        <v>1988</v>
      </c>
      <c r="F312">
        <v>2</v>
      </c>
    </row>
    <row r="313" spans="2:6" x14ac:dyDescent="0.35">
      <c r="B313" t="str">
        <v>Arborview Capital</v>
      </c>
      <c r="C313">
        <v>1</v>
      </c>
      <c r="E313" t="s">
        <v>1989</v>
      </c>
      <c r="F313">
        <v>2</v>
      </c>
    </row>
    <row r="314" spans="2:6" x14ac:dyDescent="0.35">
      <c r="B314" t="str">
        <v>Capital Southwest</v>
      </c>
      <c r="C314">
        <v>2</v>
      </c>
      <c r="E314" t="s">
        <v>1990</v>
      </c>
      <c r="F314">
        <v>2</v>
      </c>
    </row>
    <row r="315" spans="2:6" x14ac:dyDescent="0.35">
      <c r="B315" t="str">
        <v>DFW Capital Partners</v>
      </c>
      <c r="C315">
        <v>1</v>
      </c>
      <c r="E315" t="s">
        <v>1992</v>
      </c>
      <c r="F315">
        <v>2</v>
      </c>
    </row>
    <row r="316" spans="2:6" x14ac:dyDescent="0.35">
      <c r="B316" t="str">
        <v>Capital Southwest</v>
      </c>
      <c r="C316">
        <v>2</v>
      </c>
      <c r="E316" t="s">
        <v>2001</v>
      </c>
      <c r="F316">
        <v>2</v>
      </c>
    </row>
    <row r="317" spans="2:6" x14ac:dyDescent="0.35">
      <c r="B317" t="str">
        <v>13Capital</v>
      </c>
      <c r="C317">
        <v>1</v>
      </c>
      <c r="E317" t="s">
        <v>698</v>
      </c>
      <c r="F317">
        <v>2</v>
      </c>
    </row>
    <row r="318" spans="2:6" x14ac:dyDescent="0.35">
      <c r="B318" t="str">
        <v>Cleanhill Partners</v>
      </c>
      <c r="C318">
        <v>1</v>
      </c>
      <c r="E318" t="s">
        <v>2022</v>
      </c>
      <c r="F318">
        <v>2</v>
      </c>
    </row>
    <row r="319" spans="2:6" x14ac:dyDescent="0.35">
      <c r="B319" t="str">
        <v>Goldman Sachs Asset Management</v>
      </c>
      <c r="C319">
        <v>1</v>
      </c>
      <c r="E319" t="s">
        <v>1697</v>
      </c>
      <c r="F319">
        <v>2</v>
      </c>
    </row>
    <row r="320" spans="2:6" x14ac:dyDescent="0.35">
      <c r="B320" t="str">
        <v>The Sterling Group</v>
      </c>
      <c r="C320">
        <v>1</v>
      </c>
      <c r="E320" t="s">
        <v>2022</v>
      </c>
      <c r="F320">
        <v>2</v>
      </c>
    </row>
    <row r="321" spans="2:6" x14ac:dyDescent="0.35">
      <c r="B321" t="str">
        <v>8090 Industries</v>
      </c>
      <c r="C321">
        <v>2</v>
      </c>
      <c r="E321" t="s">
        <v>2039</v>
      </c>
      <c r="F321">
        <v>2</v>
      </c>
    </row>
    <row r="322" spans="2:6" x14ac:dyDescent="0.35">
      <c r="B322" t="str">
        <v>Felicis</v>
      </c>
      <c r="C322">
        <v>1</v>
      </c>
      <c r="E322" t="s">
        <v>2044</v>
      </c>
      <c r="F322">
        <v>2</v>
      </c>
    </row>
    <row r="323" spans="2:6" x14ac:dyDescent="0.35">
      <c r="B323" t="str">
        <v>MVP Ventures</v>
      </c>
      <c r="C323">
        <v>1</v>
      </c>
      <c r="E323" t="s">
        <v>2048</v>
      </c>
      <c r="F323">
        <v>2</v>
      </c>
    </row>
    <row r="324" spans="2:6" x14ac:dyDescent="0.35">
      <c r="B324" t="str">
        <v>Atomic</v>
      </c>
      <c r="C324">
        <v>1</v>
      </c>
      <c r="E324" t="s">
        <v>1709</v>
      </c>
      <c r="F324">
        <v>2</v>
      </c>
    </row>
    <row r="325" spans="2:6" x14ac:dyDescent="0.35">
      <c r="B325" t="str">
        <v>Dragon Global</v>
      </c>
      <c r="C325">
        <v>1</v>
      </c>
      <c r="E325" t="s">
        <v>1533</v>
      </c>
      <c r="F325">
        <v>2</v>
      </c>
    </row>
    <row r="326" spans="2:6" x14ac:dyDescent="0.35">
      <c r="B326" t="str">
        <v>New Atlas Capital</v>
      </c>
      <c r="C326">
        <v>1</v>
      </c>
      <c r="E326" t="s">
        <v>2039</v>
      </c>
      <c r="F326">
        <v>2</v>
      </c>
    </row>
    <row r="327" spans="2:6" x14ac:dyDescent="0.35">
      <c r="B327" t="str">
        <v>Brex Asset Management</v>
      </c>
      <c r="C327">
        <v>1</v>
      </c>
      <c r="E327" t="s">
        <v>1419</v>
      </c>
      <c r="F327">
        <v>2</v>
      </c>
    </row>
    <row r="328" spans="2:6" x14ac:dyDescent="0.35">
      <c r="B328" t="str">
        <v>Bay Bridge Ventures</v>
      </c>
      <c r="C328">
        <v>1</v>
      </c>
      <c r="E328" t="s">
        <v>2048</v>
      </c>
      <c r="F328">
        <v>2</v>
      </c>
    </row>
    <row r="329" spans="2:6" x14ac:dyDescent="0.35">
      <c r="B329" t="str">
        <v>Florida Opportunity Fund</v>
      </c>
      <c r="C329">
        <v>2</v>
      </c>
      <c r="E329" t="s">
        <v>1499</v>
      </c>
      <c r="F329">
        <v>2</v>
      </c>
    </row>
    <row r="330" spans="2:6" x14ac:dyDescent="0.35">
      <c r="B330" t="str">
        <v>Andreessen Horowitz</v>
      </c>
      <c r="C330">
        <v>1</v>
      </c>
      <c r="E330" t="s">
        <v>1965</v>
      </c>
      <c r="F330">
        <v>2</v>
      </c>
    </row>
    <row r="331" spans="2:6" x14ac:dyDescent="0.35">
      <c r="B331" t="str">
        <v>Deepwork Capital</v>
      </c>
      <c r="C331">
        <v>1</v>
      </c>
      <c r="E331" t="s">
        <v>582</v>
      </c>
      <c r="F331">
        <v>2</v>
      </c>
    </row>
    <row r="332" spans="2:6" x14ac:dyDescent="0.35">
      <c r="B332" t="str">
        <v>Protagonist</v>
      </c>
      <c r="C332">
        <v>1</v>
      </c>
      <c r="E332" t="s">
        <v>1860</v>
      </c>
      <c r="F332">
        <v>2</v>
      </c>
    </row>
    <row r="333" spans="2:6" x14ac:dyDescent="0.35">
      <c r="B333" t="str">
        <v>Overmatch</v>
      </c>
      <c r="C333">
        <v>1</v>
      </c>
      <c r="E333" t="s">
        <v>1424</v>
      </c>
      <c r="F333">
        <v>2</v>
      </c>
    </row>
    <row r="334" spans="2:6" x14ac:dyDescent="0.35">
      <c r="B334" t="str">
        <v>MCJ</v>
      </c>
      <c r="C334">
        <v>2</v>
      </c>
      <c r="E334" t="s">
        <v>2064</v>
      </c>
      <c r="F334">
        <v>2</v>
      </c>
    </row>
    <row r="335" spans="2:6" x14ac:dyDescent="0.35">
      <c r="B335" t="str">
        <v>Thrive Capital</v>
      </c>
      <c r="C335">
        <v>1</v>
      </c>
      <c r="E335" t="s">
        <v>1419</v>
      </c>
      <c r="F335">
        <v>2</v>
      </c>
    </row>
    <row r="336" spans="2:6" x14ac:dyDescent="0.35">
      <c r="B336" t="str">
        <v>Goat Ventures</v>
      </c>
      <c r="C336">
        <v>1</v>
      </c>
      <c r="E336" t="s">
        <v>1424</v>
      </c>
      <c r="F336">
        <v>2</v>
      </c>
    </row>
    <row r="337" spans="2:6" x14ac:dyDescent="0.35">
      <c r="B337" t="str">
        <v>Massive Capital Partners</v>
      </c>
      <c r="C337">
        <v>1</v>
      </c>
      <c r="E337" t="s">
        <v>2064</v>
      </c>
      <c r="F337">
        <v>2</v>
      </c>
    </row>
    <row r="338" spans="2:6" x14ac:dyDescent="0.35">
      <c r="B338" t="str">
        <v>Leonardo DiCaprio</v>
      </c>
      <c r="C338">
        <v>2</v>
      </c>
      <c r="E338" t="s">
        <v>2070</v>
      </c>
      <c r="F338">
        <v>2</v>
      </c>
    </row>
    <row r="339" spans="2:6" x14ac:dyDescent="0.35">
      <c r="B339" t="str">
        <v>Upsher Management Company</v>
      </c>
      <c r="C339">
        <v>1</v>
      </c>
      <c r="E339" t="s">
        <v>2071</v>
      </c>
      <c r="F339">
        <v>2</v>
      </c>
    </row>
    <row r="340" spans="2:6" x14ac:dyDescent="0.35">
      <c r="B340" t="str">
        <v>Alpen Capital</v>
      </c>
      <c r="C340">
        <v>1</v>
      </c>
      <c r="E340" t="s">
        <v>1440</v>
      </c>
      <c r="F340">
        <v>2</v>
      </c>
    </row>
    <row r="341" spans="2:6" x14ac:dyDescent="0.35">
      <c r="B341" t="str">
        <v>StepStone Group</v>
      </c>
      <c r="C341">
        <v>1</v>
      </c>
      <c r="E341" t="s">
        <v>1557</v>
      </c>
      <c r="F341">
        <v>2</v>
      </c>
    </row>
    <row r="342" spans="2:6" x14ac:dyDescent="0.35">
      <c r="B342" t="str">
        <v>Starwood Capital Group</v>
      </c>
      <c r="C342">
        <v>1</v>
      </c>
      <c r="E342" t="s">
        <v>2077</v>
      </c>
      <c r="F342">
        <v>2</v>
      </c>
    </row>
    <row r="343" spans="2:6" x14ac:dyDescent="0.35">
      <c r="B343" t="str">
        <v>AiiM Partners</v>
      </c>
      <c r="C343">
        <v>4</v>
      </c>
      <c r="E343" t="s">
        <v>2077</v>
      </c>
      <c r="F343">
        <v>2</v>
      </c>
    </row>
    <row r="344" spans="2:6" x14ac:dyDescent="0.35">
      <c r="B344" t="str">
        <v>Alecla7</v>
      </c>
      <c r="C344">
        <v>1</v>
      </c>
      <c r="E344" t="s">
        <v>1953</v>
      </c>
      <c r="F344">
        <v>2</v>
      </c>
    </row>
    <row r="345" spans="2:6" x14ac:dyDescent="0.35">
      <c r="B345" t="str">
        <v>At One Ventures</v>
      </c>
      <c r="C345">
        <v>3</v>
      </c>
      <c r="E345" t="s">
        <v>698</v>
      </c>
      <c r="F345">
        <v>2</v>
      </c>
    </row>
    <row r="346" spans="2:6" x14ac:dyDescent="0.35">
      <c r="B346" t="str">
        <v>Cognic Capital</v>
      </c>
      <c r="C346">
        <v>1</v>
      </c>
      <c r="E346" t="s">
        <v>503</v>
      </c>
      <c r="F346">
        <v>2</v>
      </c>
    </row>
    <row r="347" spans="2:6" x14ac:dyDescent="0.35">
      <c r="B347" t="str">
        <v>Draper Associates</v>
      </c>
      <c r="C347">
        <v>3</v>
      </c>
      <c r="E347" t="s">
        <v>576</v>
      </c>
      <c r="F347">
        <v>2</v>
      </c>
    </row>
    <row r="348" spans="2:6" x14ac:dyDescent="0.35">
      <c r="B348" t="str">
        <v>Emergence Industries</v>
      </c>
      <c r="C348">
        <v>1</v>
      </c>
      <c r="E348" t="s">
        <v>1514</v>
      </c>
      <c r="F348">
        <v>2</v>
      </c>
    </row>
    <row r="349" spans="2:6" x14ac:dyDescent="0.35">
      <c r="B349" t="str">
        <v>Endurance28</v>
      </c>
      <c r="C349">
        <v>1</v>
      </c>
      <c r="E349" t="s">
        <v>2103</v>
      </c>
      <c r="F349">
        <v>2</v>
      </c>
    </row>
    <row r="350" spans="2:6" x14ac:dyDescent="0.35">
      <c r="B350" t="str">
        <v>Gaingels</v>
      </c>
      <c r="C350">
        <v>2</v>
      </c>
      <c r="E350" t="s">
        <v>1801</v>
      </c>
      <c r="F350">
        <v>2</v>
      </c>
    </row>
    <row r="351" spans="2:6" x14ac:dyDescent="0.35">
      <c r="B351" t="str">
        <v>Good Seed Ventures</v>
      </c>
      <c r="C351">
        <v>1</v>
      </c>
      <c r="E351" t="s">
        <v>502</v>
      </c>
      <c r="F351">
        <v>2</v>
      </c>
    </row>
    <row r="352" spans="2:6" x14ac:dyDescent="0.35">
      <c r="B352" t="str">
        <v>Hemisphere Ventures</v>
      </c>
      <c r="C352">
        <v>1</v>
      </c>
      <c r="E352" t="s">
        <v>2123</v>
      </c>
      <c r="F352">
        <v>2</v>
      </c>
    </row>
    <row r="353" spans="2:6" x14ac:dyDescent="0.35">
      <c r="B353" t="str">
        <v>JKS Ventures</v>
      </c>
      <c r="C353">
        <v>1</v>
      </c>
      <c r="E353" t="s">
        <v>2123</v>
      </c>
      <c r="F353">
        <v>2</v>
      </c>
    </row>
    <row r="354" spans="2:6" x14ac:dyDescent="0.35">
      <c r="B354" t="str">
        <v>Joyance Partners</v>
      </c>
      <c r="C354">
        <v>1</v>
      </c>
      <c r="E354" t="s">
        <v>1691</v>
      </c>
      <c r="F354">
        <v>2</v>
      </c>
    </row>
    <row r="355" spans="2:6" x14ac:dyDescent="0.35">
      <c r="B355" t="str">
        <v>Magic Hour</v>
      </c>
      <c r="C355">
        <v>1</v>
      </c>
      <c r="E355" t="s">
        <v>1410</v>
      </c>
      <c r="F355">
        <v>2</v>
      </c>
    </row>
    <row r="356" spans="2:6" x14ac:dyDescent="0.35">
      <c r="B356" t="str">
        <v>Rise Together</v>
      </c>
      <c r="C356">
        <v>1</v>
      </c>
      <c r="E356" t="s">
        <v>1707</v>
      </c>
      <c r="F356">
        <v>2</v>
      </c>
    </row>
    <row r="357" spans="2:6" x14ac:dyDescent="0.35">
      <c r="B357" t="str">
        <v>Seabird Ventures</v>
      </c>
      <c r="C357">
        <v>2</v>
      </c>
      <c r="E357" t="s">
        <v>2070</v>
      </c>
      <c r="F357">
        <v>2</v>
      </c>
    </row>
    <row r="358" spans="2:6" x14ac:dyDescent="0.35">
      <c r="B358" t="str">
        <v>Samsarik Capital</v>
      </c>
      <c r="C358">
        <v>1</v>
      </c>
      <c r="E358" t="s">
        <v>1755</v>
      </c>
      <c r="F358">
        <v>2</v>
      </c>
    </row>
    <row r="359" spans="2:6" x14ac:dyDescent="0.35">
      <c r="B359" t="str">
        <v>SOSV</v>
      </c>
      <c r="C359">
        <v>8</v>
      </c>
      <c r="E359" t="s">
        <v>1521</v>
      </c>
      <c r="F359">
        <v>2</v>
      </c>
    </row>
    <row r="360" spans="2:6" x14ac:dyDescent="0.35">
      <c r="B360" t="str">
        <v>Synergeticl VU enture Partners</v>
      </c>
      <c r="C360">
        <v>1</v>
      </c>
      <c r="E360" t="s">
        <v>1982</v>
      </c>
      <c r="F360">
        <v>2</v>
      </c>
    </row>
    <row r="361" spans="2:6" x14ac:dyDescent="0.35">
      <c r="B361" t="str">
        <v>Draper Associates</v>
      </c>
      <c r="C361">
        <v>3</v>
      </c>
      <c r="E361" t="s">
        <v>1976</v>
      </c>
      <c r="F361">
        <v>2</v>
      </c>
    </row>
    <row r="362" spans="2:6" x14ac:dyDescent="0.35">
      <c r="B362" t="str">
        <v>Oaktree Capital Management</v>
      </c>
      <c r="C362">
        <v>1</v>
      </c>
      <c r="E362" t="s">
        <v>1787</v>
      </c>
      <c r="F362">
        <v>2</v>
      </c>
    </row>
    <row r="363" spans="2:6" x14ac:dyDescent="0.35">
      <c r="B363" t="str">
        <v>Toyota Tsusho</v>
      </c>
      <c r="C363">
        <v>1</v>
      </c>
      <c r="E363" t="s">
        <v>1516</v>
      </c>
      <c r="F363">
        <v>2</v>
      </c>
    </row>
    <row r="364" spans="2:6" x14ac:dyDescent="0.35">
      <c r="B364" t="str">
        <v>Bessemer Venture Partners</v>
      </c>
      <c r="C364">
        <v>1</v>
      </c>
      <c r="E364" t="s">
        <v>2071</v>
      </c>
      <c r="F364">
        <v>2</v>
      </c>
    </row>
    <row r="365" spans="2:6" x14ac:dyDescent="0.35">
      <c r="B365" t="str">
        <v>Lockheed Martin Ventures</v>
      </c>
      <c r="C365">
        <v>1</v>
      </c>
      <c r="E365" t="s">
        <v>1877</v>
      </c>
      <c r="F365">
        <v>2</v>
      </c>
    </row>
    <row r="366" spans="2:6" x14ac:dyDescent="0.35">
      <c r="B366" t="str">
        <v>Palapa Ventures</v>
      </c>
      <c r="C366">
        <v>1</v>
      </c>
      <c r="E366" t="s">
        <v>2044</v>
      </c>
      <c r="F366">
        <v>2</v>
      </c>
    </row>
    <row r="367" spans="2:6" x14ac:dyDescent="0.35">
      <c r="B367" t="str">
        <v>StartX</v>
      </c>
      <c r="C367">
        <v>2</v>
      </c>
      <c r="E367" t="s">
        <v>2202</v>
      </c>
      <c r="F367">
        <v>2</v>
      </c>
    </row>
    <row r="368" spans="2:6" x14ac:dyDescent="0.35">
      <c r="B368" t="str">
        <v>Tailwater Capital (Edward Herring)</v>
      </c>
      <c r="C368">
        <v>1</v>
      </c>
      <c r="E368" t="s">
        <v>2202</v>
      </c>
      <c r="F368">
        <v>2</v>
      </c>
    </row>
    <row r="369" spans="2:6" x14ac:dyDescent="0.35">
      <c r="B369" t="str">
        <v>Giant Leap</v>
      </c>
      <c r="C369">
        <v>1</v>
      </c>
      <c r="E369" t="s">
        <v>1864</v>
      </c>
      <c r="F369">
        <v>2</v>
      </c>
    </row>
    <row r="370" spans="2:6" x14ac:dyDescent="0.35">
      <c r="B370" t="str">
        <v>TPG</v>
      </c>
      <c r="C370">
        <v>1</v>
      </c>
      <c r="E370" t="s">
        <v>2001</v>
      </c>
      <c r="F370">
        <v>2</v>
      </c>
    </row>
    <row r="371" spans="2:6" x14ac:dyDescent="0.35">
      <c r="B371" t="str">
        <v>5Y Capital</v>
      </c>
      <c r="C371">
        <v>1</v>
      </c>
      <c r="E371" t="s">
        <v>2212</v>
      </c>
      <c r="F371">
        <v>2</v>
      </c>
    </row>
    <row r="372" spans="2:6" x14ac:dyDescent="0.35">
      <c r="B372" t="str">
        <v>AimTop Ventures</v>
      </c>
      <c r="C372">
        <v>1</v>
      </c>
      <c r="E372" t="s">
        <v>2214</v>
      </c>
      <c r="F372">
        <v>2</v>
      </c>
    </row>
    <row r="373" spans="2:6" x14ac:dyDescent="0.35">
      <c r="B373" t="str">
        <v>Baidu Ventures</v>
      </c>
      <c r="C373">
        <v>1</v>
      </c>
      <c r="E373" t="s">
        <v>1803</v>
      </c>
      <c r="F373">
        <v>2</v>
      </c>
    </row>
    <row r="374" spans="2:6" x14ac:dyDescent="0.35">
      <c r="B374" t="str">
        <v>Foothill Ventures</v>
      </c>
      <c r="C374">
        <v>1</v>
      </c>
      <c r="E374" t="s">
        <v>2103</v>
      </c>
      <c r="F374">
        <v>2</v>
      </c>
    </row>
    <row r="375" spans="2:6" x14ac:dyDescent="0.35">
      <c r="B375" t="str">
        <v>Heda Ventures</v>
      </c>
      <c r="C375">
        <v>1</v>
      </c>
      <c r="E375" t="s">
        <v>1654</v>
      </c>
      <c r="F375">
        <v>2</v>
      </c>
    </row>
    <row r="376" spans="2:6" x14ac:dyDescent="0.35">
      <c r="B376" t="str">
        <v>Rockets Capital</v>
      </c>
      <c r="C376">
        <v>1</v>
      </c>
      <c r="E376" t="s">
        <v>2212</v>
      </c>
      <c r="F376">
        <v>2</v>
      </c>
    </row>
    <row r="377" spans="2:6" x14ac:dyDescent="0.35">
      <c r="B377" t="str">
        <v>Yiyuan Capital</v>
      </c>
      <c r="C377">
        <v>1</v>
      </c>
      <c r="E377" t="s">
        <v>2214</v>
      </c>
      <c r="F377">
        <v>2</v>
      </c>
    </row>
    <row r="378" spans="2:6" x14ac:dyDescent="0.35">
      <c r="B378" t="str">
        <v>Yu Galaxy</v>
      </c>
      <c r="C378">
        <v>1</v>
      </c>
      <c r="E378" t="s">
        <v>773</v>
      </c>
      <c r="F378">
        <v>2</v>
      </c>
    </row>
    <row r="379" spans="2:6" x14ac:dyDescent="0.35">
      <c r="B379" t="str">
        <v>Revonence Technologies</v>
      </c>
      <c r="C379">
        <v>1</v>
      </c>
      <c r="E379" t="s">
        <v>2237</v>
      </c>
      <c r="F379">
        <v>2</v>
      </c>
    </row>
    <row r="380" spans="2:6" x14ac:dyDescent="0.35">
      <c r="B380" t="str">
        <v>Archaea Energy</v>
      </c>
      <c r="C380">
        <v>1</v>
      </c>
      <c r="E380" t="s">
        <v>773</v>
      </c>
      <c r="F380">
        <v>2</v>
      </c>
    </row>
    <row r="381" spans="2:6" x14ac:dyDescent="0.35">
      <c r="B381" t="str">
        <v>Coppermine Capital</v>
      </c>
      <c r="C381">
        <v>1</v>
      </c>
      <c r="E381" t="s">
        <v>1689</v>
      </c>
      <c r="F381">
        <v>2</v>
      </c>
    </row>
    <row r="382" spans="2:6" x14ac:dyDescent="0.35">
      <c r="B382" t="str">
        <v>Saltonstall &amp; Co.</v>
      </c>
      <c r="C382">
        <v>1</v>
      </c>
      <c r="E382" t="s">
        <v>2237</v>
      </c>
      <c r="F382">
        <v>2</v>
      </c>
    </row>
    <row r="383" spans="2:6" x14ac:dyDescent="0.35">
      <c r="B383" t="str">
        <v>Lowercarbon Capital</v>
      </c>
      <c r="C383">
        <v>7</v>
      </c>
      <c r="E383" t="s">
        <v>1708</v>
      </c>
      <c r="F383">
        <v>2</v>
      </c>
    </row>
    <row r="384" spans="2:6" x14ac:dyDescent="0.35">
      <c r="B384" t="str">
        <v>Future Positive Capital</v>
      </c>
      <c r="C384">
        <v>1</v>
      </c>
      <c r="E384" t="s">
        <v>1569</v>
      </c>
      <c r="F384">
        <v>2</v>
      </c>
    </row>
    <row r="385" spans="2:6" x14ac:dyDescent="0.35">
      <c r="B385" t="str">
        <v>Japan Airlines Company</v>
      </c>
      <c r="C385">
        <v>1</v>
      </c>
      <c r="E385" t="s">
        <v>776</v>
      </c>
      <c r="F385">
        <v>2</v>
      </c>
    </row>
    <row r="386" spans="2:6" x14ac:dyDescent="0.35">
      <c r="B386" t="str">
        <v>Mitsubishi Corporation</v>
      </c>
      <c r="C386">
        <v>1</v>
      </c>
      <c r="E386" t="s">
        <v>1878</v>
      </c>
      <c r="F386">
        <v>2</v>
      </c>
    </row>
    <row r="387" spans="2:6" x14ac:dyDescent="0.35">
      <c r="B387" t="str">
        <v>Mitsui &amp; Company</v>
      </c>
      <c r="C387">
        <v>3</v>
      </c>
      <c r="E387" t="s">
        <v>2252</v>
      </c>
      <c r="F387">
        <v>2</v>
      </c>
    </row>
    <row r="388" spans="2:6" x14ac:dyDescent="0.35">
      <c r="B388" t="str">
        <v>MOL Switch</v>
      </c>
      <c r="C388">
        <v>3</v>
      </c>
      <c r="E388" t="s">
        <v>2252</v>
      </c>
      <c r="F388">
        <v>2</v>
      </c>
    </row>
    <row r="389" spans="2:6" x14ac:dyDescent="0.35">
      <c r="B389" t="str">
        <v>United Airlines Ventures</v>
      </c>
      <c r="C389">
        <v>2</v>
      </c>
      <c r="E389" t="s">
        <v>2265</v>
      </c>
      <c r="F389">
        <v>2</v>
      </c>
    </row>
    <row r="390" spans="2:6" x14ac:dyDescent="0.35">
      <c r="B390" t="str">
        <v>H&amp;M Group Ventures</v>
      </c>
      <c r="C390">
        <v>1</v>
      </c>
      <c r="E390" t="s">
        <v>2265</v>
      </c>
      <c r="F390">
        <v>2</v>
      </c>
    </row>
    <row r="391" spans="2:6" x14ac:dyDescent="0.35">
      <c r="B391" t="str">
        <v>Pledge Ventures</v>
      </c>
      <c r="C391">
        <v>1</v>
      </c>
      <c r="E391" t="s">
        <v>1964</v>
      </c>
      <c r="F391">
        <v>2</v>
      </c>
    </row>
    <row r="392" spans="2:6" x14ac:dyDescent="0.35">
      <c r="B392" t="str">
        <v>Chiyoda</v>
      </c>
      <c r="C392">
        <v>1</v>
      </c>
      <c r="E392" t="s">
        <v>1425</v>
      </c>
      <c r="F392">
        <v>2</v>
      </c>
    </row>
    <row r="393" spans="2:6" x14ac:dyDescent="0.35">
      <c r="B393" t="str">
        <v>Development Bank of Japan</v>
      </c>
      <c r="C393">
        <v>2</v>
      </c>
      <c r="E393" t="s">
        <v>1599</v>
      </c>
      <c r="F393">
        <v>2</v>
      </c>
    </row>
    <row r="394" spans="2:6" x14ac:dyDescent="0.35">
      <c r="B394" t="str">
        <v>Carbon Direct Capital Management</v>
      </c>
      <c r="C394">
        <v>2</v>
      </c>
      <c r="E394" t="s">
        <v>1496</v>
      </c>
      <c r="F394">
        <v>1</v>
      </c>
    </row>
    <row r="395" spans="2:6" x14ac:dyDescent="0.35">
      <c r="B395" t="str">
        <v>MCJ</v>
      </c>
      <c r="C395">
        <v>2</v>
      </c>
      <c r="E395" t="s">
        <v>1497</v>
      </c>
      <c r="F395">
        <v>1</v>
      </c>
    </row>
    <row r="396" spans="2:6" x14ac:dyDescent="0.35">
      <c r="B396" t="str">
        <v>Ahren Innovation Capital</v>
      </c>
      <c r="C396">
        <v>1</v>
      </c>
      <c r="E396" t="s">
        <v>1498</v>
      </c>
      <c r="F396">
        <v>1</v>
      </c>
    </row>
    <row r="397" spans="2:6" x14ac:dyDescent="0.35">
      <c r="B397" t="str">
        <v>Carbon Removal Partners</v>
      </c>
      <c r="C397">
        <v>1</v>
      </c>
      <c r="E397" t="s">
        <v>1500</v>
      </c>
      <c r="F397">
        <v>1</v>
      </c>
    </row>
    <row r="398" spans="2:6" x14ac:dyDescent="0.35">
      <c r="B398" t="str">
        <v>Floating Point</v>
      </c>
      <c r="C398">
        <v>1</v>
      </c>
      <c r="E398" t="s">
        <v>1501</v>
      </c>
      <c r="F398">
        <v>1</v>
      </c>
    </row>
    <row r="399" spans="2:6" x14ac:dyDescent="0.35">
      <c r="B399" t="str">
        <v>Quantum Innovation Fund</v>
      </c>
      <c r="C399">
        <v>1</v>
      </c>
      <c r="E399" t="s">
        <v>1502</v>
      </c>
      <c r="F399">
        <v>1</v>
      </c>
    </row>
    <row r="400" spans="2:6" x14ac:dyDescent="0.35">
      <c r="B400" t="str">
        <v>The Grantham Foundation</v>
      </c>
      <c r="C400">
        <v>2</v>
      </c>
      <c r="E400" t="s">
        <v>1503</v>
      </c>
      <c r="F400">
        <v>1</v>
      </c>
    </row>
    <row r="401" spans="2:6" x14ac:dyDescent="0.35">
      <c r="B401" t="str">
        <v>Breakthrough Energy</v>
      </c>
      <c r="C401">
        <v>10</v>
      </c>
      <c r="E401" t="s">
        <v>1504</v>
      </c>
      <c r="F401">
        <v>1</v>
      </c>
    </row>
    <row r="402" spans="2:6" x14ac:dyDescent="0.35">
      <c r="B402" t="str">
        <v>Siemens Financial Services</v>
      </c>
      <c r="C402">
        <v>1</v>
      </c>
      <c r="E402" t="s">
        <v>1505</v>
      </c>
      <c r="F402">
        <v>1</v>
      </c>
    </row>
    <row r="403" spans="2:6" x14ac:dyDescent="0.35">
      <c r="B403" t="str">
        <v>Sana Sano Capital</v>
      </c>
      <c r="C403">
        <v>1</v>
      </c>
      <c r="E403" t="s">
        <v>1506</v>
      </c>
      <c r="F403">
        <v>1</v>
      </c>
    </row>
    <row r="404" spans="2:6" x14ac:dyDescent="0.35">
      <c r="B404" t="str">
        <v>SOSV</v>
      </c>
      <c r="C404">
        <v>8</v>
      </c>
      <c r="E404" t="s">
        <v>1509</v>
      </c>
      <c r="F404">
        <v>1</v>
      </c>
    </row>
    <row r="405" spans="2:6" x14ac:dyDescent="0.35">
      <c r="B405" t="str">
        <v>Checkmate Capital</v>
      </c>
      <c r="C405">
        <v>1</v>
      </c>
      <c r="E405" t="s">
        <v>1510</v>
      </c>
      <c r="F405">
        <v>1</v>
      </c>
    </row>
    <row r="406" spans="2:6" x14ac:dyDescent="0.35">
      <c r="B406" t="str">
        <v>Cowles Ventures</v>
      </c>
      <c r="C406">
        <v>2</v>
      </c>
      <c r="E406" t="s">
        <v>1511</v>
      </c>
      <c r="F406">
        <v>1</v>
      </c>
    </row>
    <row r="407" spans="2:6" x14ac:dyDescent="0.35">
      <c r="B407" t="str">
        <v>Milkbox Partners</v>
      </c>
      <c r="C407">
        <v>1</v>
      </c>
      <c r="E407" t="s">
        <v>1513</v>
      </c>
      <c r="F407">
        <v>1</v>
      </c>
    </row>
    <row r="408" spans="2:6" x14ac:dyDescent="0.35">
      <c r="B408" t="str">
        <v>Horizons Ventures</v>
      </c>
      <c r="C408">
        <v>3</v>
      </c>
      <c r="E408" t="s">
        <v>1517</v>
      </c>
      <c r="F408">
        <v>1</v>
      </c>
    </row>
    <row r="409" spans="2:6" x14ac:dyDescent="0.35">
      <c r="B409" t="str">
        <v>Temasek Holdings</v>
      </c>
      <c r="C409">
        <v>9</v>
      </c>
      <c r="E409" t="s">
        <v>1518</v>
      </c>
      <c r="F409">
        <v>1</v>
      </c>
    </row>
    <row r="410" spans="2:6" x14ac:dyDescent="0.35">
      <c r="B410" t="str">
        <v>GV</v>
      </c>
      <c r="C410">
        <v>3</v>
      </c>
      <c r="E410" t="s">
        <v>1524</v>
      </c>
      <c r="F410">
        <v>1</v>
      </c>
    </row>
    <row r="411" spans="2:6" x14ac:dyDescent="0.35">
      <c r="B411" t="str">
        <v>Open Philanthropy Project</v>
      </c>
      <c r="C411">
        <v>1</v>
      </c>
      <c r="E411" t="s">
        <v>1526</v>
      </c>
      <c r="F411">
        <v>1</v>
      </c>
    </row>
    <row r="412" spans="2:6" x14ac:dyDescent="0.35">
      <c r="B412" t="str">
        <v>Xandex Ventures</v>
      </c>
      <c r="C412">
        <v>1</v>
      </c>
      <c r="E412" t="s">
        <v>1527</v>
      </c>
      <c r="F412">
        <v>1</v>
      </c>
    </row>
    <row r="413" spans="2:6" x14ac:dyDescent="0.35">
      <c r="B413" t="str">
        <v>Conti Ventures</v>
      </c>
      <c r="C413">
        <v>5</v>
      </c>
      <c r="E413" t="s">
        <v>1528</v>
      </c>
      <c r="F413">
        <v>1</v>
      </c>
    </row>
    <row r="414" spans="2:6" x14ac:dyDescent="0.35">
      <c r="B414" t="str">
        <v>Neman Ventures</v>
      </c>
      <c r="C414">
        <v>1</v>
      </c>
      <c r="E414" t="s">
        <v>1530</v>
      </c>
      <c r="F414">
        <v>1</v>
      </c>
    </row>
    <row r="415" spans="2:6" x14ac:dyDescent="0.35">
      <c r="B415" t="str">
        <v>Lenox Partners</v>
      </c>
      <c r="C415">
        <v>1</v>
      </c>
      <c r="E415" t="s">
        <v>1531</v>
      </c>
      <c r="F415">
        <v>1</v>
      </c>
    </row>
    <row r="416" spans="2:6" x14ac:dyDescent="0.35">
      <c r="B416" t="str">
        <v>Ericsenz Capital</v>
      </c>
      <c r="C416">
        <v>1</v>
      </c>
      <c r="E416" t="s">
        <v>1532</v>
      </c>
      <c r="F416">
        <v>1</v>
      </c>
    </row>
    <row r="417" spans="2:6" x14ac:dyDescent="0.35">
      <c r="B417" t="str">
        <v>Sailing Capital</v>
      </c>
      <c r="C417">
        <v>1</v>
      </c>
      <c r="E417" t="s">
        <v>1534</v>
      </c>
      <c r="F417">
        <v>1</v>
      </c>
    </row>
    <row r="418" spans="2:6" x14ac:dyDescent="0.35">
      <c r="B418" t="str">
        <v>Next Play Capital</v>
      </c>
      <c r="C418">
        <v>2</v>
      </c>
      <c r="E418" t="s">
        <v>1535</v>
      </c>
      <c r="F418">
        <v>1</v>
      </c>
    </row>
    <row r="419" spans="2:6" x14ac:dyDescent="0.35">
      <c r="B419" t="str">
        <v>G Squared</v>
      </c>
      <c r="C419">
        <v>1</v>
      </c>
      <c r="E419" t="s">
        <v>1536</v>
      </c>
      <c r="F419">
        <v>1</v>
      </c>
    </row>
    <row r="420" spans="2:6" x14ac:dyDescent="0.35">
      <c r="B420" t="str">
        <v>CPT Capital</v>
      </c>
      <c r="C420">
        <v>2</v>
      </c>
      <c r="E420" t="s">
        <v>1537</v>
      </c>
      <c r="F420">
        <v>1</v>
      </c>
    </row>
    <row r="421" spans="2:6" x14ac:dyDescent="0.35">
      <c r="B421" t="str">
        <v>Five Seasons Ventures</v>
      </c>
      <c r="C421">
        <v>3</v>
      </c>
      <c r="E421" t="s">
        <v>1538</v>
      </c>
      <c r="F421">
        <v>1</v>
      </c>
    </row>
    <row r="422" spans="2:6" x14ac:dyDescent="0.35">
      <c r="B422" t="str">
        <v>Proioxis Ventures</v>
      </c>
      <c r="C422">
        <v>1</v>
      </c>
      <c r="E422" t="s">
        <v>1539</v>
      </c>
      <c r="F422">
        <v>1</v>
      </c>
    </row>
    <row r="423" spans="2:6" x14ac:dyDescent="0.35">
      <c r="B423" t="str">
        <v>Ben Jen Holdings</v>
      </c>
      <c r="C423">
        <v>1</v>
      </c>
      <c r="E423" t="s">
        <v>1540</v>
      </c>
      <c r="F423">
        <v>1</v>
      </c>
    </row>
    <row r="424" spans="2:6" x14ac:dyDescent="0.35">
      <c r="B424" t="str">
        <v>K2 Global</v>
      </c>
      <c r="C424">
        <v>1</v>
      </c>
      <c r="E424" t="s">
        <v>1541</v>
      </c>
      <c r="F424">
        <v>1</v>
      </c>
    </row>
    <row r="425" spans="2:6" x14ac:dyDescent="0.35">
      <c r="B425" t="str">
        <v>Pario Ventures</v>
      </c>
      <c r="C425">
        <v>1</v>
      </c>
      <c r="E425" t="s">
        <v>1542</v>
      </c>
      <c r="F425">
        <v>1</v>
      </c>
    </row>
    <row r="426" spans="2:6" x14ac:dyDescent="0.35">
      <c r="B426" t="str">
        <v>Khosla Ventures</v>
      </c>
      <c r="C426">
        <v>6</v>
      </c>
      <c r="E426" t="s">
        <v>599</v>
      </c>
      <c r="F426">
        <v>1</v>
      </c>
    </row>
    <row r="427" spans="2:6" x14ac:dyDescent="0.35">
      <c r="B427" t="str">
        <v>Mirae Asset Venture Investment</v>
      </c>
      <c r="C427">
        <v>1</v>
      </c>
      <c r="E427" t="s">
        <v>1543</v>
      </c>
      <c r="F427">
        <v>1</v>
      </c>
    </row>
    <row r="428" spans="2:6" x14ac:dyDescent="0.35">
      <c r="B428" t="str">
        <v>Bracket Capital</v>
      </c>
      <c r="C428">
        <v>1</v>
      </c>
      <c r="E428" t="s">
        <v>1544</v>
      </c>
      <c r="F428">
        <v>1</v>
      </c>
    </row>
    <row r="429" spans="2:6" x14ac:dyDescent="0.35">
      <c r="B429" t="str">
        <v>Toy Ventures</v>
      </c>
      <c r="C429">
        <v>1</v>
      </c>
      <c r="E429" t="s">
        <v>1545</v>
      </c>
      <c r="F429">
        <v>1</v>
      </c>
    </row>
    <row r="430" spans="2:6" x14ac:dyDescent="0.35">
      <c r="B430" t="str">
        <v>London Impact Ventures</v>
      </c>
      <c r="C430">
        <v>1</v>
      </c>
      <c r="E430" t="s">
        <v>1546</v>
      </c>
      <c r="F430">
        <v>1</v>
      </c>
    </row>
    <row r="431" spans="2:6" x14ac:dyDescent="0.35">
      <c r="B431" t="str">
        <v>Purav Patel</v>
      </c>
      <c r="C431">
        <v>1</v>
      </c>
      <c r="E431" t="s">
        <v>1547</v>
      </c>
      <c r="F431">
        <v>1</v>
      </c>
    </row>
    <row r="432" spans="2:6" x14ac:dyDescent="0.35">
      <c r="B432" t="str">
        <v>Christian Herrera</v>
      </c>
      <c r="C432">
        <v>1</v>
      </c>
      <c r="E432" t="s">
        <v>565</v>
      </c>
      <c r="F432">
        <v>1</v>
      </c>
    </row>
    <row r="433" spans="2:6" x14ac:dyDescent="0.35">
      <c r="B433" t="str">
        <v>Katy Perry</v>
      </c>
      <c r="C433">
        <v>1</v>
      </c>
      <c r="E433" t="s">
        <v>1548</v>
      </c>
      <c r="F433">
        <v>1</v>
      </c>
    </row>
    <row r="434" spans="2:6" x14ac:dyDescent="0.35">
      <c r="B434" t="str">
        <v>Jaden Smith</v>
      </c>
      <c r="C434">
        <v>1</v>
      </c>
      <c r="E434" t="s">
        <v>1550</v>
      </c>
      <c r="F434">
        <v>1</v>
      </c>
    </row>
    <row r="435" spans="2:6" x14ac:dyDescent="0.35">
      <c r="B435" t="str">
        <v>Julien Machot</v>
      </c>
      <c r="C435">
        <v>1</v>
      </c>
      <c r="E435" t="s">
        <v>1551</v>
      </c>
      <c r="F435">
        <v>1</v>
      </c>
    </row>
    <row r="436" spans="2:6" x14ac:dyDescent="0.35">
      <c r="B436" t="str">
        <v>Taslimm Quraishi</v>
      </c>
      <c r="C436">
        <v>1</v>
      </c>
      <c r="E436" t="s">
        <v>1552</v>
      </c>
      <c r="F436">
        <v>1</v>
      </c>
    </row>
    <row r="437" spans="2:6" x14ac:dyDescent="0.35">
      <c r="B437" t="str">
        <v>Vikas Sabnani</v>
      </c>
      <c r="C437">
        <v>1</v>
      </c>
      <c r="E437" t="s">
        <v>1553</v>
      </c>
      <c r="F437">
        <v>1</v>
      </c>
    </row>
    <row r="438" spans="2:6" x14ac:dyDescent="0.35">
      <c r="B438" t="str">
        <v>Randy Almaguer</v>
      </c>
      <c r="C438">
        <v>1</v>
      </c>
      <c r="E438" t="s">
        <v>1554</v>
      </c>
      <c r="F438">
        <v>1</v>
      </c>
    </row>
    <row r="439" spans="2:6" x14ac:dyDescent="0.35">
      <c r="B439" t="str">
        <v>Serena Williams</v>
      </c>
      <c r="C439">
        <v>1</v>
      </c>
      <c r="E439" t="s">
        <v>1555</v>
      </c>
      <c r="F439">
        <v>1</v>
      </c>
    </row>
    <row r="440" spans="2:6" x14ac:dyDescent="0.35">
      <c r="B440" t="str">
        <v>Jay Brown</v>
      </c>
      <c r="C440">
        <v>1</v>
      </c>
      <c r="E440" t="s">
        <v>1556</v>
      </c>
      <c r="F440">
        <v>1</v>
      </c>
    </row>
    <row r="441" spans="2:6" x14ac:dyDescent="0.35">
      <c r="B441" t="str">
        <v>Shawn Carter</v>
      </c>
      <c r="C441">
        <v>1</v>
      </c>
      <c r="E441" t="s">
        <v>1558</v>
      </c>
      <c r="F441">
        <v>1</v>
      </c>
    </row>
    <row r="442" spans="2:6" x14ac:dyDescent="0.35">
      <c r="B442" t="str">
        <v>Alexis Ohanian</v>
      </c>
      <c r="C442">
        <v>1</v>
      </c>
      <c r="E442" t="s">
        <v>1560</v>
      </c>
      <c r="F442">
        <v>1</v>
      </c>
    </row>
    <row r="443" spans="2:6" x14ac:dyDescent="0.35">
      <c r="B443" t="str">
        <v>William Gates</v>
      </c>
      <c r="C443">
        <v>3</v>
      </c>
      <c r="E443" t="s">
        <v>1561</v>
      </c>
      <c r="F443">
        <v>1</v>
      </c>
    </row>
    <row r="444" spans="2:6" x14ac:dyDescent="0.35">
      <c r="B444" t="str">
        <v>UBS Group</v>
      </c>
      <c r="C444">
        <v>1</v>
      </c>
      <c r="E444" t="s">
        <v>1563</v>
      </c>
      <c r="F444">
        <v>1</v>
      </c>
    </row>
    <row r="445" spans="2:6" x14ac:dyDescent="0.35">
      <c r="B445" t="str">
        <v>Viking Global Investors</v>
      </c>
      <c r="C445">
        <v>2</v>
      </c>
      <c r="E445" t="s">
        <v>473</v>
      </c>
      <c r="F445">
        <v>1</v>
      </c>
    </row>
    <row r="446" spans="2:6" x14ac:dyDescent="0.35">
      <c r="B446" t="str">
        <v>Late Stage Management</v>
      </c>
      <c r="C446">
        <v>1</v>
      </c>
      <c r="E446" t="s">
        <v>1565</v>
      </c>
      <c r="F446">
        <v>1</v>
      </c>
    </row>
    <row r="447" spans="2:6" x14ac:dyDescent="0.35">
      <c r="B447" t="str">
        <v>The Spaventa Group</v>
      </c>
      <c r="C447">
        <v>1</v>
      </c>
      <c r="E447" t="s">
        <v>1566</v>
      </c>
      <c r="F447">
        <v>1</v>
      </c>
    </row>
    <row r="448" spans="2:6" x14ac:dyDescent="0.35">
      <c r="B448" t="str">
        <v>Bridge Capital Holding</v>
      </c>
      <c r="C448">
        <v>1</v>
      </c>
      <c r="E448" t="s">
        <v>1568</v>
      </c>
      <c r="F448">
        <v>1</v>
      </c>
    </row>
    <row r="449" spans="2:6" x14ac:dyDescent="0.35">
      <c r="B449" t="str">
        <v>Buttonwood Group Advisors</v>
      </c>
      <c r="C449">
        <v>1</v>
      </c>
      <c r="E449" t="s">
        <v>1572</v>
      </c>
      <c r="F449">
        <v>1</v>
      </c>
    </row>
    <row r="450" spans="2:6" x14ac:dyDescent="0.35">
      <c r="B450" t="str">
        <v>Verso Holdings</v>
      </c>
      <c r="C450">
        <v>1</v>
      </c>
      <c r="E450" t="s">
        <v>1573</v>
      </c>
      <c r="F450">
        <v>1</v>
      </c>
    </row>
    <row r="451" spans="2:6" x14ac:dyDescent="0.35">
      <c r="B451" t="str">
        <v>Hivers &amp; Strivers (Rachel Hobert)</v>
      </c>
      <c r="C451">
        <v>1</v>
      </c>
      <c r="E451" t="s">
        <v>1574</v>
      </c>
      <c r="F451">
        <v>1</v>
      </c>
    </row>
    <row r="452" spans="2:6" x14ac:dyDescent="0.35">
      <c r="B452" t="str">
        <v>Smart City' Works - Infrastructure Actuator</v>
      </c>
      <c r="C452">
        <v>1</v>
      </c>
      <c r="E452" t="s">
        <v>1575</v>
      </c>
      <c r="F452">
        <v>1</v>
      </c>
    </row>
    <row r="453" spans="2:6" x14ac:dyDescent="0.35">
      <c r="B453" t="str">
        <v>FM Capital</v>
      </c>
      <c r="C453">
        <v>2</v>
      </c>
      <c r="E453" t="s">
        <v>1576</v>
      </c>
      <c r="F453">
        <v>1</v>
      </c>
    </row>
    <row r="454" spans="2:6" x14ac:dyDescent="0.35">
      <c r="B454" t="str">
        <v>PBJ Capital</v>
      </c>
      <c r="C454">
        <v>1</v>
      </c>
      <c r="E454" t="s">
        <v>1577</v>
      </c>
      <c r="F454">
        <v>1</v>
      </c>
    </row>
    <row r="455" spans="2:6" x14ac:dyDescent="0.35">
      <c r="B455" t="str">
        <v>Hon Hai Precision</v>
      </c>
      <c r="C455">
        <v>1</v>
      </c>
      <c r="E455" t="s">
        <v>1578</v>
      </c>
      <c r="F455">
        <v>1</v>
      </c>
    </row>
    <row r="456" spans="2:6" x14ac:dyDescent="0.35">
      <c r="B456" t="str">
        <v>WillowTree Investments</v>
      </c>
      <c r="C456">
        <v>1</v>
      </c>
      <c r="E456" t="s">
        <v>1579</v>
      </c>
      <c r="F456">
        <v>1</v>
      </c>
    </row>
    <row r="457" spans="2:6" x14ac:dyDescent="0.35">
      <c r="B457" t="str">
        <v>FedEx</v>
      </c>
      <c r="C457">
        <v>1</v>
      </c>
      <c r="E457" t="s">
        <v>1580</v>
      </c>
      <c r="F457">
        <v>1</v>
      </c>
    </row>
    <row r="458" spans="2:6" x14ac:dyDescent="0.35">
      <c r="B458" t="str">
        <v>FM Capital</v>
      </c>
      <c r="C458">
        <v>2</v>
      </c>
      <c r="E458" t="s">
        <v>611</v>
      </c>
      <c r="F458">
        <v>1</v>
      </c>
    </row>
    <row r="459" spans="2:6" x14ac:dyDescent="0.35">
      <c r="B459" t="str">
        <v>Foxconn Technology</v>
      </c>
      <c r="C459">
        <v>1</v>
      </c>
      <c r="E459" t="s">
        <v>612</v>
      </c>
      <c r="F459">
        <v>1</v>
      </c>
    </row>
    <row r="460" spans="2:6" x14ac:dyDescent="0.35">
      <c r="B460" t="str">
        <v>Liebenthal Ventures</v>
      </c>
      <c r="C460">
        <v>1</v>
      </c>
      <c r="E460" t="s">
        <v>480</v>
      </c>
      <c r="F460">
        <v>1</v>
      </c>
    </row>
    <row r="461" spans="2:6" x14ac:dyDescent="0.35">
      <c r="B461" t="str">
        <v>PassKey Invest</v>
      </c>
      <c r="C461">
        <v>1</v>
      </c>
      <c r="E461" t="s">
        <v>476</v>
      </c>
      <c r="F461">
        <v>1</v>
      </c>
    </row>
    <row r="462" spans="2:6" x14ac:dyDescent="0.35">
      <c r="B462" t="str">
        <v>Modern Energy</v>
      </c>
      <c r="C462">
        <v>2</v>
      </c>
      <c r="E462" t="s">
        <v>1582</v>
      </c>
      <c r="F462">
        <v>1</v>
      </c>
    </row>
    <row r="463" spans="2:6" x14ac:dyDescent="0.35">
      <c r="B463" t="str">
        <v>EIG</v>
      </c>
      <c r="C463">
        <v>1</v>
      </c>
      <c r="E463" t="s">
        <v>1583</v>
      </c>
      <c r="F463">
        <v>1</v>
      </c>
    </row>
    <row r="464" spans="2:6" x14ac:dyDescent="0.35">
      <c r="B464" t="str">
        <v>Modern Energy</v>
      </c>
      <c r="C464">
        <v>2</v>
      </c>
      <c r="E464" t="s">
        <v>1584</v>
      </c>
      <c r="F464">
        <v>1</v>
      </c>
    </row>
    <row r="465" spans="2:6" x14ac:dyDescent="0.35">
      <c r="B465" t="str">
        <v>Cottonwood Technology Fund</v>
      </c>
      <c r="C465">
        <v>1</v>
      </c>
      <c r="E465" t="s">
        <v>1585</v>
      </c>
      <c r="F465">
        <v>1</v>
      </c>
    </row>
    <row r="466" spans="2:6" x14ac:dyDescent="0.35">
      <c r="B466" t="str">
        <v>Central Texas Angel Network</v>
      </c>
      <c r="C466">
        <v>1</v>
      </c>
      <c r="E466" t="s">
        <v>1586</v>
      </c>
      <c r="F466">
        <v>1</v>
      </c>
    </row>
    <row r="467" spans="2:6" x14ac:dyDescent="0.35">
      <c r="B467" t="str">
        <v>David Palter</v>
      </c>
      <c r="C467">
        <v>1</v>
      </c>
      <c r="E467" t="s">
        <v>1588</v>
      </c>
      <c r="F467">
        <v>1</v>
      </c>
    </row>
    <row r="468" spans="2:6" x14ac:dyDescent="0.35">
      <c r="B468" t="str">
        <v>E8</v>
      </c>
      <c r="C468">
        <v>5</v>
      </c>
      <c r="E468" t="s">
        <v>1590</v>
      </c>
      <c r="F468">
        <v>1</v>
      </c>
    </row>
    <row r="469" spans="2:6" x14ac:dyDescent="0.35">
      <c r="B469" t="str">
        <v>FUND4SE</v>
      </c>
      <c r="C469">
        <v>1</v>
      </c>
      <c r="E469" t="s">
        <v>1591</v>
      </c>
      <c r="F469">
        <v>1</v>
      </c>
    </row>
    <row r="470" spans="2:6" x14ac:dyDescent="0.35">
      <c r="B470" t="str">
        <v>John Paulos</v>
      </c>
      <c r="C470">
        <v>1</v>
      </c>
      <c r="E470" t="s">
        <v>1592</v>
      </c>
      <c r="F470">
        <v>1</v>
      </c>
    </row>
    <row r="471" spans="2:6" x14ac:dyDescent="0.35">
      <c r="B471" t="str">
        <v>Lateral Capital Group</v>
      </c>
      <c r="C471">
        <v>1</v>
      </c>
      <c r="E471" t="s">
        <v>1593</v>
      </c>
      <c r="F471">
        <v>1</v>
      </c>
    </row>
    <row r="472" spans="2:6" x14ac:dyDescent="0.35">
      <c r="B472" t="str">
        <v>Momentum Glass</v>
      </c>
      <c r="C472">
        <v>1</v>
      </c>
      <c r="E472" t="s">
        <v>1596</v>
      </c>
      <c r="F472">
        <v>1</v>
      </c>
    </row>
    <row r="473" spans="2:6" x14ac:dyDescent="0.35">
      <c r="B473" t="str">
        <v>Paulos Holdings</v>
      </c>
      <c r="C473">
        <v>1</v>
      </c>
      <c r="E473" t="s">
        <v>1598</v>
      </c>
      <c r="F473">
        <v>1</v>
      </c>
    </row>
    <row r="474" spans="2:6" x14ac:dyDescent="0.35">
      <c r="B474" t="str">
        <v>R/GA Ventures</v>
      </c>
      <c r="C474">
        <v>1</v>
      </c>
      <c r="E474" t="s">
        <v>1600</v>
      </c>
      <c r="F474">
        <v>1</v>
      </c>
    </row>
    <row r="475" spans="2:6" x14ac:dyDescent="0.35">
      <c r="B475" t="str">
        <v>Saint-Gobain NOVA</v>
      </c>
      <c r="C475">
        <v>2</v>
      </c>
      <c r="E475" t="s">
        <v>1602</v>
      </c>
      <c r="F475">
        <v>1</v>
      </c>
    </row>
    <row r="476" spans="2:6" x14ac:dyDescent="0.35">
      <c r="B476" t="str">
        <v>SIFL</v>
      </c>
      <c r="C476">
        <v>1</v>
      </c>
      <c r="E476" t="s">
        <v>1603</v>
      </c>
      <c r="F476">
        <v>1</v>
      </c>
    </row>
    <row r="477" spans="2:6" x14ac:dyDescent="0.35">
      <c r="B477" t="str">
        <v>SLA Ventures</v>
      </c>
      <c r="C477">
        <v>1</v>
      </c>
      <c r="E477" t="s">
        <v>1604</v>
      </c>
      <c r="F477">
        <v>1</v>
      </c>
    </row>
    <row r="478" spans="2:6" x14ac:dyDescent="0.35">
      <c r="B478" t="str">
        <v>Technology Credit Union</v>
      </c>
      <c r="C478">
        <v>1</v>
      </c>
      <c r="E478" t="s">
        <v>1605</v>
      </c>
      <c r="F478">
        <v>1</v>
      </c>
    </row>
    <row r="479" spans="2:6" x14ac:dyDescent="0.35">
      <c r="B479" t="str">
        <v>VCFuel</v>
      </c>
      <c r="C479">
        <v>1</v>
      </c>
      <c r="E479" t="s">
        <v>1606</v>
      </c>
      <c r="F479">
        <v>1</v>
      </c>
    </row>
    <row r="480" spans="2:6" x14ac:dyDescent="0.35">
      <c r="B480" t="str">
        <v>Alumni Ventures</v>
      </c>
      <c r="C480">
        <v>3</v>
      </c>
      <c r="E480" t="s">
        <v>1607</v>
      </c>
      <c r="F480">
        <v>1</v>
      </c>
    </row>
    <row r="481" spans="2:6" x14ac:dyDescent="0.35">
      <c r="B481" t="str">
        <v>Saint-Gobain NOVA</v>
      </c>
      <c r="C481">
        <v>2</v>
      </c>
      <c r="E481" t="s">
        <v>1608</v>
      </c>
      <c r="F481">
        <v>1</v>
      </c>
    </row>
    <row r="482" spans="2:6" x14ac:dyDescent="0.35">
      <c r="B482" t="str">
        <v>TEDCO</v>
      </c>
      <c r="C482">
        <v>1</v>
      </c>
      <c r="E482" t="s">
        <v>1609</v>
      </c>
      <c r="F482">
        <v>1</v>
      </c>
    </row>
    <row r="483" spans="2:6" x14ac:dyDescent="0.35">
      <c r="B483" t="str">
        <v>Genesis Park</v>
      </c>
      <c r="C483">
        <v>1</v>
      </c>
      <c r="E483" t="s">
        <v>1610</v>
      </c>
      <c r="F483">
        <v>1</v>
      </c>
    </row>
    <row r="484" spans="2:6" x14ac:dyDescent="0.35">
      <c r="B484" t="str">
        <v>E8</v>
      </c>
      <c r="C484">
        <v>5</v>
      </c>
      <c r="E484" t="s">
        <v>1611</v>
      </c>
      <c r="F484">
        <v>1</v>
      </c>
    </row>
    <row r="485" spans="2:6" x14ac:dyDescent="0.35">
      <c r="B485" t="str">
        <v>Keiretsu Capital</v>
      </c>
      <c r="C485">
        <v>2</v>
      </c>
      <c r="E485" t="s">
        <v>1612</v>
      </c>
      <c r="F485">
        <v>1</v>
      </c>
    </row>
    <row r="486" spans="2:6" x14ac:dyDescent="0.35">
      <c r="B486" t="str">
        <v>Balcor Commercial</v>
      </c>
      <c r="C486">
        <v>1</v>
      </c>
      <c r="E486" t="s">
        <v>1613</v>
      </c>
      <c r="F486">
        <v>1</v>
      </c>
    </row>
    <row r="487" spans="2:6" x14ac:dyDescent="0.35">
      <c r="B487" t="str">
        <v>Hasatano Capital</v>
      </c>
      <c r="C487">
        <v>1</v>
      </c>
      <c r="E487" t="s">
        <v>1614</v>
      </c>
      <c r="F487">
        <v>1</v>
      </c>
    </row>
    <row r="488" spans="2:6" x14ac:dyDescent="0.35">
      <c r="B488" t="str">
        <v>Impact Assets</v>
      </c>
      <c r="C488">
        <v>3</v>
      </c>
      <c r="E488" t="s">
        <v>1615</v>
      </c>
      <c r="F488">
        <v>1</v>
      </c>
    </row>
    <row r="489" spans="2:6" x14ac:dyDescent="0.35">
      <c r="B489" t="str">
        <v>301</v>
      </c>
      <c r="C489">
        <v>1</v>
      </c>
      <c r="E489" t="s">
        <v>1617</v>
      </c>
      <c r="F489">
        <v>1</v>
      </c>
    </row>
    <row r="490" spans="2:6" x14ac:dyDescent="0.35">
      <c r="B490" t="str">
        <v>CAVU Consumer Partners</v>
      </c>
      <c r="C490">
        <v>1</v>
      </c>
      <c r="E490" t="s">
        <v>1618</v>
      </c>
      <c r="F490">
        <v>1</v>
      </c>
    </row>
    <row r="491" spans="2:6" x14ac:dyDescent="0.35">
      <c r="B491" t="str">
        <v>General Mills M13</v>
      </c>
      <c r="C491">
        <v>1</v>
      </c>
      <c r="E491" t="s">
        <v>1619</v>
      </c>
      <c r="F491">
        <v>1</v>
      </c>
    </row>
    <row r="492" spans="2:6" x14ac:dyDescent="0.35">
      <c r="B492" t="str">
        <v>Stray Dog Capital</v>
      </c>
      <c r="C492">
        <v>2</v>
      </c>
      <c r="E492" t="s">
        <v>618</v>
      </c>
      <c r="F492">
        <v>1</v>
      </c>
    </row>
    <row r="493" spans="2:6" x14ac:dyDescent="0.35">
      <c r="B493" t="str">
        <v>Unovis Asset Management</v>
      </c>
      <c r="C493">
        <v>3</v>
      </c>
      <c r="E493" t="s">
        <v>1620</v>
      </c>
      <c r="F493">
        <v>1</v>
      </c>
    </row>
    <row r="494" spans="2:6" x14ac:dyDescent="0.35">
      <c r="B494" t="str">
        <v>Hatch Blue</v>
      </c>
      <c r="C494">
        <v>1</v>
      </c>
      <c r="E494" t="s">
        <v>1621</v>
      </c>
      <c r="F494">
        <v>1</v>
      </c>
    </row>
    <row r="495" spans="2:6" x14ac:dyDescent="0.35">
      <c r="B495" t="str">
        <v>Moodoos Investments</v>
      </c>
      <c r="C495">
        <v>1</v>
      </c>
      <c r="E495" t="s">
        <v>1622</v>
      </c>
      <c r="F495">
        <v>1</v>
      </c>
    </row>
    <row r="496" spans="2:6" x14ac:dyDescent="0.35">
      <c r="B496" t="str">
        <v>Fenix Equity Group</v>
      </c>
      <c r="C496">
        <v>1</v>
      </c>
      <c r="E496" t="s">
        <v>1623</v>
      </c>
      <c r="F496">
        <v>1</v>
      </c>
    </row>
    <row r="497" spans="2:6" x14ac:dyDescent="0.35">
      <c r="B497" t="str">
        <v>Ancora Holdings Group</v>
      </c>
      <c r="C497">
        <v>1</v>
      </c>
      <c r="E497" t="s">
        <v>1625</v>
      </c>
      <c r="F497">
        <v>1</v>
      </c>
    </row>
    <row r="498" spans="2:6" x14ac:dyDescent="0.35">
      <c r="B498" t="str">
        <v>Nottingham Unlimited Ventures</v>
      </c>
      <c r="C498">
        <v>1</v>
      </c>
      <c r="E498" t="s">
        <v>1626</v>
      </c>
      <c r="F498">
        <v>1</v>
      </c>
    </row>
    <row r="499" spans="2:6" x14ac:dyDescent="0.35">
      <c r="B499" t="str">
        <v>Cresta Fund Management</v>
      </c>
      <c r="C499">
        <v>1</v>
      </c>
      <c r="E499" t="s">
        <v>1627</v>
      </c>
      <c r="F499">
        <v>1</v>
      </c>
    </row>
    <row r="500" spans="2:6" x14ac:dyDescent="0.35">
      <c r="B500" t="str">
        <v>Philippa Gawley</v>
      </c>
      <c r="C500">
        <v>1</v>
      </c>
      <c r="E500" t="s">
        <v>1629</v>
      </c>
      <c r="F500">
        <v>1</v>
      </c>
    </row>
    <row r="501" spans="2:6" x14ac:dyDescent="0.35">
      <c r="B501" t="str">
        <v>E8</v>
      </c>
      <c r="C501">
        <v>5</v>
      </c>
      <c r="E501" t="s">
        <v>1630</v>
      </c>
      <c r="F501">
        <v>1</v>
      </c>
    </row>
    <row r="502" spans="2:6" x14ac:dyDescent="0.35">
      <c r="B502" t="str">
        <v>Harbor Street Ventures</v>
      </c>
      <c r="C502">
        <v>1</v>
      </c>
      <c r="E502" t="s">
        <v>1631</v>
      </c>
      <c r="F502">
        <v>1</v>
      </c>
    </row>
    <row r="503" spans="2:6" x14ac:dyDescent="0.35">
      <c r="B503" t="str">
        <v>PRIME Coalition</v>
      </c>
      <c r="C503">
        <v>3</v>
      </c>
      <c r="E503" t="s">
        <v>1633</v>
      </c>
      <c r="F503">
        <v>1</v>
      </c>
    </row>
    <row r="504" spans="2:6" x14ac:dyDescent="0.35">
      <c r="B504" t="str">
        <v>Tribeca Early Stage Partners</v>
      </c>
      <c r="C504">
        <v>1</v>
      </c>
      <c r="E504" t="s">
        <v>1634</v>
      </c>
      <c r="F504">
        <v>1</v>
      </c>
    </row>
    <row r="505" spans="2:6" x14ac:dyDescent="0.35">
      <c r="B505" t="str">
        <v>Cantos Ventures</v>
      </c>
      <c r="C505">
        <v>1</v>
      </c>
      <c r="E505" t="s">
        <v>1635</v>
      </c>
      <c r="F505">
        <v>1</v>
      </c>
    </row>
    <row r="506" spans="2:6" x14ac:dyDescent="0.35">
      <c r="B506" t="str">
        <v>Cibersons</v>
      </c>
      <c r="C506">
        <v>1</v>
      </c>
      <c r="E506" t="s">
        <v>1636</v>
      </c>
      <c r="F506">
        <v>1</v>
      </c>
    </row>
    <row r="507" spans="2:6" x14ac:dyDescent="0.35">
      <c r="B507" t="str">
        <v>Collaborative Fund</v>
      </c>
      <c r="C507">
        <v>8</v>
      </c>
      <c r="E507" t="s">
        <v>1637</v>
      </c>
      <c r="F507">
        <v>1</v>
      </c>
    </row>
    <row r="508" spans="2:6" x14ac:dyDescent="0.35">
      <c r="B508" t="str">
        <v>Incite Ventures</v>
      </c>
      <c r="C508">
        <v>2</v>
      </c>
      <c r="E508" t="s">
        <v>1639</v>
      </c>
      <c r="F508">
        <v>1</v>
      </c>
    </row>
    <row r="509" spans="2:6" x14ac:dyDescent="0.35">
      <c r="B509" t="str">
        <v>Social Impact Capital</v>
      </c>
      <c r="C509">
        <v>2</v>
      </c>
      <c r="E509" t="s">
        <v>1640</v>
      </c>
      <c r="F509">
        <v>1</v>
      </c>
    </row>
    <row r="510" spans="2:6" x14ac:dyDescent="0.35">
      <c r="B510" t="str">
        <v>Voyager</v>
      </c>
      <c r="C510">
        <v>1</v>
      </c>
      <c r="E510" t="s">
        <v>1641</v>
      </c>
      <c r="F510">
        <v>1</v>
      </c>
    </row>
    <row r="511" spans="2:6" x14ac:dyDescent="0.35">
      <c r="B511" t="str">
        <v>Impact Science Ventures</v>
      </c>
      <c r="C511">
        <v>2</v>
      </c>
      <c r="E511" t="s">
        <v>1642</v>
      </c>
      <c r="F511">
        <v>1</v>
      </c>
    </row>
    <row r="512" spans="2:6" x14ac:dyDescent="0.35">
      <c r="B512" t="str">
        <v>Khosla Ventures</v>
      </c>
      <c r="C512">
        <v>6</v>
      </c>
      <c r="E512" t="s">
        <v>1643</v>
      </c>
      <c r="F512">
        <v>1</v>
      </c>
    </row>
    <row r="513" spans="2:6" x14ac:dyDescent="0.35">
      <c r="B513" t="str">
        <v>Clean Energy Venture Group</v>
      </c>
      <c r="C513">
        <v>2</v>
      </c>
      <c r="E513" t="s">
        <v>1644</v>
      </c>
      <c r="F513">
        <v>1</v>
      </c>
    </row>
    <row r="514" spans="2:6" x14ac:dyDescent="0.35">
      <c r="B514" t="str">
        <v>Clean Energy Ventures</v>
      </c>
      <c r="C514">
        <v>3</v>
      </c>
      <c r="E514" t="s">
        <v>1645</v>
      </c>
      <c r="F514">
        <v>1</v>
      </c>
    </row>
    <row r="515" spans="2:6" x14ac:dyDescent="0.35">
      <c r="B515" t="str">
        <v>Greentown Labs</v>
      </c>
      <c r="C515">
        <v>1</v>
      </c>
      <c r="E515" t="s">
        <v>1646</v>
      </c>
      <c r="F515">
        <v>1</v>
      </c>
    </row>
    <row r="516" spans="2:6" x14ac:dyDescent="0.35">
      <c r="B516" t="str">
        <v>H/L Ventures</v>
      </c>
      <c r="C516">
        <v>3</v>
      </c>
      <c r="E516" t="s">
        <v>1647</v>
      </c>
      <c r="F516">
        <v>1</v>
      </c>
    </row>
    <row r="517" spans="2:6" x14ac:dyDescent="0.35">
      <c r="B517" t="str">
        <v>Lighthouse</v>
      </c>
      <c r="C517">
        <v>1</v>
      </c>
      <c r="E517" t="s">
        <v>1648</v>
      </c>
      <c r="F517">
        <v>1</v>
      </c>
    </row>
    <row r="518" spans="2:6" x14ac:dyDescent="0.35">
      <c r="B518" t="str">
        <v>Apex Companies</v>
      </c>
      <c r="C518">
        <v>1</v>
      </c>
      <c r="E518" t="s">
        <v>1649</v>
      </c>
      <c r="F518">
        <v>1</v>
      </c>
    </row>
    <row r="519" spans="2:6" x14ac:dyDescent="0.35">
      <c r="B519" t="str">
        <v>Closed Loop Partners</v>
      </c>
      <c r="C519">
        <v>2</v>
      </c>
      <c r="E519" t="s">
        <v>1650</v>
      </c>
      <c r="F519">
        <v>1</v>
      </c>
    </row>
    <row r="520" spans="2:6" x14ac:dyDescent="0.35">
      <c r="B520" t="str">
        <v>KRG Capital Partners</v>
      </c>
      <c r="C520">
        <v>2</v>
      </c>
      <c r="E520" t="s">
        <v>1652</v>
      </c>
      <c r="F520">
        <v>1</v>
      </c>
    </row>
    <row r="521" spans="2:6" x14ac:dyDescent="0.35">
      <c r="B521" t="str">
        <v>Gratitude Railroad</v>
      </c>
      <c r="C521">
        <v>3</v>
      </c>
      <c r="E521" t="s">
        <v>1653</v>
      </c>
      <c r="F521">
        <v>1</v>
      </c>
    </row>
    <row r="522" spans="2:6" x14ac:dyDescent="0.35">
      <c r="B522" t="str">
        <v>Magic Hour (New York)</v>
      </c>
      <c r="C522">
        <v>1</v>
      </c>
      <c r="E522" t="s">
        <v>1655</v>
      </c>
      <c r="F522">
        <v>1</v>
      </c>
    </row>
    <row r="523" spans="2:6" x14ac:dyDescent="0.35">
      <c r="B523" t="str">
        <v>Geekdom Fund</v>
      </c>
      <c r="C523">
        <v>2</v>
      </c>
      <c r="E523" t="s">
        <v>1656</v>
      </c>
      <c r="F523">
        <v>1</v>
      </c>
    </row>
    <row r="524" spans="2:6" x14ac:dyDescent="0.35">
      <c r="B524" t="str">
        <v>For Good Ventures</v>
      </c>
      <c r="C524">
        <v>3</v>
      </c>
      <c r="E524" t="s">
        <v>1658</v>
      </c>
      <c r="F524">
        <v>1</v>
      </c>
    </row>
    <row r="525" spans="2:6" x14ac:dyDescent="0.35">
      <c r="B525" t="str">
        <v>Loli On-The-Field</v>
      </c>
      <c r="C525">
        <v>1</v>
      </c>
      <c r="E525" t="s">
        <v>1659</v>
      </c>
      <c r="F525">
        <v>1</v>
      </c>
    </row>
    <row r="526" spans="2:6" x14ac:dyDescent="0.35">
      <c r="B526" t="str">
        <v>Alumni Ventures</v>
      </c>
      <c r="C526">
        <v>3</v>
      </c>
      <c r="E526" t="s">
        <v>1660</v>
      </c>
      <c r="F526">
        <v>1</v>
      </c>
    </row>
    <row r="527" spans="2:6" x14ac:dyDescent="0.35">
      <c r="B527" t="str">
        <v>Ehukai Investments</v>
      </c>
      <c r="C527">
        <v>1</v>
      </c>
      <c r="E527" t="s">
        <v>1661</v>
      </c>
      <c r="F527">
        <v>1</v>
      </c>
    </row>
    <row r="528" spans="2:6" x14ac:dyDescent="0.35">
      <c r="B528" t="str">
        <v>Trent Orr</v>
      </c>
      <c r="C528">
        <v>1</v>
      </c>
      <c r="E528" t="s">
        <v>1662</v>
      </c>
      <c r="F528">
        <v>1</v>
      </c>
    </row>
    <row r="529" spans="2:6" x14ac:dyDescent="0.35">
      <c r="B529" t="str">
        <v>Elizabeth S. Heavener</v>
      </c>
      <c r="C529">
        <v>1</v>
      </c>
      <c r="E529" t="s">
        <v>1663</v>
      </c>
      <c r="F529">
        <v>1</v>
      </c>
    </row>
    <row r="530" spans="2:6" x14ac:dyDescent="0.35">
      <c r="B530" t="str">
        <v>Serena Woodward</v>
      </c>
      <c r="C530">
        <v>1</v>
      </c>
      <c r="E530" t="s">
        <v>1664</v>
      </c>
      <c r="F530">
        <v>1</v>
      </c>
    </row>
    <row r="531" spans="2:6" x14ac:dyDescent="0.35">
      <c r="B531" t="str">
        <v>Clayton A. Rockefeller</v>
      </c>
      <c r="C531">
        <v>1</v>
      </c>
      <c r="E531" t="s">
        <v>1666</v>
      </c>
      <c r="F531">
        <v>1</v>
      </c>
    </row>
    <row r="532" spans="2:6" x14ac:dyDescent="0.35">
      <c r="B532" t="str">
        <v>Nathan G. Walworth</v>
      </c>
      <c r="C532">
        <v>1</v>
      </c>
      <c r="E532" t="s">
        <v>1667</v>
      </c>
      <c r="F532">
        <v>1</v>
      </c>
    </row>
    <row r="533" spans="2:6" x14ac:dyDescent="0.35">
      <c r="B533" t="str">
        <v>Brian Henry</v>
      </c>
      <c r="C533">
        <v>1</v>
      </c>
      <c r="E533" t="s">
        <v>1668</v>
      </c>
      <c r="F533">
        <v>1</v>
      </c>
    </row>
    <row r="534" spans="2:6" x14ac:dyDescent="0.35">
      <c r="B534" t="str">
        <v>Austin Henry</v>
      </c>
      <c r="C534">
        <v>1</v>
      </c>
      <c r="E534" t="s">
        <v>1669</v>
      </c>
      <c r="F534">
        <v>1</v>
      </c>
    </row>
    <row r="535" spans="2:6" x14ac:dyDescent="0.35">
      <c r="B535" t="str">
        <v>Eduardo Vitols</v>
      </c>
      <c r="C535">
        <v>2</v>
      </c>
      <c r="E535" t="s">
        <v>1670</v>
      </c>
      <c r="F535">
        <v>1</v>
      </c>
    </row>
    <row r="536" spans="2:6" x14ac:dyDescent="0.35">
      <c r="B536" t="str">
        <v>NaHCO3</v>
      </c>
      <c r="C536">
        <v>1</v>
      </c>
      <c r="E536" t="s">
        <v>1671</v>
      </c>
      <c r="F536">
        <v>1</v>
      </c>
    </row>
    <row r="537" spans="2:6" x14ac:dyDescent="0.35">
      <c r="B537" t="str">
        <v>German Property Group</v>
      </c>
      <c r="C537">
        <v>2</v>
      </c>
      <c r="E537" t="s">
        <v>1672</v>
      </c>
      <c r="F537">
        <v>1</v>
      </c>
    </row>
    <row r="538" spans="2:6" x14ac:dyDescent="0.35">
      <c r="B538" t="str">
        <v>Ten Eighty Capital</v>
      </c>
      <c r="C538">
        <v>1</v>
      </c>
      <c r="E538" t="s">
        <v>1674</v>
      </c>
      <c r="F538">
        <v>1</v>
      </c>
    </row>
    <row r="539" spans="2:6" x14ac:dyDescent="0.35">
      <c r="B539" t="str">
        <v>Tuna Investments</v>
      </c>
      <c r="C539">
        <v>1</v>
      </c>
      <c r="E539" t="s">
        <v>1675</v>
      </c>
      <c r="F539">
        <v>1</v>
      </c>
    </row>
    <row r="540" spans="2:6" x14ac:dyDescent="0.35">
      <c r="B540" t="str">
        <v>K2X</v>
      </c>
      <c r="C540">
        <v>1</v>
      </c>
      <c r="E540" t="s">
        <v>1678</v>
      </c>
      <c r="F540">
        <v>1</v>
      </c>
    </row>
    <row r="541" spans="2:6" x14ac:dyDescent="0.35">
      <c r="B541" t="str">
        <v>Anthropocene Ventures</v>
      </c>
      <c r="C541">
        <v>3</v>
      </c>
      <c r="E541" t="s">
        <v>1679</v>
      </c>
      <c r="F541">
        <v>1</v>
      </c>
    </row>
    <row r="542" spans="2:6" x14ac:dyDescent="0.35">
      <c r="B542" t="str">
        <v>Engage Venture Partners</v>
      </c>
      <c r="C542">
        <v>1</v>
      </c>
      <c r="E542" t="s">
        <v>1680</v>
      </c>
      <c r="F542">
        <v>1</v>
      </c>
    </row>
    <row r="543" spans="2:6" x14ac:dyDescent="0.35">
      <c r="B543" t="str">
        <v>Joseph L Stornelli</v>
      </c>
      <c r="C543">
        <v>1</v>
      </c>
      <c r="E543" t="s">
        <v>1681</v>
      </c>
      <c r="F543">
        <v>1</v>
      </c>
    </row>
    <row r="544" spans="2:6" x14ac:dyDescent="0.35">
      <c r="B544" t="str">
        <v>Andrew J Kabatch</v>
      </c>
      <c r="C544">
        <v>1</v>
      </c>
      <c r="E544" t="s">
        <v>1682</v>
      </c>
      <c r="F544">
        <v>1</v>
      </c>
    </row>
    <row r="545" spans="2:6" x14ac:dyDescent="0.35">
      <c r="B545" t="str">
        <v>R. Brent Alderfer</v>
      </c>
      <c r="C545">
        <v>1</v>
      </c>
      <c r="E545" t="s">
        <v>1683</v>
      </c>
      <c r="F545">
        <v>1</v>
      </c>
    </row>
    <row r="546" spans="2:6" x14ac:dyDescent="0.35">
      <c r="B546" t="str">
        <v>Sachin S Joshi</v>
      </c>
      <c r="C546">
        <v>1</v>
      </c>
      <c r="E546" t="s">
        <v>1684</v>
      </c>
      <c r="F546">
        <v>1</v>
      </c>
    </row>
    <row r="547" spans="2:6" x14ac:dyDescent="0.35">
      <c r="B547" t="str">
        <v>John M. Bianchi</v>
      </c>
      <c r="C547">
        <v>1</v>
      </c>
      <c r="E547" t="s">
        <v>1685</v>
      </c>
      <c r="F547">
        <v>1</v>
      </c>
    </row>
    <row r="548" spans="2:6" x14ac:dyDescent="0.35">
      <c r="B548" t="str">
        <v>Robert Durr</v>
      </c>
      <c r="C548">
        <v>1</v>
      </c>
      <c r="E548" t="s">
        <v>1686</v>
      </c>
      <c r="F548">
        <v>1</v>
      </c>
    </row>
    <row r="549" spans="2:6" x14ac:dyDescent="0.35">
      <c r="B549" t="str">
        <v>German Property Group</v>
      </c>
      <c r="C549">
        <v>2</v>
      </c>
      <c r="E549" t="s">
        <v>482</v>
      </c>
      <c r="F549">
        <v>1</v>
      </c>
    </row>
    <row r="550" spans="2:6" x14ac:dyDescent="0.35">
      <c r="B550" t="str">
        <v>Kilara Capital</v>
      </c>
      <c r="C550">
        <v>1</v>
      </c>
      <c r="E550" t="s">
        <v>1687</v>
      </c>
      <c r="F550">
        <v>1</v>
      </c>
    </row>
    <row r="551" spans="2:6" x14ac:dyDescent="0.35">
      <c r="B551" t="str">
        <v>Kingswood Capital Partners</v>
      </c>
      <c r="C551">
        <v>1</v>
      </c>
      <c r="E551" t="s">
        <v>1688</v>
      </c>
      <c r="F551">
        <v>1</v>
      </c>
    </row>
    <row r="552" spans="2:6" x14ac:dyDescent="0.35">
      <c r="B552" t="str">
        <v>KRG Capital Partners</v>
      </c>
      <c r="C552">
        <v>2</v>
      </c>
      <c r="E552" t="s">
        <v>1690</v>
      </c>
      <c r="F552">
        <v>1</v>
      </c>
    </row>
    <row r="553" spans="2:6" x14ac:dyDescent="0.35">
      <c r="B553" t="str">
        <v>Closed Loop Partners</v>
      </c>
      <c r="C553">
        <v>2</v>
      </c>
      <c r="E553" t="s">
        <v>1693</v>
      </c>
      <c r="F553">
        <v>1</v>
      </c>
    </row>
    <row r="554" spans="2:6" x14ac:dyDescent="0.35">
      <c r="B554" t="str">
        <v>For Good Ventures</v>
      </c>
      <c r="C554">
        <v>3</v>
      </c>
      <c r="E554" t="s">
        <v>1694</v>
      </c>
      <c r="F554">
        <v>1</v>
      </c>
    </row>
    <row r="555" spans="2:6" x14ac:dyDescent="0.35">
      <c r="B555" t="str">
        <v>Moskal Capital Partners</v>
      </c>
      <c r="C555">
        <v>1</v>
      </c>
      <c r="E555" t="s">
        <v>1695</v>
      </c>
      <c r="F555">
        <v>1</v>
      </c>
    </row>
    <row r="556" spans="2:6" x14ac:dyDescent="0.35">
      <c r="B556" t="str">
        <v>TWB Investment</v>
      </c>
      <c r="C556">
        <v>1</v>
      </c>
      <c r="E556" t="s">
        <v>1696</v>
      </c>
      <c r="F556">
        <v>1</v>
      </c>
    </row>
    <row r="557" spans="2:6" x14ac:dyDescent="0.35">
      <c r="B557" t="str">
        <v>Gratitude Railroad</v>
      </c>
      <c r="C557">
        <v>3</v>
      </c>
      <c r="E557" t="s">
        <v>578</v>
      </c>
      <c r="F557">
        <v>1</v>
      </c>
    </row>
    <row r="558" spans="2:6" x14ac:dyDescent="0.35">
      <c r="B558" t="str">
        <v>Sunset Ventures</v>
      </c>
      <c r="C558">
        <v>1</v>
      </c>
      <c r="E558" t="s">
        <v>1698</v>
      </c>
      <c r="F558">
        <v>1</v>
      </c>
    </row>
    <row r="559" spans="2:6" x14ac:dyDescent="0.35">
      <c r="B559" t="str">
        <v>H/L Ventures</v>
      </c>
      <c r="C559">
        <v>3</v>
      </c>
      <c r="E559" t="s">
        <v>1699</v>
      </c>
      <c r="F559">
        <v>1</v>
      </c>
    </row>
    <row r="560" spans="2:6" x14ac:dyDescent="0.35">
      <c r="B560" t="str">
        <v>Geekdom Fund</v>
      </c>
      <c r="C560">
        <v>2</v>
      </c>
      <c r="E560" t="s">
        <v>1700</v>
      </c>
      <c r="F560">
        <v>1</v>
      </c>
    </row>
    <row r="561" spans="2:6" x14ac:dyDescent="0.35">
      <c r="B561" t="str">
        <v>Sustainable Ocean Alliance</v>
      </c>
      <c r="C561">
        <v>1</v>
      </c>
      <c r="E561" t="s">
        <v>1701</v>
      </c>
      <c r="F561">
        <v>1</v>
      </c>
    </row>
    <row r="562" spans="2:6" x14ac:dyDescent="0.35">
      <c r="B562" t="str">
        <v>Alan Chung</v>
      </c>
      <c r="C562">
        <v>1</v>
      </c>
      <c r="E562" t="s">
        <v>1702</v>
      </c>
      <c r="F562">
        <v>1</v>
      </c>
    </row>
    <row r="563" spans="2:6" x14ac:dyDescent="0.35">
      <c r="B563" t="str">
        <v>Eduardo Vitols</v>
      </c>
      <c r="C563">
        <v>2</v>
      </c>
      <c r="E563" t="s">
        <v>1703</v>
      </c>
      <c r="F563">
        <v>1</v>
      </c>
    </row>
    <row r="564" spans="2:6" x14ac:dyDescent="0.35">
      <c r="B564" t="str">
        <v>Gisele Brisson</v>
      </c>
      <c r="C564">
        <v>1</v>
      </c>
      <c r="E564" t="s">
        <v>1704</v>
      </c>
      <c r="F564">
        <v>1</v>
      </c>
    </row>
    <row r="565" spans="2:6" x14ac:dyDescent="0.35">
      <c r="B565" t="str">
        <v>Beth S. Horowitz</v>
      </c>
      <c r="C565">
        <v>1</v>
      </c>
      <c r="E565" t="s">
        <v>1435</v>
      </c>
      <c r="F565">
        <v>1</v>
      </c>
    </row>
    <row r="566" spans="2:6" x14ac:dyDescent="0.35">
      <c r="B566" t="str">
        <v>Margaret Segal</v>
      </c>
      <c r="C566">
        <v>1</v>
      </c>
      <c r="E566" t="s">
        <v>1705</v>
      </c>
      <c r="F566">
        <v>1</v>
      </c>
    </row>
    <row r="567" spans="2:6" x14ac:dyDescent="0.35">
      <c r="B567" t="str">
        <v>Howard Levine</v>
      </c>
      <c r="C567">
        <v>1</v>
      </c>
      <c r="E567" t="s">
        <v>483</v>
      </c>
      <c r="F567">
        <v>1</v>
      </c>
    </row>
    <row r="568" spans="2:6" x14ac:dyDescent="0.35">
      <c r="B568" t="str">
        <v>Peter Libby</v>
      </c>
      <c r="C568">
        <v>1</v>
      </c>
      <c r="E568" t="s">
        <v>1706</v>
      </c>
      <c r="F568">
        <v>1</v>
      </c>
    </row>
    <row r="569" spans="2:6" x14ac:dyDescent="0.35">
      <c r="B569" t="str">
        <v>Seabird Ventures</v>
      </c>
      <c r="C569">
        <v>2</v>
      </c>
      <c r="E569" t="s">
        <v>1710</v>
      </c>
      <c r="F569">
        <v>1</v>
      </c>
    </row>
    <row r="570" spans="2:6" x14ac:dyDescent="0.35">
      <c r="B570" t="str">
        <v>Impact Assets</v>
      </c>
      <c r="C570">
        <v>3</v>
      </c>
      <c r="E570" t="s">
        <v>1711</v>
      </c>
      <c r="F570">
        <v>1</v>
      </c>
    </row>
    <row r="571" spans="2:6" x14ac:dyDescent="0.35">
      <c r="B571" t="str">
        <v>NaHCO3 and Empire State Developmen</v>
      </c>
      <c r="C571">
        <v>1</v>
      </c>
      <c r="E571" t="s">
        <v>1713</v>
      </c>
      <c r="F571">
        <v>1</v>
      </c>
    </row>
    <row r="572" spans="2:6" x14ac:dyDescent="0.35">
      <c r="B572" t="str">
        <v>Agility Ventures</v>
      </c>
      <c r="C572">
        <v>1</v>
      </c>
      <c r="E572" t="s">
        <v>1715</v>
      </c>
      <c r="F572">
        <v>1</v>
      </c>
    </row>
    <row r="573" spans="2:6" x14ac:dyDescent="0.35">
      <c r="B573" t="str">
        <v>Fifth Wall</v>
      </c>
      <c r="C573">
        <v>1</v>
      </c>
      <c r="E573" t="s">
        <v>1716</v>
      </c>
      <c r="F573">
        <v>1</v>
      </c>
    </row>
    <row r="574" spans="2:6" x14ac:dyDescent="0.35">
      <c r="B574" t="str">
        <v>Keystone National Group</v>
      </c>
      <c r="C574">
        <v>1</v>
      </c>
      <c r="E574" t="s">
        <v>1717</v>
      </c>
      <c r="F574">
        <v>1</v>
      </c>
    </row>
    <row r="575" spans="2:6" x14ac:dyDescent="0.35">
      <c r="B575" t="str">
        <v>Kalyan Vepuri</v>
      </c>
      <c r="C575">
        <v>1</v>
      </c>
      <c r="E575" t="s">
        <v>1718</v>
      </c>
      <c r="F575">
        <v>1</v>
      </c>
    </row>
    <row r="576" spans="2:6" x14ac:dyDescent="0.35">
      <c r="B576" t="str">
        <v>LG Technology Ventures</v>
      </c>
      <c r="C576">
        <v>1</v>
      </c>
      <c r="E576" t="s">
        <v>1719</v>
      </c>
      <c r="F576">
        <v>1</v>
      </c>
    </row>
    <row r="577" spans="2:6" x14ac:dyDescent="0.35">
      <c r="B577" t="str">
        <v>Stonepeak Partners</v>
      </c>
      <c r="C577">
        <v>1</v>
      </c>
      <c r="E577" t="s">
        <v>1720</v>
      </c>
      <c r="F577">
        <v>1</v>
      </c>
    </row>
    <row r="578" spans="2:6" x14ac:dyDescent="0.35">
      <c r="B578" t="str">
        <v>EGI Capital</v>
      </c>
      <c r="C578">
        <v>1</v>
      </c>
      <c r="E578" t="s">
        <v>1721</v>
      </c>
      <c r="F578">
        <v>1</v>
      </c>
    </row>
    <row r="579" spans="2:6" x14ac:dyDescent="0.35">
      <c r="B579" t="str">
        <v>Taihill Venture</v>
      </c>
      <c r="C579">
        <v>1</v>
      </c>
      <c r="E579" t="s">
        <v>1723</v>
      </c>
      <c r="F579">
        <v>1</v>
      </c>
    </row>
    <row r="580" spans="2:6" x14ac:dyDescent="0.35">
      <c r="B580" t="str">
        <v>Sand Hill Angels</v>
      </c>
      <c r="C580">
        <v>1</v>
      </c>
      <c r="E580" t="s">
        <v>490</v>
      </c>
      <c r="F580">
        <v>1</v>
      </c>
    </row>
    <row r="581" spans="2:6" x14ac:dyDescent="0.35">
      <c r="B581" t="str">
        <v>Ecolab</v>
      </c>
      <c r="C581">
        <v>1</v>
      </c>
      <c r="E581" t="s">
        <v>1724</v>
      </c>
      <c r="F581">
        <v>1</v>
      </c>
    </row>
    <row r="582" spans="2:6" x14ac:dyDescent="0.35">
      <c r="B582" t="str">
        <v>GiantLeap Capital</v>
      </c>
      <c r="C582">
        <v>1</v>
      </c>
      <c r="E582" t="s">
        <v>579</v>
      </c>
      <c r="F582">
        <v>1</v>
      </c>
    </row>
    <row r="583" spans="2:6" x14ac:dyDescent="0.35">
      <c r="B583" t="str">
        <v>Indico Capital Partners</v>
      </c>
      <c r="C583">
        <v>1</v>
      </c>
      <c r="E583" t="s">
        <v>1725</v>
      </c>
      <c r="F583">
        <v>1</v>
      </c>
    </row>
    <row r="584" spans="2:6" x14ac:dyDescent="0.35">
      <c r="B584" t="str">
        <v>Lam Research</v>
      </c>
      <c r="C584">
        <v>1</v>
      </c>
      <c r="E584" t="s">
        <v>1726</v>
      </c>
      <c r="F584">
        <v>1</v>
      </c>
    </row>
    <row r="585" spans="2:6" x14ac:dyDescent="0.35">
      <c r="B585" t="str">
        <v>New York Angels</v>
      </c>
      <c r="C585">
        <v>1</v>
      </c>
      <c r="E585" t="s">
        <v>1727</v>
      </c>
      <c r="F585">
        <v>1</v>
      </c>
    </row>
    <row r="586" spans="2:6" x14ac:dyDescent="0.35">
      <c r="B586" t="str">
        <v>Pangaea Ventures</v>
      </c>
      <c r="C586">
        <v>1</v>
      </c>
      <c r="E586" t="s">
        <v>1728</v>
      </c>
      <c r="F586">
        <v>1</v>
      </c>
    </row>
    <row r="587" spans="2:6" x14ac:dyDescent="0.35">
      <c r="B587" t="str">
        <v>PuraTerra Ventures</v>
      </c>
      <c r="C587">
        <v>1</v>
      </c>
      <c r="E587" t="s">
        <v>1729</v>
      </c>
      <c r="F587">
        <v>1</v>
      </c>
    </row>
    <row r="588" spans="2:6" x14ac:dyDescent="0.35">
      <c r="B588" t="str">
        <v>Safar Partners</v>
      </c>
      <c r="C588">
        <v>7</v>
      </c>
      <c r="E588" t="s">
        <v>1730</v>
      </c>
      <c r="F588">
        <v>1</v>
      </c>
    </row>
    <row r="589" spans="2:6" x14ac:dyDescent="0.35">
      <c r="B589" t="str">
        <v>W.L. Gore &amp; Associates</v>
      </c>
      <c r="C589">
        <v>1</v>
      </c>
      <c r="E589" t="s">
        <v>1731</v>
      </c>
      <c r="F589">
        <v>1</v>
      </c>
    </row>
    <row r="590" spans="2:6" x14ac:dyDescent="0.35">
      <c r="B590" t="str">
        <v>NextCorps Luminate</v>
      </c>
      <c r="C590">
        <v>2</v>
      </c>
      <c r="E590" t="s">
        <v>1732</v>
      </c>
      <c r="F590">
        <v>1</v>
      </c>
    </row>
    <row r="591" spans="2:6" x14ac:dyDescent="0.35">
      <c r="B591" t="str">
        <v>Bidra Innovation Ventures</v>
      </c>
      <c r="C591">
        <v>1</v>
      </c>
      <c r="E591" t="s">
        <v>1733</v>
      </c>
      <c r="F591">
        <v>1</v>
      </c>
    </row>
    <row r="592" spans="2:6" x14ac:dyDescent="0.35">
      <c r="B592" t="str">
        <v>Bricks Capital Management</v>
      </c>
      <c r="C592">
        <v>1</v>
      </c>
      <c r="E592" t="s">
        <v>1734</v>
      </c>
      <c r="F592">
        <v>1</v>
      </c>
    </row>
    <row r="593" spans="2:6" x14ac:dyDescent="0.35">
      <c r="B593" t="str">
        <v>L&amp;F</v>
      </c>
      <c r="C593">
        <v>1</v>
      </c>
      <c r="E593" t="s">
        <v>1735</v>
      </c>
      <c r="F593">
        <v>1</v>
      </c>
    </row>
    <row r="594" spans="2:6" x14ac:dyDescent="0.35">
      <c r="B594" t="str">
        <v>Lane VC</v>
      </c>
      <c r="C594">
        <v>1</v>
      </c>
      <c r="E594" t="s">
        <v>1736</v>
      </c>
      <c r="F594">
        <v>1</v>
      </c>
    </row>
    <row r="595" spans="2:6" x14ac:dyDescent="0.35">
      <c r="B595" t="str">
        <v>Global Emerging Markets</v>
      </c>
      <c r="C595">
        <v>2</v>
      </c>
      <c r="E595" t="s">
        <v>1737</v>
      </c>
      <c r="F595">
        <v>1</v>
      </c>
    </row>
    <row r="596" spans="2:6" x14ac:dyDescent="0.35">
      <c r="B596" t="str">
        <v>Krypton</v>
      </c>
      <c r="C596">
        <v>1</v>
      </c>
      <c r="E596" t="s">
        <v>1738</v>
      </c>
      <c r="F596">
        <v>1</v>
      </c>
    </row>
    <row r="597" spans="2:6" x14ac:dyDescent="0.35">
      <c r="B597" t="str">
        <v>At One Ventures</v>
      </c>
      <c r="C597">
        <v>3</v>
      </c>
      <c r="E597" t="s">
        <v>1739</v>
      </c>
      <c r="F597">
        <v>1</v>
      </c>
    </row>
    <row r="598" spans="2:6" x14ac:dyDescent="0.35">
      <c r="B598" t="str">
        <v>Metaplanet Holdings</v>
      </c>
      <c r="C598">
        <v>3</v>
      </c>
      <c r="E598" t="s">
        <v>1740</v>
      </c>
      <c r="F598">
        <v>1</v>
      </c>
    </row>
    <row r="599" spans="2:6" x14ac:dyDescent="0.35">
      <c r="B599" t="str">
        <v>William Gates</v>
      </c>
      <c r="C599">
        <v>3</v>
      </c>
      <c r="E599" t="s">
        <v>1742</v>
      </c>
      <c r="F599">
        <v>1</v>
      </c>
    </row>
    <row r="600" spans="2:6" x14ac:dyDescent="0.35">
      <c r="B600" t="str">
        <v>Gates Frontier</v>
      </c>
      <c r="C600">
        <v>2</v>
      </c>
      <c r="E600" t="s">
        <v>1743</v>
      </c>
      <c r="F600">
        <v>1</v>
      </c>
    </row>
    <row r="601" spans="2:6" x14ac:dyDescent="0.35">
      <c r="B601" t="str">
        <v>IRONGREY</v>
      </c>
      <c r="C601">
        <v>1</v>
      </c>
      <c r="E601" t="s">
        <v>1744</v>
      </c>
      <c r="F601">
        <v>1</v>
      </c>
    </row>
    <row r="602" spans="2:6" x14ac:dyDescent="0.35">
      <c r="B602" t="str">
        <v>Metaplanet Holdings</v>
      </c>
      <c r="C602">
        <v>3</v>
      </c>
      <c r="E602" t="s">
        <v>1746</v>
      </c>
      <c r="F602">
        <v>1</v>
      </c>
    </row>
    <row r="603" spans="2:6" x14ac:dyDescent="0.35">
      <c r="B603" t="str">
        <v>Miura Partners</v>
      </c>
      <c r="C603">
        <v>1</v>
      </c>
      <c r="E603" t="s">
        <v>1747</v>
      </c>
      <c r="F603">
        <v>1</v>
      </c>
    </row>
    <row r="604" spans="2:6" x14ac:dyDescent="0.35">
      <c r="B604" t="str">
        <v>National Grid Partners</v>
      </c>
      <c r="C604">
        <v>1</v>
      </c>
      <c r="E604" t="s">
        <v>1748</v>
      </c>
      <c r="F604">
        <v>1</v>
      </c>
    </row>
    <row r="605" spans="2:6" x14ac:dyDescent="0.35">
      <c r="B605" t="str">
        <v>NextEra Energy</v>
      </c>
      <c r="C605">
        <v>2</v>
      </c>
      <c r="E605" t="s">
        <v>1749</v>
      </c>
      <c r="F605">
        <v>1</v>
      </c>
    </row>
    <row r="606" spans="2:6" x14ac:dyDescent="0.35">
      <c r="B606" t="str">
        <v>Starlight Ventures</v>
      </c>
      <c r="C606">
        <v>4</v>
      </c>
      <c r="E606" t="s">
        <v>1751</v>
      </c>
      <c r="F606">
        <v>1</v>
      </c>
    </row>
    <row r="607" spans="2:6" x14ac:dyDescent="0.35">
      <c r="B607" t="str">
        <v>Towards Net Zero</v>
      </c>
      <c r="C607">
        <v>1</v>
      </c>
      <c r="E607" t="s">
        <v>1752</v>
      </c>
      <c r="F607">
        <v>1</v>
      </c>
    </row>
    <row r="608" spans="2:6" x14ac:dyDescent="0.35">
      <c r="B608" t="str">
        <v>Unreasonable Impact</v>
      </c>
      <c r="C608">
        <v>2</v>
      </c>
      <c r="E608" t="s">
        <v>1753</v>
      </c>
      <c r="F608">
        <v>1</v>
      </c>
    </row>
    <row r="609" spans="2:6" x14ac:dyDescent="0.35">
      <c r="B609" t="str">
        <v>Valo Ventures</v>
      </c>
      <c r="C609">
        <v>1</v>
      </c>
      <c r="E609" t="s">
        <v>1754</v>
      </c>
      <c r="F609">
        <v>1</v>
      </c>
    </row>
    <row r="610" spans="2:6" x14ac:dyDescent="0.35">
      <c r="B610" t="str">
        <v>Freestone Sponsors</v>
      </c>
      <c r="C610">
        <v>1</v>
      </c>
      <c r="E610" t="s">
        <v>1756</v>
      </c>
      <c r="F610">
        <v>1</v>
      </c>
    </row>
    <row r="611" spans="2:6" x14ac:dyDescent="0.35">
      <c r="B611" t="str">
        <v>Warburg Pincus</v>
      </c>
      <c r="C611">
        <v>2</v>
      </c>
      <c r="E611" t="s">
        <v>1757</v>
      </c>
      <c r="F611">
        <v>1</v>
      </c>
    </row>
    <row r="612" spans="2:6" x14ac:dyDescent="0.35">
      <c r="B612" t="str">
        <v>Accelr8</v>
      </c>
      <c r="C612">
        <v>1</v>
      </c>
      <c r="E612" t="s">
        <v>1758</v>
      </c>
      <c r="F612">
        <v>1</v>
      </c>
    </row>
    <row r="613" spans="2:6" x14ac:dyDescent="0.35">
      <c r="B613" t="str">
        <v>Bluestein Ventures</v>
      </c>
      <c r="C613">
        <v>1</v>
      </c>
      <c r="E613" t="s">
        <v>1759</v>
      </c>
      <c r="F613">
        <v>1</v>
      </c>
    </row>
    <row r="614" spans="2:6" x14ac:dyDescent="0.35">
      <c r="B614" t="str">
        <v>Collaborative Fund</v>
      </c>
      <c r="C614">
        <v>8</v>
      </c>
      <c r="E614" t="s">
        <v>1760</v>
      </c>
      <c r="F614">
        <v>1</v>
      </c>
    </row>
    <row r="615" spans="2:6" x14ac:dyDescent="0.35">
      <c r="B615" t="str">
        <v>DNS Capital</v>
      </c>
      <c r="C615">
        <v>1</v>
      </c>
      <c r="E615" t="s">
        <v>1761</v>
      </c>
      <c r="F615">
        <v>1</v>
      </c>
    </row>
    <row r="616" spans="2:6" x14ac:dyDescent="0.35">
      <c r="B616" t="str">
        <v>Engine Ventures</v>
      </c>
      <c r="C616">
        <v>4</v>
      </c>
      <c r="E616" t="s">
        <v>1763</v>
      </c>
      <c r="F616">
        <v>1</v>
      </c>
    </row>
    <row r="617" spans="2:6" x14ac:dyDescent="0.35">
      <c r="B617" t="str">
        <v>For Good Ventures</v>
      </c>
      <c r="C617">
        <v>3</v>
      </c>
      <c r="E617" t="s">
        <v>1764</v>
      </c>
      <c r="F617">
        <v>1</v>
      </c>
    </row>
    <row r="618" spans="2:6" x14ac:dyDescent="0.35">
      <c r="B618" t="str">
        <v>Plug &amp; Play Tech Center</v>
      </c>
      <c r="C618">
        <v>2</v>
      </c>
      <c r="E618" t="s">
        <v>1765</v>
      </c>
      <c r="F618">
        <v>1</v>
      </c>
    </row>
    <row r="619" spans="2:6" x14ac:dyDescent="0.35">
      <c r="B619" t="str">
        <v>Prelude Ventures</v>
      </c>
      <c r="C619">
        <v>3</v>
      </c>
      <c r="E619" t="s">
        <v>1443</v>
      </c>
      <c r="F619">
        <v>1</v>
      </c>
    </row>
    <row r="620" spans="2:6" x14ac:dyDescent="0.35">
      <c r="B620" t="str">
        <v>Thia Ventures</v>
      </c>
      <c r="C620">
        <v>1</v>
      </c>
      <c r="E620" t="s">
        <v>1766</v>
      </c>
      <c r="F620">
        <v>1</v>
      </c>
    </row>
    <row r="621" spans="2:6" x14ac:dyDescent="0.35">
      <c r="B621" t="str">
        <v>Toba Capital</v>
      </c>
      <c r="C621">
        <v>1</v>
      </c>
      <c r="E621" t="s">
        <v>1767</v>
      </c>
      <c r="F621">
        <v>1</v>
      </c>
    </row>
    <row r="622" spans="2:6" x14ac:dyDescent="0.35">
      <c r="B622" t="str">
        <v>ENEOS Holdings</v>
      </c>
      <c r="C622">
        <v>1</v>
      </c>
      <c r="E622" t="s">
        <v>1768</v>
      </c>
      <c r="F622">
        <v>1</v>
      </c>
    </row>
    <row r="623" spans="2:6" x14ac:dyDescent="0.35">
      <c r="B623" t="str">
        <v>4WARD.vc</v>
      </c>
      <c r="C623">
        <v>1</v>
      </c>
      <c r="E623" t="s">
        <v>1769</v>
      </c>
      <c r="F623">
        <v>1</v>
      </c>
    </row>
    <row r="624" spans="2:6" x14ac:dyDescent="0.35">
      <c r="B624" t="str">
        <v>Alumni Ventures</v>
      </c>
      <c r="C624">
        <v>3</v>
      </c>
      <c r="E624" t="s">
        <v>1770</v>
      </c>
      <c r="F624">
        <v>1</v>
      </c>
    </row>
    <row r="625" spans="2:6" x14ac:dyDescent="0.35">
      <c r="B625" t="str">
        <v>Anthropocene Ventures</v>
      </c>
      <c r="C625">
        <v>3</v>
      </c>
      <c r="E625" t="s">
        <v>638</v>
      </c>
      <c r="F625">
        <v>1</v>
      </c>
    </row>
    <row r="626" spans="2:6" x14ac:dyDescent="0.35">
      <c r="B626" t="str">
        <v>Lofty Ventures</v>
      </c>
      <c r="C626">
        <v>1</v>
      </c>
      <c r="E626" t="s">
        <v>1771</v>
      </c>
      <c r="F626">
        <v>1</v>
      </c>
    </row>
    <row r="627" spans="2:6" x14ac:dyDescent="0.35">
      <c r="B627" t="str">
        <v>Right Side Capital Management</v>
      </c>
      <c r="C627">
        <v>1</v>
      </c>
      <c r="E627" t="s">
        <v>1772</v>
      </c>
      <c r="F627">
        <v>1</v>
      </c>
    </row>
    <row r="628" spans="2:6" x14ac:dyDescent="0.35">
      <c r="B628" t="str">
        <v>Service Provider Capital</v>
      </c>
      <c r="C628">
        <v>1</v>
      </c>
      <c r="E628" t="s">
        <v>1420</v>
      </c>
      <c r="F628">
        <v>1</v>
      </c>
    </row>
    <row r="629" spans="2:6" x14ac:dyDescent="0.35">
      <c r="B629" t="str">
        <v>TELUS Global Ventures</v>
      </c>
      <c r="C629">
        <v>1</v>
      </c>
      <c r="E629" t="s">
        <v>1773</v>
      </c>
      <c r="F629">
        <v>1</v>
      </c>
    </row>
    <row r="630" spans="2:6" x14ac:dyDescent="0.35">
      <c r="B630" t="str">
        <v>AiiM Partners</v>
      </c>
      <c r="C630">
        <v>4</v>
      </c>
      <c r="E630" t="s">
        <v>1774</v>
      </c>
      <c r="F630">
        <v>1</v>
      </c>
    </row>
    <row r="631" spans="2:6" x14ac:dyDescent="0.35">
      <c r="B631" t="str">
        <v>Footprint Coalition</v>
      </c>
      <c r="C631">
        <v>2</v>
      </c>
      <c r="E631" t="s">
        <v>1775</v>
      </c>
      <c r="F631">
        <v>1</v>
      </c>
    </row>
    <row r="632" spans="2:6" x14ac:dyDescent="0.35">
      <c r="B632" t="str">
        <v>Standard Investments</v>
      </c>
      <c r="C632">
        <v>2</v>
      </c>
      <c r="E632" t="s">
        <v>1776</v>
      </c>
      <c r="F632">
        <v>1</v>
      </c>
    </row>
    <row r="633" spans="2:6" x14ac:dyDescent="0.35">
      <c r="B633" t="str">
        <v>Viking Global Investors</v>
      </c>
      <c r="C633">
        <v>2</v>
      </c>
      <c r="E633" t="s">
        <v>1777</v>
      </c>
      <c r="F633">
        <v>1</v>
      </c>
    </row>
    <row r="634" spans="2:6" x14ac:dyDescent="0.35">
      <c r="B634" t="str">
        <v>Global Cleantech Capital</v>
      </c>
      <c r="C634">
        <v>1</v>
      </c>
      <c r="E634" t="s">
        <v>1778</v>
      </c>
      <c r="F634">
        <v>1</v>
      </c>
    </row>
    <row r="635" spans="2:6" x14ac:dyDescent="0.35">
      <c r="B635" t="str">
        <v>Ajax Strategies</v>
      </c>
      <c r="C635">
        <v>1</v>
      </c>
      <c r="E635" t="s">
        <v>1779</v>
      </c>
      <c r="F635">
        <v>1</v>
      </c>
    </row>
    <row r="636" spans="2:6" x14ac:dyDescent="0.35">
      <c r="B636" t="str">
        <v>Breakthrough Energy</v>
      </c>
      <c r="C636">
        <v>10</v>
      </c>
      <c r="E636" t="s">
        <v>1780</v>
      </c>
      <c r="F636">
        <v>1</v>
      </c>
    </row>
    <row r="637" spans="2:6" x14ac:dyDescent="0.35">
      <c r="B637" t="str">
        <v>Emerson Collective</v>
      </c>
      <c r="C637">
        <v>2</v>
      </c>
      <c r="E637" t="s">
        <v>1781</v>
      </c>
      <c r="F637">
        <v>1</v>
      </c>
    </row>
    <row r="638" spans="2:6" x14ac:dyDescent="0.35">
      <c r="B638" t="str">
        <v>mTerra Ventures</v>
      </c>
      <c r="C638">
        <v>1</v>
      </c>
      <c r="E638" t="s">
        <v>1782</v>
      </c>
      <c r="F638">
        <v>1</v>
      </c>
    </row>
    <row r="639" spans="2:6" x14ac:dyDescent="0.35">
      <c r="B639" t="str">
        <v>Schneider Electric</v>
      </c>
      <c r="C639">
        <v>1</v>
      </c>
      <c r="E639" t="s">
        <v>1783</v>
      </c>
      <c r="F639">
        <v>1</v>
      </c>
    </row>
    <row r="640" spans="2:6" x14ac:dyDescent="0.35">
      <c r="B640" t="str">
        <v>SE Ventures</v>
      </c>
      <c r="C640">
        <v>1</v>
      </c>
      <c r="E640" t="s">
        <v>1434</v>
      </c>
      <c r="F640">
        <v>1</v>
      </c>
    </row>
    <row r="641" spans="2:6" x14ac:dyDescent="0.35">
      <c r="B641" t="str">
        <v>Breakthrough Energy</v>
      </c>
      <c r="C641">
        <v>10</v>
      </c>
      <c r="E641" t="s">
        <v>1784</v>
      </c>
      <c r="F641">
        <v>1</v>
      </c>
    </row>
    <row r="642" spans="2:6" x14ac:dyDescent="0.35">
      <c r="B642" t="str">
        <v>Chevron Technology Ventures</v>
      </c>
      <c r="C642">
        <v>2</v>
      </c>
      <c r="E642" t="s">
        <v>1785</v>
      </c>
      <c r="F642">
        <v>1</v>
      </c>
    </row>
    <row r="643" spans="2:6" x14ac:dyDescent="0.35">
      <c r="B643" t="str">
        <v>Prithvi Ventures</v>
      </c>
      <c r="C643">
        <v>1</v>
      </c>
      <c r="E643" t="s">
        <v>1786</v>
      </c>
      <c r="F643">
        <v>1</v>
      </c>
    </row>
    <row r="644" spans="2:6" x14ac:dyDescent="0.35">
      <c r="B644" t="str">
        <v>Enechange</v>
      </c>
      <c r="C644">
        <v>1</v>
      </c>
      <c r="E644" t="s">
        <v>1788</v>
      </c>
      <c r="F644">
        <v>1</v>
      </c>
    </row>
    <row r="645" spans="2:6" x14ac:dyDescent="0.35">
      <c r="B645" t="str">
        <v>Japan Energy Fund</v>
      </c>
      <c r="C645">
        <v>1</v>
      </c>
      <c r="E645" t="s">
        <v>1789</v>
      </c>
      <c r="F645">
        <v>1</v>
      </c>
    </row>
    <row r="646" spans="2:6" x14ac:dyDescent="0.35">
      <c r="B646" t="str">
        <v>New Luna Ventures</v>
      </c>
      <c r="C646">
        <v>1</v>
      </c>
      <c r="E646" t="s">
        <v>1790</v>
      </c>
      <c r="F646">
        <v>1</v>
      </c>
    </row>
    <row r="647" spans="2:6" x14ac:dyDescent="0.35">
      <c r="B647" t="str">
        <v>Schneider Electric USA Common Trust</v>
      </c>
      <c r="C647">
        <v>1</v>
      </c>
      <c r="E647" t="s">
        <v>1791</v>
      </c>
      <c r="F647">
        <v>1</v>
      </c>
    </row>
    <row r="648" spans="2:6" x14ac:dyDescent="0.35">
      <c r="B648" t="str">
        <v>Leonardo DiCaprio</v>
      </c>
      <c r="C648">
        <v>2</v>
      </c>
      <c r="E648" t="s">
        <v>1432</v>
      </c>
      <c r="F648">
        <v>1</v>
      </c>
    </row>
    <row r="649" spans="2:6" x14ac:dyDescent="0.35">
      <c r="B649" t="str">
        <v>Next Act Fund</v>
      </c>
      <c r="C649">
        <v>1</v>
      </c>
      <c r="E649" t="s">
        <v>488</v>
      </c>
      <c r="F649">
        <v>1</v>
      </c>
    </row>
    <row r="650" spans="2:6" x14ac:dyDescent="0.35">
      <c r="B650" t="str">
        <v>Portfolia</v>
      </c>
      <c r="C650">
        <v>2</v>
      </c>
      <c r="E650" t="s">
        <v>1792</v>
      </c>
      <c r="F650">
        <v>1</v>
      </c>
    </row>
    <row r="651" spans="2:6" x14ac:dyDescent="0.35">
      <c r="B651" t="str">
        <v>Regeneration VC</v>
      </c>
      <c r="C651">
        <v>1</v>
      </c>
      <c r="E651" t="s">
        <v>1793</v>
      </c>
      <c r="F651">
        <v>1</v>
      </c>
    </row>
    <row r="652" spans="2:6" x14ac:dyDescent="0.35">
      <c r="B652" t="str">
        <v>Safer Made</v>
      </c>
      <c r="C652">
        <v>1</v>
      </c>
      <c r="E652" t="s">
        <v>1794</v>
      </c>
      <c r="F652">
        <v>1</v>
      </c>
    </row>
    <row r="653" spans="2:6" x14ac:dyDescent="0.35">
      <c r="B653" t="str">
        <v>The 22 Fund</v>
      </c>
      <c r="C653">
        <v>1</v>
      </c>
      <c r="E653" t="s">
        <v>1795</v>
      </c>
      <c r="F653">
        <v>1</v>
      </c>
    </row>
    <row r="654" spans="2:6" x14ac:dyDescent="0.35">
      <c r="B654" t="str">
        <v>Archer Daniels Midland</v>
      </c>
      <c r="C654">
        <v>1</v>
      </c>
      <c r="E654" t="s">
        <v>1797</v>
      </c>
      <c r="F654">
        <v>1</v>
      </c>
    </row>
    <row r="655" spans="2:6" x14ac:dyDescent="0.35">
      <c r="B655" t="str">
        <v>Genoa Ventures</v>
      </c>
      <c r="C655">
        <v>1</v>
      </c>
      <c r="E655" t="s">
        <v>1798</v>
      </c>
      <c r="F655">
        <v>1</v>
      </c>
    </row>
    <row r="656" spans="2:6" x14ac:dyDescent="0.35">
      <c r="B656" t="str">
        <v>GERBER-RAUTH</v>
      </c>
      <c r="C656">
        <v>1</v>
      </c>
      <c r="E656" t="s">
        <v>1799</v>
      </c>
      <c r="F656">
        <v>1</v>
      </c>
    </row>
    <row r="657" spans="2:6" x14ac:dyDescent="0.35">
      <c r="B657" t="str">
        <v>IndieBio</v>
      </c>
      <c r="C657">
        <v>2</v>
      </c>
      <c r="E657" t="s">
        <v>1800</v>
      </c>
      <c r="F657">
        <v>1</v>
      </c>
    </row>
    <row r="658" spans="2:6" x14ac:dyDescent="0.35">
      <c r="B658" t="str">
        <v>Meach Cove Capital</v>
      </c>
      <c r="C658">
        <v>1</v>
      </c>
      <c r="E658" t="s">
        <v>1802</v>
      </c>
      <c r="F658">
        <v>1</v>
      </c>
    </row>
    <row r="659" spans="2:6" x14ac:dyDescent="0.35">
      <c r="B659" t="str">
        <v>ONCE Ventures</v>
      </c>
      <c r="C659">
        <v>1</v>
      </c>
      <c r="E659" t="s">
        <v>1805</v>
      </c>
      <c r="F659">
        <v>1</v>
      </c>
    </row>
    <row r="660" spans="2:6" x14ac:dyDescent="0.35">
      <c r="B660" t="str">
        <v>Schreiber Ventures</v>
      </c>
      <c r="C660">
        <v>1</v>
      </c>
      <c r="E660" t="s">
        <v>1806</v>
      </c>
      <c r="F660">
        <v>1</v>
      </c>
    </row>
    <row r="661" spans="2:6" x14ac:dyDescent="0.35">
      <c r="B661" t="str">
        <v>SOSV</v>
      </c>
      <c r="C661">
        <v>8</v>
      </c>
      <c r="E661" t="s">
        <v>1807</v>
      </c>
      <c r="F661">
        <v>1</v>
      </c>
    </row>
    <row r="662" spans="2:6" x14ac:dyDescent="0.35">
      <c r="B662" t="str">
        <v>Synthesis Capital</v>
      </c>
      <c r="C662">
        <v>1</v>
      </c>
      <c r="E662" t="s">
        <v>1808</v>
      </c>
      <c r="F662">
        <v>1</v>
      </c>
    </row>
    <row r="663" spans="2:6" x14ac:dyDescent="0.35">
      <c r="B663" t="str">
        <v>Greenbacker Capital Management</v>
      </c>
      <c r="C663">
        <v>2</v>
      </c>
      <c r="E663" t="s">
        <v>1809</v>
      </c>
      <c r="F663">
        <v>1</v>
      </c>
    </row>
    <row r="664" spans="2:6" x14ac:dyDescent="0.35">
      <c r="B664" t="str">
        <v>Armilar Venture Partners</v>
      </c>
      <c r="C664">
        <v>1</v>
      </c>
      <c r="E664" t="s">
        <v>1810</v>
      </c>
      <c r="F664">
        <v>1</v>
      </c>
    </row>
    <row r="665" spans="2:6" x14ac:dyDescent="0.35">
      <c r="B665" t="str">
        <v>Arsenal Growth</v>
      </c>
      <c r="C665">
        <v>1</v>
      </c>
      <c r="E665" t="s">
        <v>1811</v>
      </c>
      <c r="F665">
        <v>1</v>
      </c>
    </row>
    <row r="666" spans="2:6" x14ac:dyDescent="0.35">
      <c r="B666" t="str">
        <v>Blue Horizon Corporation</v>
      </c>
      <c r="C666">
        <v>2</v>
      </c>
      <c r="E666" t="s">
        <v>1812</v>
      </c>
      <c r="F666">
        <v>1</v>
      </c>
    </row>
    <row r="667" spans="2:6" x14ac:dyDescent="0.35">
      <c r="B667" t="str">
        <v>Leaps by Bayer</v>
      </c>
      <c r="C667">
        <v>2</v>
      </c>
      <c r="E667" t="s">
        <v>1813</v>
      </c>
      <c r="F667">
        <v>1</v>
      </c>
    </row>
    <row r="668" spans="2:6" x14ac:dyDescent="0.35">
      <c r="B668" t="str">
        <v>Lever VC</v>
      </c>
      <c r="C668">
        <v>2</v>
      </c>
      <c r="E668" t="s">
        <v>1814</v>
      </c>
      <c r="F668">
        <v>1</v>
      </c>
    </row>
    <row r="669" spans="2:6" x14ac:dyDescent="0.35">
      <c r="B669" t="str">
        <v>Lifely VC</v>
      </c>
      <c r="C669">
        <v>1</v>
      </c>
      <c r="E669" t="s">
        <v>1815</v>
      </c>
      <c r="F669">
        <v>1</v>
      </c>
    </row>
    <row r="670" spans="2:6" x14ac:dyDescent="0.35">
      <c r="B670" t="str">
        <v>Mudcake</v>
      </c>
      <c r="C670">
        <v>2</v>
      </c>
      <c r="E670" t="s">
        <v>1816</v>
      </c>
      <c r="F670">
        <v>1</v>
      </c>
    </row>
    <row r="671" spans="2:6" x14ac:dyDescent="0.35">
      <c r="B671" t="str">
        <v>The House Fund</v>
      </c>
      <c r="C671">
        <v>1</v>
      </c>
      <c r="E671" t="s">
        <v>1817</v>
      </c>
      <c r="F671">
        <v>1</v>
      </c>
    </row>
    <row r="672" spans="2:6" x14ac:dyDescent="0.35">
      <c r="B672" t="str">
        <v>Blue Horizon Corporation</v>
      </c>
      <c r="C672">
        <v>2</v>
      </c>
      <c r="E672" t="s">
        <v>1818</v>
      </c>
      <c r="F672">
        <v>1</v>
      </c>
    </row>
    <row r="673" spans="2:6" x14ac:dyDescent="0.35">
      <c r="B673" t="str">
        <v>Leaps by Bayer</v>
      </c>
      <c r="C673">
        <v>2</v>
      </c>
      <c r="E673" t="s">
        <v>1819</v>
      </c>
      <c r="F673">
        <v>1</v>
      </c>
    </row>
    <row r="674" spans="2:6" x14ac:dyDescent="0.35">
      <c r="B674" t="str">
        <v>Lever VC</v>
      </c>
      <c r="C674">
        <v>2</v>
      </c>
      <c r="E674" t="s">
        <v>1820</v>
      </c>
      <c r="F674">
        <v>1</v>
      </c>
    </row>
    <row r="675" spans="2:6" x14ac:dyDescent="0.35">
      <c r="B675" t="str">
        <v>Mudcake</v>
      </c>
      <c r="C675">
        <v>2</v>
      </c>
      <c r="E675" t="s">
        <v>1821</v>
      </c>
      <c r="F675">
        <v>1</v>
      </c>
    </row>
    <row r="676" spans="2:6" x14ac:dyDescent="0.35">
      <c r="B676" t="str">
        <v>Netcapital</v>
      </c>
      <c r="C676">
        <v>1</v>
      </c>
      <c r="E676" t="s">
        <v>1822</v>
      </c>
      <c r="F676">
        <v>1</v>
      </c>
    </row>
    <row r="677" spans="2:6" x14ac:dyDescent="0.35">
      <c r="B677" t="str">
        <v>Canadian Shield Capital</v>
      </c>
      <c r="C677">
        <v>1</v>
      </c>
      <c r="E677" t="s">
        <v>1823</v>
      </c>
      <c r="F677">
        <v>1</v>
      </c>
    </row>
    <row r="678" spans="2:6" x14ac:dyDescent="0.35">
      <c r="B678" t="str">
        <v>Hatch</v>
      </c>
      <c r="C678">
        <v>1</v>
      </c>
      <c r="E678" t="s">
        <v>1824</v>
      </c>
      <c r="F678">
        <v>1</v>
      </c>
    </row>
    <row r="679" spans="2:6" x14ac:dyDescent="0.35">
      <c r="B679" t="str">
        <v>Red Devil Investors</v>
      </c>
      <c r="C679">
        <v>1</v>
      </c>
      <c r="E679" t="s">
        <v>1826</v>
      </c>
      <c r="F679">
        <v>1</v>
      </c>
    </row>
    <row r="680" spans="2:6" x14ac:dyDescent="0.35">
      <c r="B680" t="str">
        <v>Khasma Capital</v>
      </c>
      <c r="C680">
        <v>1</v>
      </c>
      <c r="E680" t="s">
        <v>1828</v>
      </c>
      <c r="F680">
        <v>1</v>
      </c>
    </row>
    <row r="681" spans="2:6" x14ac:dyDescent="0.35">
      <c r="B681" t="str">
        <v>Blackhorn Ventures</v>
      </c>
      <c r="C681">
        <v>1</v>
      </c>
      <c r="E681" t="s">
        <v>1829</v>
      </c>
      <c r="F681">
        <v>1</v>
      </c>
    </row>
    <row r="682" spans="2:6" x14ac:dyDescent="0.35">
      <c r="B682" t="str">
        <v>Chamaeleon</v>
      </c>
      <c r="C682">
        <v>1</v>
      </c>
      <c r="E682" t="s">
        <v>1830</v>
      </c>
      <c r="F682">
        <v>1</v>
      </c>
    </row>
    <row r="683" spans="2:6" x14ac:dyDescent="0.35">
      <c r="B683" t="str">
        <v>Eric Lamb</v>
      </c>
      <c r="C683">
        <v>1</v>
      </c>
      <c r="E683" t="s">
        <v>1831</v>
      </c>
      <c r="F683">
        <v>1</v>
      </c>
    </row>
    <row r="684" spans="2:6" x14ac:dyDescent="0.35">
      <c r="B684" t="str">
        <v>Frederic Luddy</v>
      </c>
      <c r="C684">
        <v>1</v>
      </c>
      <c r="E684" t="s">
        <v>1832</v>
      </c>
      <c r="F684">
        <v>1</v>
      </c>
    </row>
    <row r="685" spans="2:6" x14ac:dyDescent="0.35">
      <c r="B685" t="str">
        <v>KBW Ventures</v>
      </c>
      <c r="C685">
        <v>2</v>
      </c>
      <c r="E685" t="s">
        <v>1833</v>
      </c>
      <c r="F685">
        <v>1</v>
      </c>
    </row>
    <row r="686" spans="2:6" x14ac:dyDescent="0.35">
      <c r="B686" t="str">
        <v>Kenneth Birdwell</v>
      </c>
      <c r="C686">
        <v>1</v>
      </c>
      <c r="E686" t="s">
        <v>1834</v>
      </c>
      <c r="F686">
        <v>1</v>
      </c>
    </row>
    <row r="687" spans="2:6" x14ac:dyDescent="0.35">
      <c r="B687" t="str">
        <v>Michael Heffernanl Novak Djokovic</v>
      </c>
      <c r="C687">
        <v>1</v>
      </c>
      <c r="E687" t="s">
        <v>1836</v>
      </c>
      <c r="F687">
        <v>1</v>
      </c>
    </row>
    <row r="688" spans="2:6" x14ac:dyDescent="0.35">
      <c r="B688" t="str">
        <v>Southland Industries</v>
      </c>
      <c r="C688">
        <v>1</v>
      </c>
      <c r="E688" t="s">
        <v>1837</v>
      </c>
      <c r="F688">
        <v>1</v>
      </c>
    </row>
    <row r="689" spans="2:6" x14ac:dyDescent="0.35">
      <c r="B689" t="str">
        <v>Steve Chen</v>
      </c>
      <c r="C689">
        <v>1</v>
      </c>
      <c r="E689" t="s">
        <v>1838</v>
      </c>
      <c r="F689">
        <v>1</v>
      </c>
    </row>
    <row r="690" spans="2:6" x14ac:dyDescent="0.35">
      <c r="B690" t="str">
        <v>Western Technology Investment</v>
      </c>
      <c r="C690">
        <v>1</v>
      </c>
      <c r="E690" t="s">
        <v>1839</v>
      </c>
      <c r="F690">
        <v>1</v>
      </c>
    </row>
    <row r="691" spans="2:6" x14ac:dyDescent="0.35">
      <c r="B691" t="str">
        <v>Ecovyst</v>
      </c>
      <c r="C691">
        <v>1</v>
      </c>
      <c r="E691" t="s">
        <v>1840</v>
      </c>
      <c r="F691">
        <v>1</v>
      </c>
    </row>
    <row r="692" spans="2:6" x14ac:dyDescent="0.35">
      <c r="B692" t="str">
        <v>Hyundai Motor</v>
      </c>
      <c r="C692">
        <v>1</v>
      </c>
      <c r="E692" t="s">
        <v>1841</v>
      </c>
      <c r="F692">
        <v>1</v>
      </c>
    </row>
    <row r="693" spans="2:6" x14ac:dyDescent="0.35">
      <c r="B693" t="str">
        <v>Kia</v>
      </c>
      <c r="C693">
        <v>1</v>
      </c>
      <c r="E693" t="s">
        <v>1842</v>
      </c>
      <c r="F693">
        <v>1</v>
      </c>
    </row>
    <row r="694" spans="2:6" x14ac:dyDescent="0.35">
      <c r="B694" t="str">
        <v>NV Bekaert</v>
      </c>
      <c r="C694">
        <v>1</v>
      </c>
      <c r="E694" t="s">
        <v>1843</v>
      </c>
      <c r="F694">
        <v>1</v>
      </c>
    </row>
    <row r="695" spans="2:6" x14ac:dyDescent="0.35">
      <c r="B695" t="str">
        <v>Energy Innovation Capital</v>
      </c>
      <c r="C695">
        <v>1</v>
      </c>
      <c r="E695" t="s">
        <v>1844</v>
      </c>
      <c r="F695">
        <v>1</v>
      </c>
    </row>
    <row r="696" spans="2:6" x14ac:dyDescent="0.35">
      <c r="B696" t="str">
        <v>Fortistar (Nadeem Nisar)</v>
      </c>
      <c r="C696">
        <v>1</v>
      </c>
      <c r="E696" t="s">
        <v>1845</v>
      </c>
      <c r="F696">
        <v>1</v>
      </c>
    </row>
    <row r="697" spans="2:6" x14ac:dyDescent="0.35">
      <c r="B697" t="str">
        <v>Elevate Ventures</v>
      </c>
      <c r="C697">
        <v>2</v>
      </c>
      <c r="E697" t="s">
        <v>1846</v>
      </c>
      <c r="F697">
        <v>1</v>
      </c>
    </row>
    <row r="698" spans="2:6" x14ac:dyDescent="0.35">
      <c r="B698" t="str">
        <v>Conti Ventures</v>
      </c>
      <c r="C698">
        <v>5</v>
      </c>
      <c r="E698" t="s">
        <v>1848</v>
      </c>
      <c r="F698">
        <v>1</v>
      </c>
    </row>
    <row r="699" spans="2:6" x14ac:dyDescent="0.35">
      <c r="B699" t="str">
        <v>Five Seasons Ventures</v>
      </c>
      <c r="C699">
        <v>3</v>
      </c>
      <c r="E699" t="s">
        <v>1849</v>
      </c>
      <c r="F699">
        <v>1</v>
      </c>
    </row>
    <row r="700" spans="2:6" x14ac:dyDescent="0.35">
      <c r="B700" t="str">
        <v>Horizons Ventures</v>
      </c>
      <c r="C700">
        <v>3</v>
      </c>
      <c r="E700" t="s">
        <v>1850</v>
      </c>
      <c r="F700">
        <v>1</v>
      </c>
    </row>
    <row r="701" spans="2:6" x14ac:dyDescent="0.35">
      <c r="B701" t="str">
        <v>ICONIQ Growth</v>
      </c>
      <c r="C701">
        <v>1</v>
      </c>
      <c r="E701" t="s">
        <v>1851</v>
      </c>
      <c r="F701">
        <v>1</v>
      </c>
    </row>
    <row r="702" spans="2:6" x14ac:dyDescent="0.35">
      <c r="B702" t="str">
        <v>Lion Ventures</v>
      </c>
      <c r="C702">
        <v>1</v>
      </c>
      <c r="E702" t="s">
        <v>1852</v>
      </c>
      <c r="F702">
        <v>1</v>
      </c>
    </row>
    <row r="703" spans="2:6" x14ac:dyDescent="0.35">
      <c r="B703" t="str">
        <v>Temasek Holdings</v>
      </c>
      <c r="C703">
        <v>9</v>
      </c>
      <c r="E703" t="s">
        <v>1853</v>
      </c>
      <c r="F703">
        <v>1</v>
      </c>
    </row>
    <row r="704" spans="2:6" x14ac:dyDescent="0.35">
      <c r="B704" t="str">
        <v>Verus International</v>
      </c>
      <c r="C704">
        <v>1</v>
      </c>
      <c r="E704" t="s">
        <v>1854</v>
      </c>
      <c r="F704">
        <v>1</v>
      </c>
    </row>
    <row r="705" spans="2:6" x14ac:dyDescent="0.35">
      <c r="B705" t="str">
        <v>B37 Ventures</v>
      </c>
      <c r="C705">
        <v>1</v>
      </c>
      <c r="E705" t="s">
        <v>1855</v>
      </c>
      <c r="F705">
        <v>1</v>
      </c>
    </row>
    <row r="706" spans="2:6" x14ac:dyDescent="0.35">
      <c r="B706" t="str">
        <v>Horizons Ventures</v>
      </c>
      <c r="C706">
        <v>3</v>
      </c>
      <c r="E706" t="s">
        <v>1856</v>
      </c>
      <c r="F706">
        <v>1</v>
      </c>
    </row>
    <row r="707" spans="2:6" x14ac:dyDescent="0.35">
      <c r="B707" t="str">
        <v>Sonny Vu</v>
      </c>
      <c r="C707">
        <v>1</v>
      </c>
      <c r="E707" t="s">
        <v>1857</v>
      </c>
      <c r="F707">
        <v>1</v>
      </c>
    </row>
    <row r="708" spans="2:6" x14ac:dyDescent="0.35">
      <c r="B708" t="str">
        <v>Emerald Technology Ventures</v>
      </c>
      <c r="C708">
        <v>1</v>
      </c>
      <c r="E708" t="s">
        <v>1858</v>
      </c>
      <c r="F708">
        <v>1</v>
      </c>
    </row>
    <row r="709" spans="2:6" x14ac:dyDescent="0.35">
      <c r="B709" t="str">
        <v>Pegasus Capital Advisors</v>
      </c>
      <c r="C709">
        <v>1</v>
      </c>
      <c r="E709" t="s">
        <v>1859</v>
      </c>
      <c r="F709">
        <v>1</v>
      </c>
    </row>
    <row r="710" spans="2:6" x14ac:dyDescent="0.35">
      <c r="B710" t="str">
        <v>Third Prime</v>
      </c>
      <c r="C710">
        <v>1</v>
      </c>
      <c r="E710" t="s">
        <v>654</v>
      </c>
      <c r="F710">
        <v>1</v>
      </c>
    </row>
    <row r="711" spans="2:6" x14ac:dyDescent="0.35">
      <c r="B711" t="str">
        <v>Decathlon Capital Partners</v>
      </c>
      <c r="C711">
        <v>1</v>
      </c>
      <c r="E711" t="s">
        <v>498</v>
      </c>
      <c r="F711">
        <v>1</v>
      </c>
    </row>
    <row r="712" spans="2:6" x14ac:dyDescent="0.35">
      <c r="B712" t="str">
        <v>Nexter Ventures</v>
      </c>
      <c r="C712">
        <v>1</v>
      </c>
      <c r="E712" t="s">
        <v>1861</v>
      </c>
      <c r="F712">
        <v>1</v>
      </c>
    </row>
    <row r="713" spans="2:6" x14ac:dyDescent="0.35">
      <c r="B713" t="str">
        <v>Asymmetry Ventures</v>
      </c>
      <c r="C713">
        <v>2</v>
      </c>
      <c r="E713" t="s">
        <v>1862</v>
      </c>
      <c r="F713">
        <v>1</v>
      </c>
    </row>
    <row r="714" spans="2:6" x14ac:dyDescent="0.35">
      <c r="B714" t="str">
        <v>Climate Capital</v>
      </c>
      <c r="C714">
        <v>7</v>
      </c>
      <c r="E714" t="s">
        <v>1863</v>
      </c>
      <c r="F714">
        <v>1</v>
      </c>
    </row>
    <row r="715" spans="2:6" x14ac:dyDescent="0.35">
      <c r="B715" t="str">
        <v>Collaborative Fund</v>
      </c>
      <c r="C715">
        <v>8</v>
      </c>
      <c r="E715" t="s">
        <v>1865</v>
      </c>
      <c r="F715">
        <v>1</v>
      </c>
    </row>
    <row r="716" spans="2:6" x14ac:dyDescent="0.35">
      <c r="B716" t="str">
        <v>Ecosphere Ventures</v>
      </c>
      <c r="C716">
        <v>2</v>
      </c>
      <c r="E716" t="s">
        <v>1866</v>
      </c>
      <c r="F716">
        <v>1</v>
      </c>
    </row>
    <row r="717" spans="2:6" x14ac:dyDescent="0.35">
      <c r="B717" t="str">
        <v>Leap Forward Ventures</v>
      </c>
      <c r="C717">
        <v>1</v>
      </c>
      <c r="E717" t="s">
        <v>1867</v>
      </c>
      <c r="F717">
        <v>1</v>
      </c>
    </row>
    <row r="718" spans="2:6" x14ac:dyDescent="0.35">
      <c r="B718" t="str">
        <v>Liquid 2 Ventures</v>
      </c>
      <c r="C718">
        <v>1</v>
      </c>
      <c r="E718" t="s">
        <v>1868</v>
      </c>
      <c r="F718">
        <v>1</v>
      </c>
    </row>
    <row r="719" spans="2:6" x14ac:dyDescent="0.35">
      <c r="B719" t="str">
        <v>Shared Future Fund</v>
      </c>
      <c r="C719">
        <v>1</v>
      </c>
      <c r="E719" t="s">
        <v>1869</v>
      </c>
      <c r="F719">
        <v>1</v>
      </c>
    </row>
    <row r="720" spans="2:6" x14ac:dyDescent="0.35">
      <c r="B720" t="str">
        <v>Soma Capital</v>
      </c>
      <c r="C720">
        <v>1</v>
      </c>
      <c r="E720" t="s">
        <v>1870</v>
      </c>
      <c r="F720">
        <v>1</v>
      </c>
    </row>
    <row r="721" spans="2:6" x14ac:dyDescent="0.35">
      <c r="B721" t="str">
        <v>Y Combinator</v>
      </c>
      <c r="C721">
        <v>1</v>
      </c>
      <c r="E721" t="s">
        <v>1871</v>
      </c>
      <c r="F721">
        <v>1</v>
      </c>
    </row>
    <row r="722" spans="2:6" x14ac:dyDescent="0.35">
      <c r="B722" t="str">
        <v>Advantage Capital</v>
      </c>
      <c r="C722">
        <v>1</v>
      </c>
      <c r="E722" t="s">
        <v>1872</v>
      </c>
      <c r="F722">
        <v>1</v>
      </c>
    </row>
    <row r="723" spans="2:6" x14ac:dyDescent="0.35">
      <c r="B723" t="str">
        <v>Ben Franklin Technology Partners of Central and Northern Pennsylvania</v>
      </c>
      <c r="C723">
        <v>1</v>
      </c>
      <c r="E723" t="s">
        <v>1873</v>
      </c>
      <c r="F723">
        <v>1</v>
      </c>
    </row>
    <row r="724" spans="2:6" x14ac:dyDescent="0.35">
      <c r="B724" t="str">
        <v>Bunge Ventures</v>
      </c>
      <c r="C724">
        <v>1</v>
      </c>
      <c r="E724" t="s">
        <v>1874</v>
      </c>
      <c r="F724">
        <v>1</v>
      </c>
    </row>
    <row r="725" spans="2:6" x14ac:dyDescent="0.35">
      <c r="B725" t="str">
        <v>Conti Ventures</v>
      </c>
      <c r="C725">
        <v>5</v>
      </c>
      <c r="E725" t="s">
        <v>1875</v>
      </c>
      <c r="F725">
        <v>1</v>
      </c>
    </row>
    <row r="726" spans="2:6" x14ac:dyDescent="0.35">
      <c r="B726" t="str">
        <v>H/L Ventures</v>
      </c>
      <c r="C726">
        <v>3</v>
      </c>
      <c r="E726" t="s">
        <v>1876</v>
      </c>
      <c r="F726">
        <v>1</v>
      </c>
    </row>
    <row r="727" spans="2:6" x14ac:dyDescent="0.35">
      <c r="B727" t="str">
        <v>Keytrade</v>
      </c>
      <c r="C727">
        <v>1</v>
      </c>
      <c r="E727" t="s">
        <v>1880</v>
      </c>
      <c r="F727">
        <v>1</v>
      </c>
    </row>
    <row r="728" spans="2:6" x14ac:dyDescent="0.35">
      <c r="B728" t="str">
        <v>Maumee Ventures</v>
      </c>
      <c r="C728">
        <v>1</v>
      </c>
      <c r="E728" t="s">
        <v>1882</v>
      </c>
      <c r="F728">
        <v>1</v>
      </c>
    </row>
    <row r="729" spans="2:6" x14ac:dyDescent="0.35">
      <c r="B729" t="str">
        <v>Ospraie Ag Science</v>
      </c>
      <c r="C729">
        <v>1</v>
      </c>
      <c r="E729" t="s">
        <v>1883</v>
      </c>
      <c r="F729">
        <v>1</v>
      </c>
    </row>
    <row r="730" spans="2:6" x14ac:dyDescent="0.35">
      <c r="B730" t="str">
        <v>Tekfen Ventures</v>
      </c>
      <c r="C730">
        <v>1</v>
      </c>
      <c r="E730" t="s">
        <v>1887</v>
      </c>
      <c r="F730">
        <v>1</v>
      </c>
    </row>
    <row r="731" spans="2:6" x14ac:dyDescent="0.35">
      <c r="B731" t="str">
        <v>UPL</v>
      </c>
      <c r="C731">
        <v>1</v>
      </c>
      <c r="E731" t="s">
        <v>1890</v>
      </c>
      <c r="F731">
        <v>1</v>
      </c>
    </row>
    <row r="732" spans="2:6" x14ac:dyDescent="0.35">
      <c r="B732" t="str">
        <v>Asymmetry Ventures</v>
      </c>
      <c r="C732">
        <v>2</v>
      </c>
      <c r="E732" t="s">
        <v>1891</v>
      </c>
      <c r="F732">
        <v>1</v>
      </c>
    </row>
    <row r="733" spans="2:6" x14ac:dyDescent="0.35">
      <c r="B733" t="str">
        <v>Beni Venture Capital</v>
      </c>
      <c r="C733">
        <v>3</v>
      </c>
      <c r="E733" t="s">
        <v>1892</v>
      </c>
      <c r="F733">
        <v>1</v>
      </c>
    </row>
    <row r="734" spans="2:6" x14ac:dyDescent="0.35">
      <c r="B734" t="str">
        <v>Climate Capital</v>
      </c>
      <c r="C734">
        <v>7</v>
      </c>
      <c r="E734" t="s">
        <v>1893</v>
      </c>
      <c r="F734">
        <v>1</v>
      </c>
    </row>
    <row r="735" spans="2:6" x14ac:dyDescent="0.35">
      <c r="B735" t="str">
        <v>Collaborative Fund</v>
      </c>
      <c r="C735">
        <v>8</v>
      </c>
      <c r="E735" t="s">
        <v>1894</v>
      </c>
      <c r="F735">
        <v>1</v>
      </c>
    </row>
    <row r="736" spans="2:6" x14ac:dyDescent="0.35">
      <c r="B736" t="str">
        <v>Deloitte</v>
      </c>
      <c r="C736">
        <v>1</v>
      </c>
      <c r="E736" t="s">
        <v>1895</v>
      </c>
      <c r="F736">
        <v>1</v>
      </c>
    </row>
    <row r="737" spans="2:6" x14ac:dyDescent="0.35">
      <c r="B737" t="str">
        <v>Global Founders Capital</v>
      </c>
      <c r="C737">
        <v>1</v>
      </c>
      <c r="E737" t="s">
        <v>1896</v>
      </c>
      <c r="F737">
        <v>1</v>
      </c>
    </row>
    <row r="738" spans="2:6" x14ac:dyDescent="0.35">
      <c r="B738" t="str">
        <v>Hat-trick Capital</v>
      </c>
      <c r="C738">
        <v>1</v>
      </c>
      <c r="E738" t="s">
        <v>1897</v>
      </c>
      <c r="F738">
        <v>1</v>
      </c>
    </row>
    <row r="739" spans="2:6" x14ac:dyDescent="0.35">
      <c r="B739" t="str">
        <v>Helium-3 Ventures</v>
      </c>
      <c r="C739">
        <v>2</v>
      </c>
      <c r="E739" t="s">
        <v>1898</v>
      </c>
      <c r="F739">
        <v>1</v>
      </c>
    </row>
    <row r="740" spans="2:6" x14ac:dyDescent="0.35">
      <c r="B740" t="str">
        <v>Metaplanet Holdings</v>
      </c>
      <c r="C740">
        <v>3</v>
      </c>
      <c r="E740" t="s">
        <v>1900</v>
      </c>
      <c r="F740">
        <v>1</v>
      </c>
    </row>
    <row r="741" spans="2:6" x14ac:dyDescent="0.35">
      <c r="B741" t="str">
        <v>Outbound Capital</v>
      </c>
      <c r="C741">
        <v>1</v>
      </c>
      <c r="E741" t="s">
        <v>1902</v>
      </c>
      <c r="F741">
        <v>1</v>
      </c>
    </row>
    <row r="742" spans="2:6" x14ac:dyDescent="0.35">
      <c r="B742" t="str">
        <v>Pegasus Tech Ventures</v>
      </c>
      <c r="C742">
        <v>1</v>
      </c>
      <c r="E742" t="s">
        <v>1903</v>
      </c>
      <c r="F742">
        <v>1</v>
      </c>
    </row>
    <row r="743" spans="2:6" x14ac:dyDescent="0.35">
      <c r="B743" t="str">
        <v>Shenzen Capital Group</v>
      </c>
      <c r="C743">
        <v>1</v>
      </c>
      <c r="E743" t="s">
        <v>1904</v>
      </c>
      <c r="F743">
        <v>1</v>
      </c>
    </row>
    <row r="744" spans="2:6" x14ac:dyDescent="0.35">
      <c r="B744" t="str">
        <v>Starling Ventures</v>
      </c>
      <c r="C744">
        <v>1</v>
      </c>
      <c r="E744" t="s">
        <v>1906</v>
      </c>
      <c r="F744">
        <v>1</v>
      </c>
    </row>
    <row r="745" spans="2:6" x14ac:dyDescent="0.35">
      <c r="B745" t="str">
        <v>The Atlas Capital</v>
      </c>
      <c r="C745">
        <v>2</v>
      </c>
      <c r="E745" t="s">
        <v>1907</v>
      </c>
      <c r="F745">
        <v>1</v>
      </c>
    </row>
    <row r="746" spans="2:6" x14ac:dyDescent="0.35">
      <c r="B746" t="str">
        <v>Tim Seears</v>
      </c>
      <c r="C746">
        <v>1</v>
      </c>
      <c r="E746" t="s">
        <v>1908</v>
      </c>
      <c r="F746">
        <v>1</v>
      </c>
    </row>
    <row r="747" spans="2:6" x14ac:dyDescent="0.35">
      <c r="B747" t="str">
        <v>UpHonest Capital</v>
      </c>
      <c r="C747">
        <v>1</v>
      </c>
      <c r="E747" t="s">
        <v>1909</v>
      </c>
      <c r="F747">
        <v>1</v>
      </c>
    </row>
    <row r="748" spans="2:6" x14ac:dyDescent="0.35">
      <c r="B748" t="str">
        <v>World Economic Forum</v>
      </c>
      <c r="C748">
        <v>1</v>
      </c>
      <c r="E748" t="s">
        <v>1910</v>
      </c>
      <c r="F748">
        <v>1</v>
      </c>
    </row>
    <row r="749" spans="2:6" x14ac:dyDescent="0.35">
      <c r="B749" t="str">
        <v>WorldQuant Ventures</v>
      </c>
      <c r="C749">
        <v>2</v>
      </c>
      <c r="E749" t="s">
        <v>1911</v>
      </c>
      <c r="F749">
        <v>1</v>
      </c>
    </row>
    <row r="750" spans="2:6" x14ac:dyDescent="0.35">
      <c r="B750" t="str">
        <v>Y Combinatot</v>
      </c>
      <c r="C750">
        <v>1</v>
      </c>
      <c r="E750" t="s">
        <v>1912</v>
      </c>
      <c r="F750">
        <v>1</v>
      </c>
    </row>
    <row r="751" spans="2:6" x14ac:dyDescent="0.35">
      <c r="B751" t="str">
        <v>Climate Capital</v>
      </c>
      <c r="C751">
        <v>7</v>
      </c>
      <c r="E751" t="s">
        <v>1913</v>
      </c>
      <c r="F751">
        <v>1</v>
      </c>
    </row>
    <row r="752" spans="2:6" x14ac:dyDescent="0.35">
      <c r="B752" t="str">
        <v>Course Correction Capital</v>
      </c>
      <c r="C752">
        <v>2</v>
      </c>
      <c r="E752" t="s">
        <v>1914</v>
      </c>
      <c r="F752">
        <v>1</v>
      </c>
    </row>
    <row r="753" spans="2:6" x14ac:dyDescent="0.35">
      <c r="B753" t="str">
        <v>Greenland Technologies Holding</v>
      </c>
      <c r="C753">
        <v>1</v>
      </c>
      <c r="E753" t="s">
        <v>1915</v>
      </c>
      <c r="F753">
        <v>1</v>
      </c>
    </row>
    <row r="754" spans="2:6" x14ac:dyDescent="0.35">
      <c r="B754" t="str">
        <v>GS Futures</v>
      </c>
      <c r="C754">
        <v>2</v>
      </c>
      <c r="E754" t="s">
        <v>1916</v>
      </c>
      <c r="F754">
        <v>1</v>
      </c>
    </row>
    <row r="755" spans="2:6" x14ac:dyDescent="0.35">
      <c r="B755" t="str">
        <v>Helium-3 Ventures</v>
      </c>
      <c r="C755">
        <v>2</v>
      </c>
      <c r="E755" t="s">
        <v>1917</v>
      </c>
      <c r="F755">
        <v>1</v>
      </c>
    </row>
    <row r="756" spans="2:6" x14ac:dyDescent="0.35">
      <c r="B756" t="str">
        <v>Honda Motor</v>
      </c>
      <c r="C756">
        <v>1</v>
      </c>
      <c r="E756" t="s">
        <v>1918</v>
      </c>
      <c r="F756">
        <v>1</v>
      </c>
    </row>
    <row r="757" spans="2:6" x14ac:dyDescent="0.35">
      <c r="B757" t="str">
        <v>LKQ</v>
      </c>
      <c r="C757">
        <v>1</v>
      </c>
      <c r="E757" t="s">
        <v>1919</v>
      </c>
      <c r="F757">
        <v>1</v>
      </c>
    </row>
    <row r="758" spans="2:6" x14ac:dyDescent="0.35">
      <c r="B758" t="str">
        <v>Samsung Venture Investment</v>
      </c>
      <c r="C758">
        <v>2</v>
      </c>
      <c r="E758" t="s">
        <v>1920</v>
      </c>
      <c r="F758">
        <v>1</v>
      </c>
    </row>
    <row r="759" spans="2:6" x14ac:dyDescent="0.35">
      <c r="B759" t="str">
        <v>SCG Chemicals</v>
      </c>
      <c r="C759">
        <v>1</v>
      </c>
      <c r="E759" t="s">
        <v>1921</v>
      </c>
      <c r="F759">
        <v>1</v>
      </c>
    </row>
    <row r="760" spans="2:6" x14ac:dyDescent="0.35">
      <c r="B760" t="str">
        <v>Shell Ventures</v>
      </c>
      <c r="C760">
        <v>1</v>
      </c>
      <c r="E760" t="s">
        <v>1922</v>
      </c>
      <c r="F760">
        <v>1</v>
      </c>
    </row>
    <row r="761" spans="2:6" x14ac:dyDescent="0.35">
      <c r="B761" t="str">
        <v>Tech Council Ventures</v>
      </c>
      <c r="C761">
        <v>1</v>
      </c>
      <c r="E761" t="s">
        <v>1923</v>
      </c>
      <c r="F761">
        <v>1</v>
      </c>
    </row>
    <row r="762" spans="2:6" x14ac:dyDescent="0.35">
      <c r="B762" t="str">
        <v>Traxys</v>
      </c>
      <c r="C762">
        <v>1</v>
      </c>
      <c r="E762" t="s">
        <v>1924</v>
      </c>
      <c r="F762">
        <v>1</v>
      </c>
    </row>
    <row r="763" spans="2:6" x14ac:dyDescent="0.35">
      <c r="B763" t="str">
        <v>Wistron Medical Technology</v>
      </c>
      <c r="C763">
        <v>1</v>
      </c>
      <c r="E763" t="s">
        <v>1925</v>
      </c>
      <c r="F763">
        <v>1</v>
      </c>
    </row>
    <row r="764" spans="2:6" x14ac:dyDescent="0.35">
      <c r="B764" t="str">
        <v>WorldQuant Ventures</v>
      </c>
      <c r="C764">
        <v>2</v>
      </c>
      <c r="E764" t="s">
        <v>1926</v>
      </c>
      <c r="F764">
        <v>1</v>
      </c>
    </row>
    <row r="765" spans="2:6" x14ac:dyDescent="0.35">
      <c r="B765" t="str">
        <v>Ceres Partners</v>
      </c>
      <c r="C765">
        <v>1</v>
      </c>
      <c r="E765" t="s">
        <v>1927</v>
      </c>
      <c r="F765">
        <v>1</v>
      </c>
    </row>
    <row r="766" spans="2:6" x14ac:dyDescent="0.35">
      <c r="B766" t="str">
        <v>Arosa Capital Management</v>
      </c>
      <c r="C766">
        <v>1</v>
      </c>
      <c r="E766" t="s">
        <v>1928</v>
      </c>
      <c r="F766">
        <v>1</v>
      </c>
    </row>
    <row r="767" spans="2:6" x14ac:dyDescent="0.35">
      <c r="B767" t="str">
        <v>BrightStar Wisconsin Foundation</v>
      </c>
      <c r="C767">
        <v>1</v>
      </c>
      <c r="E767" t="s">
        <v>1929</v>
      </c>
      <c r="F767">
        <v>1</v>
      </c>
    </row>
    <row r="768" spans="2:6" x14ac:dyDescent="0.35">
      <c r="B768" t="str">
        <v>WARF Ventures</v>
      </c>
      <c r="C768">
        <v>1</v>
      </c>
      <c r="E768" t="s">
        <v>1930</v>
      </c>
      <c r="F768">
        <v>1</v>
      </c>
    </row>
    <row r="769" spans="2:6" x14ac:dyDescent="0.35">
      <c r="B769" t="str">
        <v>Milano Investment Partners</v>
      </c>
      <c r="C769">
        <v>1</v>
      </c>
      <c r="E769" t="s">
        <v>1931</v>
      </c>
      <c r="F769">
        <v>1</v>
      </c>
    </row>
    <row r="770" spans="2:6" x14ac:dyDescent="0.35">
      <c r="B770" t="str">
        <v>Mintz</v>
      </c>
      <c r="C770">
        <v>2</v>
      </c>
      <c r="E770" t="s">
        <v>1932</v>
      </c>
      <c r="F770">
        <v>1</v>
      </c>
    </row>
    <row r="771" spans="2:6" x14ac:dyDescent="0.35">
      <c r="B771" t="str">
        <v>Mitsubishi</v>
      </c>
      <c r="C771">
        <v>1</v>
      </c>
      <c r="E771" t="s">
        <v>1933</v>
      </c>
      <c r="F771">
        <v>1</v>
      </c>
    </row>
    <row r="772" spans="2:6" x14ac:dyDescent="0.35">
      <c r="B772" t="str">
        <v>Prelude Ventures</v>
      </c>
      <c r="C772">
        <v>3</v>
      </c>
      <c r="E772" t="s">
        <v>789</v>
      </c>
      <c r="F772">
        <v>1</v>
      </c>
    </row>
    <row r="773" spans="2:6" x14ac:dyDescent="0.35">
      <c r="B773" t="str">
        <v>Safar Partners</v>
      </c>
      <c r="C773">
        <v>7</v>
      </c>
      <c r="E773" t="s">
        <v>1934</v>
      </c>
      <c r="F773">
        <v>1</v>
      </c>
    </row>
    <row r="774" spans="2:6" x14ac:dyDescent="0.35">
      <c r="B774" t="str">
        <v>Standard Investments</v>
      </c>
      <c r="C774">
        <v>2</v>
      </c>
      <c r="E774" t="s">
        <v>1935</v>
      </c>
      <c r="F774">
        <v>1</v>
      </c>
    </row>
    <row r="775" spans="2:6" x14ac:dyDescent="0.35">
      <c r="B775" t="str">
        <v>Cowles Ventures</v>
      </c>
      <c r="C775">
        <v>2</v>
      </c>
      <c r="E775" t="s">
        <v>1936</v>
      </c>
      <c r="F775">
        <v>1</v>
      </c>
    </row>
    <row r="776" spans="2:6" x14ac:dyDescent="0.35">
      <c r="B776" t="str">
        <v>Keiretsu Capital</v>
      </c>
      <c r="C776">
        <v>2</v>
      </c>
      <c r="E776" t="s">
        <v>1937</v>
      </c>
      <c r="F776">
        <v>1</v>
      </c>
    </row>
    <row r="777" spans="2:6" x14ac:dyDescent="0.35">
      <c r="B777" t="str">
        <v>Volkswagen Group</v>
      </c>
      <c r="C777">
        <v>1</v>
      </c>
      <c r="E777" t="s">
        <v>1938</v>
      </c>
      <c r="F777">
        <v>1</v>
      </c>
    </row>
    <row r="778" spans="2:6" x14ac:dyDescent="0.35">
      <c r="B778" t="str">
        <v>Ascent Funds</v>
      </c>
      <c r="C778">
        <v>3</v>
      </c>
      <c r="E778" t="s">
        <v>1939</v>
      </c>
      <c r="F778">
        <v>1</v>
      </c>
    </row>
    <row r="779" spans="2:6" x14ac:dyDescent="0.35">
      <c r="B779" t="str">
        <v>Ascent Funds</v>
      </c>
      <c r="C779">
        <v>3</v>
      </c>
      <c r="E779" t="s">
        <v>1940</v>
      </c>
      <c r="F779">
        <v>1</v>
      </c>
    </row>
    <row r="780" spans="2:6" x14ac:dyDescent="0.35">
      <c r="B780" t="str">
        <v>Chevron</v>
      </c>
      <c r="C780">
        <v>2</v>
      </c>
      <c r="E780" t="s">
        <v>1941</v>
      </c>
      <c r="F780">
        <v>1</v>
      </c>
    </row>
    <row r="781" spans="2:6" x14ac:dyDescent="0.35">
      <c r="B781" t="str">
        <v>Hyzon Fuel Cell</v>
      </c>
      <c r="C781">
        <v>1</v>
      </c>
      <c r="E781" t="s">
        <v>1942</v>
      </c>
      <c r="F781">
        <v>1</v>
      </c>
    </row>
    <row r="782" spans="2:6" x14ac:dyDescent="0.35">
      <c r="B782" t="str">
        <v>Itochu</v>
      </c>
      <c r="C782">
        <v>2</v>
      </c>
      <c r="E782" t="s">
        <v>791</v>
      </c>
      <c r="F782">
        <v>1</v>
      </c>
    </row>
    <row r="783" spans="2:6" x14ac:dyDescent="0.35">
      <c r="B783" t="str">
        <v>Samsung Venture Investment</v>
      </c>
      <c r="C783">
        <v>2</v>
      </c>
      <c r="E783" t="s">
        <v>1943</v>
      </c>
      <c r="F783">
        <v>1</v>
      </c>
    </row>
    <row r="784" spans="2:6" x14ac:dyDescent="0.35">
      <c r="B784" t="str">
        <v>The RockCreek Group</v>
      </c>
      <c r="C784">
        <v>1</v>
      </c>
      <c r="E784" t="s">
        <v>1944</v>
      </c>
      <c r="F784">
        <v>1</v>
      </c>
    </row>
    <row r="785" spans="2:6" x14ac:dyDescent="0.35">
      <c r="B785" t="str">
        <v>Ascent Funds</v>
      </c>
      <c r="C785">
        <v>3</v>
      </c>
      <c r="E785" t="s">
        <v>1945</v>
      </c>
      <c r="F785">
        <v>1</v>
      </c>
    </row>
    <row r="786" spans="2:6" x14ac:dyDescent="0.35">
      <c r="B786" t="str">
        <v>Chevron</v>
      </c>
      <c r="C786">
        <v>2</v>
      </c>
      <c r="E786" t="s">
        <v>1947</v>
      </c>
      <c r="F786">
        <v>1</v>
      </c>
    </row>
    <row r="787" spans="2:6" x14ac:dyDescent="0.35">
      <c r="B787" t="str">
        <v>Itochu</v>
      </c>
      <c r="C787">
        <v>2</v>
      </c>
      <c r="E787" t="s">
        <v>1948</v>
      </c>
      <c r="F787">
        <v>1</v>
      </c>
    </row>
    <row r="788" spans="2:6" x14ac:dyDescent="0.35">
      <c r="B788" t="str">
        <v>Stellar J</v>
      </c>
      <c r="C788">
        <v>1</v>
      </c>
      <c r="E788" t="s">
        <v>1949</v>
      </c>
      <c r="F788">
        <v>1</v>
      </c>
    </row>
    <row r="789" spans="2:6" x14ac:dyDescent="0.35">
      <c r="B789" t="str">
        <v>D3 Jubilee partners</v>
      </c>
      <c r="C789">
        <v>1</v>
      </c>
      <c r="E789" t="s">
        <v>1950</v>
      </c>
      <c r="F789">
        <v>1</v>
      </c>
    </row>
    <row r="790" spans="2:6" x14ac:dyDescent="0.35">
      <c r="B790" t="str">
        <v>GS Holdings</v>
      </c>
      <c r="C790">
        <v>1</v>
      </c>
      <c r="E790" t="s">
        <v>1951</v>
      </c>
      <c r="F790">
        <v>1</v>
      </c>
    </row>
    <row r="791" spans="2:6" x14ac:dyDescent="0.35">
      <c r="B791" t="str">
        <v>POSCO Holdings</v>
      </c>
      <c r="C791">
        <v>1</v>
      </c>
      <c r="E791" t="s">
        <v>1952</v>
      </c>
      <c r="F791">
        <v>1</v>
      </c>
    </row>
    <row r="792" spans="2:6" x14ac:dyDescent="0.35">
      <c r="B792" t="str">
        <v>Novare</v>
      </c>
      <c r="C792">
        <v>1</v>
      </c>
      <c r="E792" t="s">
        <v>1954</v>
      </c>
      <c r="F792">
        <v>1</v>
      </c>
    </row>
    <row r="793" spans="2:6" x14ac:dyDescent="0.35">
      <c r="B793" t="str">
        <v>AiiM Partners</v>
      </c>
      <c r="C793">
        <v>4</v>
      </c>
      <c r="E793" t="s">
        <v>1955</v>
      </c>
      <c r="F793">
        <v>1</v>
      </c>
    </row>
    <row r="794" spans="2:6" x14ac:dyDescent="0.35">
      <c r="B794" t="str">
        <v>Breakthrough Energy</v>
      </c>
      <c r="C794">
        <v>10</v>
      </c>
      <c r="E794" t="s">
        <v>1956</v>
      </c>
      <c r="F794">
        <v>1</v>
      </c>
    </row>
    <row r="795" spans="2:6" x14ac:dyDescent="0.35">
      <c r="B795" t="str">
        <v>Darco Capital</v>
      </c>
      <c r="C795">
        <v>1</v>
      </c>
      <c r="E795" t="s">
        <v>1957</v>
      </c>
      <c r="F795">
        <v>1</v>
      </c>
    </row>
    <row r="796" spans="2:6" x14ac:dyDescent="0.35">
      <c r="B796" t="str">
        <v>Aramco Ventures</v>
      </c>
      <c r="C796">
        <v>3</v>
      </c>
      <c r="E796" t="s">
        <v>1958</v>
      </c>
      <c r="F796">
        <v>1</v>
      </c>
    </row>
    <row r="797" spans="2:6" x14ac:dyDescent="0.35">
      <c r="B797" t="str">
        <v>Breakthrough Energy</v>
      </c>
      <c r="C797">
        <v>10</v>
      </c>
      <c r="E797" t="s">
        <v>1427</v>
      </c>
      <c r="F797">
        <v>1</v>
      </c>
    </row>
    <row r="798" spans="2:6" x14ac:dyDescent="0.35">
      <c r="B798" t="str">
        <v>Energy Impact Partners</v>
      </c>
      <c r="C798">
        <v>3</v>
      </c>
      <c r="E798" t="s">
        <v>1959</v>
      </c>
      <c r="F798">
        <v>1</v>
      </c>
    </row>
    <row r="799" spans="2:6" x14ac:dyDescent="0.35">
      <c r="B799" t="str">
        <v>John Doerr</v>
      </c>
      <c r="C799">
        <v>2</v>
      </c>
      <c r="E799" t="s">
        <v>1960</v>
      </c>
      <c r="F799">
        <v>1</v>
      </c>
    </row>
    <row r="800" spans="2:6" x14ac:dyDescent="0.35">
      <c r="B800" t="str">
        <v>Microsoft Climate Fund</v>
      </c>
      <c r="C800">
        <v>2</v>
      </c>
      <c r="E800" t="s">
        <v>1961</v>
      </c>
      <c r="F800">
        <v>1</v>
      </c>
    </row>
    <row r="801" spans="2:6" x14ac:dyDescent="0.35">
      <c r="B801" t="str">
        <v>Rio Tinto</v>
      </c>
      <c r="C801">
        <v>2</v>
      </c>
      <c r="E801" t="s">
        <v>1962</v>
      </c>
      <c r="F801">
        <v>1</v>
      </c>
    </row>
    <row r="802" spans="2:6" x14ac:dyDescent="0.35">
      <c r="B802" t="str">
        <v>Saudi Basic Industries</v>
      </c>
      <c r="C802">
        <v>1</v>
      </c>
      <c r="E802" t="s">
        <v>1963</v>
      </c>
      <c r="F802">
        <v>1</v>
      </c>
    </row>
    <row r="803" spans="2:6" x14ac:dyDescent="0.35">
      <c r="B803" t="str">
        <v>SDCL Efficiency Income Trust</v>
      </c>
      <c r="C803">
        <v>1</v>
      </c>
      <c r="E803" t="s">
        <v>1966</v>
      </c>
      <c r="F803">
        <v>1</v>
      </c>
    </row>
    <row r="804" spans="2:6" x14ac:dyDescent="0.35">
      <c r="B804" t="str">
        <v>Siam Cement Public Company</v>
      </c>
      <c r="C804">
        <v>1</v>
      </c>
      <c r="E804" t="s">
        <v>1967</v>
      </c>
      <c r="F804">
        <v>1</v>
      </c>
    </row>
    <row r="805" spans="2:6" x14ac:dyDescent="0.35">
      <c r="B805" t="str">
        <v>Titan</v>
      </c>
      <c r="C805">
        <v>1</v>
      </c>
      <c r="E805" t="s">
        <v>1968</v>
      </c>
      <c r="F805">
        <v>1</v>
      </c>
    </row>
    <row r="806" spans="2:6" x14ac:dyDescent="0.35">
      <c r="B806" t="str">
        <v>Newlight Partners</v>
      </c>
      <c r="C806">
        <v>2</v>
      </c>
      <c r="E806" t="s">
        <v>1431</v>
      </c>
      <c r="F806">
        <v>1</v>
      </c>
    </row>
    <row r="807" spans="2:6" x14ac:dyDescent="0.35">
      <c r="B807" t="str">
        <v>Ridgevale Enterprises</v>
      </c>
      <c r="C807">
        <v>1</v>
      </c>
      <c r="E807" t="s">
        <v>1969</v>
      </c>
      <c r="F807">
        <v>1</v>
      </c>
    </row>
    <row r="808" spans="2:6" x14ac:dyDescent="0.35">
      <c r="B808" t="str">
        <v>Vickers Venture Partners</v>
      </c>
      <c r="C808">
        <v>3</v>
      </c>
      <c r="E808" t="s">
        <v>1970</v>
      </c>
      <c r="F808">
        <v>1</v>
      </c>
    </row>
    <row r="809" spans="2:6" x14ac:dyDescent="0.35">
      <c r="B809" t="str">
        <v>WI Harper Group</v>
      </c>
      <c r="C809">
        <v>2</v>
      </c>
      <c r="E809" t="s">
        <v>1971</v>
      </c>
      <c r="F809">
        <v>1</v>
      </c>
    </row>
    <row r="810" spans="2:6" x14ac:dyDescent="0.35">
      <c r="B810" t="str">
        <v>Eversource Retirement Plan Master Trust</v>
      </c>
      <c r="C810">
        <v>1</v>
      </c>
      <c r="E810" t="s">
        <v>1972</v>
      </c>
      <c r="F810">
        <v>1</v>
      </c>
    </row>
    <row r="811" spans="2:6" x14ac:dyDescent="0.35">
      <c r="B811" t="str">
        <v>Vickers Venture Partners</v>
      </c>
      <c r="C811">
        <v>3</v>
      </c>
      <c r="E811" t="s">
        <v>1973</v>
      </c>
      <c r="F811">
        <v>1</v>
      </c>
    </row>
    <row r="812" spans="2:6" x14ac:dyDescent="0.35">
      <c r="B812" t="str">
        <v>WI Harper Group</v>
      </c>
      <c r="C812">
        <v>2</v>
      </c>
      <c r="E812" t="s">
        <v>1974</v>
      </c>
      <c r="F812">
        <v>1</v>
      </c>
    </row>
    <row r="813" spans="2:6" x14ac:dyDescent="0.35">
      <c r="B813" t="str">
        <v>CPV/CAP Pensionskasse Coop</v>
      </c>
      <c r="C813">
        <v>1</v>
      </c>
      <c r="E813" t="s">
        <v>1975</v>
      </c>
      <c r="F813">
        <v>1</v>
      </c>
    </row>
    <row r="814" spans="2:6" x14ac:dyDescent="0.35">
      <c r="B814" t="str">
        <v>Optimas Capital Partners</v>
      </c>
      <c r="C814">
        <v>1</v>
      </c>
      <c r="E814" t="s">
        <v>1977</v>
      </c>
      <c r="F814">
        <v>1</v>
      </c>
    </row>
    <row r="815" spans="2:6" x14ac:dyDescent="0.35">
      <c r="B815" t="str">
        <v>Temasek Holdings</v>
      </c>
      <c r="C815">
        <v>9</v>
      </c>
      <c r="E815" t="s">
        <v>795</v>
      </c>
      <c r="F815">
        <v>1</v>
      </c>
    </row>
    <row r="816" spans="2:6" x14ac:dyDescent="0.35">
      <c r="B816" t="str">
        <v>Vickers Venture Partners</v>
      </c>
      <c r="C816">
        <v>3</v>
      </c>
      <c r="E816" t="s">
        <v>1978</v>
      </c>
      <c r="F816">
        <v>1</v>
      </c>
    </row>
    <row r="817" spans="2:6" x14ac:dyDescent="0.35">
      <c r="B817" t="str">
        <v>Warburg Pincus</v>
      </c>
      <c r="C817">
        <v>2</v>
      </c>
      <c r="E817" t="s">
        <v>1979</v>
      </c>
      <c r="F817">
        <v>1</v>
      </c>
    </row>
    <row r="818" spans="2:6" x14ac:dyDescent="0.35">
      <c r="B818" t="str">
        <v>Anthropocene Ventures</v>
      </c>
      <c r="C818">
        <v>3</v>
      </c>
      <c r="E818" t="s">
        <v>1980</v>
      </c>
      <c r="F818">
        <v>1</v>
      </c>
    </row>
    <row r="819" spans="2:6" x14ac:dyDescent="0.35">
      <c r="B819" t="str">
        <v>E8</v>
      </c>
      <c r="C819">
        <v>5</v>
      </c>
      <c r="E819" t="s">
        <v>1981</v>
      </c>
      <c r="F819">
        <v>1</v>
      </c>
    </row>
    <row r="820" spans="2:6" x14ac:dyDescent="0.35">
      <c r="B820" t="str">
        <v>Five Two Five</v>
      </c>
      <c r="C820">
        <v>1</v>
      </c>
      <c r="E820" t="s">
        <v>1983</v>
      </c>
      <c r="F820">
        <v>1</v>
      </c>
    </row>
    <row r="821" spans="2:6" x14ac:dyDescent="0.35">
      <c r="B821" t="str">
        <v>Aditya Mathur</v>
      </c>
      <c r="C821">
        <v>1</v>
      </c>
      <c r="E821" t="s">
        <v>1984</v>
      </c>
      <c r="F821">
        <v>1</v>
      </c>
    </row>
    <row r="822" spans="2:6" x14ac:dyDescent="0.35">
      <c r="B822" t="str">
        <v>Arsat Industries</v>
      </c>
      <c r="C822">
        <v>1</v>
      </c>
      <c r="E822" t="s">
        <v>1985</v>
      </c>
      <c r="F822">
        <v>1</v>
      </c>
    </row>
    <row r="823" spans="2:6" x14ac:dyDescent="0.35">
      <c r="B823" t="str">
        <v>Bhavya Khanna</v>
      </c>
      <c r="C823">
        <v>1</v>
      </c>
      <c r="E823" t="s">
        <v>1986</v>
      </c>
      <c r="F823">
        <v>1</v>
      </c>
    </row>
    <row r="824" spans="2:6" x14ac:dyDescent="0.35">
      <c r="B824" t="str">
        <v>Elev8.vc</v>
      </c>
      <c r="C824">
        <v>1</v>
      </c>
      <c r="E824" t="s">
        <v>794</v>
      </c>
      <c r="F824">
        <v>1</v>
      </c>
    </row>
    <row r="825" spans="2:6" x14ac:dyDescent="0.35">
      <c r="B825" t="str">
        <v>Elevate Ventures</v>
      </c>
      <c r="C825">
        <v>2</v>
      </c>
      <c r="E825" t="s">
        <v>1987</v>
      </c>
      <c r="F825">
        <v>1</v>
      </c>
    </row>
    <row r="826" spans="2:6" x14ac:dyDescent="0.35">
      <c r="B826" t="str">
        <v>Sai Anurag</v>
      </c>
      <c r="C826">
        <v>1</v>
      </c>
      <c r="E826" t="s">
        <v>1991</v>
      </c>
      <c r="F826">
        <v>1</v>
      </c>
    </row>
    <row r="827" spans="2:6" x14ac:dyDescent="0.35">
      <c r="B827" t="str">
        <v>SM Ventures</v>
      </c>
      <c r="C827">
        <v>1</v>
      </c>
      <c r="E827" t="s">
        <v>1993</v>
      </c>
      <c r="F827">
        <v>1</v>
      </c>
    </row>
    <row r="828" spans="2:6" x14ac:dyDescent="0.35">
      <c r="B828" t="str">
        <v>Global Emerging Markets</v>
      </c>
      <c r="C828">
        <v>2</v>
      </c>
      <c r="E828" t="s">
        <v>1994</v>
      </c>
      <c r="F828">
        <v>1</v>
      </c>
    </row>
    <row r="829" spans="2:6" x14ac:dyDescent="0.35">
      <c r="B829" t="str">
        <v>Eagle Private Capital</v>
      </c>
      <c r="C829">
        <v>1</v>
      </c>
      <c r="E829" t="s">
        <v>1995</v>
      </c>
      <c r="F829">
        <v>1</v>
      </c>
    </row>
    <row r="830" spans="2:6" x14ac:dyDescent="0.35">
      <c r="B830" t="str">
        <v>Cornell University</v>
      </c>
      <c r="C830">
        <v>1</v>
      </c>
      <c r="E830" t="s">
        <v>1996</v>
      </c>
      <c r="F830">
        <v>1</v>
      </c>
    </row>
    <row r="831" spans="2:6" x14ac:dyDescent="0.35">
      <c r="B831" t="str">
        <v>Coulometrics</v>
      </c>
      <c r="C831">
        <v>1</v>
      </c>
      <c r="E831" t="s">
        <v>504</v>
      </c>
      <c r="F831">
        <v>1</v>
      </c>
    </row>
    <row r="832" spans="2:6" x14ac:dyDescent="0.35">
      <c r="B832" t="str">
        <v>In-Q-Tel</v>
      </c>
      <c r="C832">
        <v>1</v>
      </c>
      <c r="E832" t="s">
        <v>1997</v>
      </c>
      <c r="F832">
        <v>1</v>
      </c>
    </row>
    <row r="833" spans="2:6" x14ac:dyDescent="0.35">
      <c r="B833" t="str">
        <v>New York Ventures</v>
      </c>
      <c r="C833">
        <v>2</v>
      </c>
      <c r="E833" t="s">
        <v>797</v>
      </c>
      <c r="F833">
        <v>1</v>
      </c>
    </row>
    <row r="834" spans="2:6" x14ac:dyDescent="0.35">
      <c r="B834" t="str">
        <v>Phoenix Venture Partners</v>
      </c>
      <c r="C834">
        <v>1</v>
      </c>
      <c r="E834" t="s">
        <v>1998</v>
      </c>
      <c r="F834">
        <v>1</v>
      </c>
    </row>
    <row r="835" spans="2:6" x14ac:dyDescent="0.35">
      <c r="B835" t="str">
        <v>Rochester Institute of Technology Venture Fund</v>
      </c>
      <c r="C835">
        <v>1</v>
      </c>
      <c r="E835" t="s">
        <v>1999</v>
      </c>
      <c r="F835">
        <v>1</v>
      </c>
    </row>
    <row r="836" spans="2:6" x14ac:dyDescent="0.35">
      <c r="B836" t="str">
        <v>Syensqo Ventures</v>
      </c>
      <c r="C836">
        <v>1</v>
      </c>
      <c r="E836" t="s">
        <v>2000</v>
      </c>
      <c r="F836">
        <v>1</v>
      </c>
    </row>
    <row r="837" spans="2:6" x14ac:dyDescent="0.35">
      <c r="B837" t="str">
        <v>University of Colorado</v>
      </c>
      <c r="C837">
        <v>1</v>
      </c>
      <c r="E837" t="s">
        <v>2002</v>
      </c>
      <c r="F837">
        <v>1</v>
      </c>
    </row>
    <row r="838" spans="2:6" x14ac:dyDescent="0.35">
      <c r="B838" t="str">
        <v>BP Energy Partners</v>
      </c>
      <c r="C838">
        <v>1</v>
      </c>
      <c r="E838" t="s">
        <v>2003</v>
      </c>
      <c r="F838">
        <v>1</v>
      </c>
    </row>
    <row r="839" spans="2:6" x14ac:dyDescent="0.35">
      <c r="B839" t="str">
        <v>Keystone Group</v>
      </c>
      <c r="C839">
        <v>1</v>
      </c>
      <c r="E839" t="s">
        <v>2004</v>
      </c>
      <c r="F839">
        <v>1</v>
      </c>
    </row>
    <row r="840" spans="2:6" x14ac:dyDescent="0.35">
      <c r="B840" t="str">
        <v>Equinor Ventures</v>
      </c>
      <c r="C840">
        <v>1</v>
      </c>
      <c r="E840" t="s">
        <v>2005</v>
      </c>
      <c r="F840">
        <v>1</v>
      </c>
    </row>
    <row r="841" spans="2:6" x14ac:dyDescent="0.35">
      <c r="B841" t="str">
        <v>Techstars</v>
      </c>
      <c r="C841">
        <v>1</v>
      </c>
      <c r="E841" t="s">
        <v>2006</v>
      </c>
      <c r="F841">
        <v>1</v>
      </c>
    </row>
    <row r="842" spans="2:6" x14ac:dyDescent="0.35">
      <c r="B842" t="str">
        <v>Helios Climate Ventures</v>
      </c>
      <c r="C842">
        <v>1</v>
      </c>
      <c r="E842" t="s">
        <v>2007</v>
      </c>
      <c r="F842">
        <v>1</v>
      </c>
    </row>
    <row r="843" spans="2:6" x14ac:dyDescent="0.35">
      <c r="B843" t="str">
        <v>Innova Capital Partners</v>
      </c>
      <c r="C843">
        <v>2</v>
      </c>
      <c r="E843" t="s">
        <v>2008</v>
      </c>
      <c r="F843">
        <v>1</v>
      </c>
    </row>
    <row r="844" spans="2:6" x14ac:dyDescent="0.35">
      <c r="B844" t="str">
        <v>Flight Ventures</v>
      </c>
      <c r="C844">
        <v>1</v>
      </c>
      <c r="E844" t="s">
        <v>2009</v>
      </c>
      <c r="F844">
        <v>1</v>
      </c>
    </row>
    <row r="845" spans="2:6" x14ac:dyDescent="0.35">
      <c r="B845" t="str">
        <v>Ford Street Ventures</v>
      </c>
      <c r="C845">
        <v>1</v>
      </c>
      <c r="E845" t="s">
        <v>2010</v>
      </c>
      <c r="F845">
        <v>1</v>
      </c>
    </row>
    <row r="846" spans="2:6" x14ac:dyDescent="0.35">
      <c r="B846" t="str">
        <v>Harpoon VC</v>
      </c>
      <c r="C846">
        <v>1</v>
      </c>
      <c r="E846" t="s">
        <v>798</v>
      </c>
      <c r="F846">
        <v>1</v>
      </c>
    </row>
    <row r="847" spans="2:6" x14ac:dyDescent="0.35">
      <c r="B847" t="str">
        <v>Jonathan Hung</v>
      </c>
      <c r="C847">
        <v>1</v>
      </c>
      <c r="E847" t="s">
        <v>2011</v>
      </c>
      <c r="F847">
        <v>1</v>
      </c>
    </row>
    <row r="848" spans="2:6" x14ac:dyDescent="0.35">
      <c r="B848" t="str">
        <v>Lowercarbon Capital</v>
      </c>
      <c r="C848">
        <v>7</v>
      </c>
      <c r="E848" t="s">
        <v>2012</v>
      </c>
      <c r="F848">
        <v>1</v>
      </c>
    </row>
    <row r="849" spans="2:6" x14ac:dyDescent="0.35">
      <c r="B849" t="str">
        <v>McWin Partners</v>
      </c>
      <c r="C849">
        <v>2</v>
      </c>
      <c r="E849" t="s">
        <v>2013</v>
      </c>
      <c r="F849">
        <v>1</v>
      </c>
    </row>
    <row r="850" spans="2:6" x14ac:dyDescent="0.35">
      <c r="B850" t="str">
        <v>Meron Capital</v>
      </c>
      <c r="C850">
        <v>1</v>
      </c>
      <c r="E850" t="s">
        <v>2014</v>
      </c>
      <c r="F850">
        <v>1</v>
      </c>
    </row>
    <row r="851" spans="2:6" x14ac:dyDescent="0.35">
      <c r="B851" t="str">
        <v>Next Play Capital</v>
      </c>
      <c r="C851">
        <v>2</v>
      </c>
      <c r="E851" t="s">
        <v>2015</v>
      </c>
      <c r="F851">
        <v>1</v>
      </c>
    </row>
    <row r="852" spans="2:6" x14ac:dyDescent="0.35">
      <c r="B852" t="str">
        <v>Refactor Capital</v>
      </c>
      <c r="C852">
        <v>1</v>
      </c>
      <c r="E852" t="s">
        <v>2016</v>
      </c>
      <c r="F852">
        <v>1</v>
      </c>
    </row>
    <row r="853" spans="2:6" x14ac:dyDescent="0.35">
      <c r="B853" t="str">
        <v>Reform Ventures</v>
      </c>
      <c r="C853">
        <v>1</v>
      </c>
      <c r="E853" t="s">
        <v>2017</v>
      </c>
      <c r="F853">
        <v>1</v>
      </c>
    </row>
    <row r="854" spans="2:6" x14ac:dyDescent="0.35">
      <c r="B854" t="str">
        <v>Ruvento Ventures</v>
      </c>
      <c r="C854">
        <v>1</v>
      </c>
      <c r="E854" t="s">
        <v>2018</v>
      </c>
      <c r="F854">
        <v>1</v>
      </c>
    </row>
    <row r="855" spans="2:6" x14ac:dyDescent="0.35">
      <c r="B855" t="str">
        <v>Tjucholmen Ventures</v>
      </c>
      <c r="C855">
        <v>1</v>
      </c>
      <c r="E855" t="s">
        <v>2019</v>
      </c>
      <c r="F855">
        <v>1</v>
      </c>
    </row>
    <row r="856" spans="2:6" x14ac:dyDescent="0.35">
      <c r="B856" t="str">
        <v>Unicorn Venture Partners</v>
      </c>
      <c r="C856">
        <v>1</v>
      </c>
      <c r="E856" t="s">
        <v>2020</v>
      </c>
      <c r="F856">
        <v>1</v>
      </c>
    </row>
    <row r="857" spans="2:6" x14ac:dyDescent="0.35">
      <c r="B857" t="str">
        <v>Social Venture Circle</v>
      </c>
      <c r="C857">
        <v>1</v>
      </c>
      <c r="E857" t="s">
        <v>2021</v>
      </c>
      <c r="F857">
        <v>1</v>
      </c>
    </row>
    <row r="858" spans="2:6" x14ac:dyDescent="0.35">
      <c r="B858" t="str">
        <v>Solidarity Capital Group</v>
      </c>
      <c r="C858">
        <v>1</v>
      </c>
      <c r="E858" t="s">
        <v>2024</v>
      </c>
      <c r="F858">
        <v>1</v>
      </c>
    </row>
    <row r="859" spans="2:6" x14ac:dyDescent="0.35">
      <c r="B859" t="str">
        <v>NextCorps Luminate</v>
      </c>
      <c r="C859">
        <v>2</v>
      </c>
      <c r="E859" t="s">
        <v>2025</v>
      </c>
      <c r="F859">
        <v>1</v>
      </c>
    </row>
    <row r="860" spans="2:6" x14ac:dyDescent="0.35">
      <c r="B860" t="str">
        <v>Orion Infrastructure Capital</v>
      </c>
      <c r="C860">
        <v>1</v>
      </c>
      <c r="E860" t="s">
        <v>2026</v>
      </c>
      <c r="F860">
        <v>1</v>
      </c>
    </row>
    <row r="861" spans="2:6" x14ac:dyDescent="0.35">
      <c r="B861" t="str">
        <v>MB Energy Partners</v>
      </c>
      <c r="C861">
        <v>1</v>
      </c>
      <c r="E861" t="s">
        <v>2027</v>
      </c>
      <c r="F861">
        <v>1</v>
      </c>
    </row>
    <row r="862" spans="2:6" x14ac:dyDescent="0.35">
      <c r="B862" t="str">
        <v>MMA Capital Holdings (Robert Hopper)</v>
      </c>
      <c r="C862">
        <v>1</v>
      </c>
      <c r="E862" t="s">
        <v>801</v>
      </c>
      <c r="F862">
        <v>1</v>
      </c>
    </row>
    <row r="863" spans="2:6" x14ac:dyDescent="0.35">
      <c r="B863" t="str">
        <v>Climate Capital</v>
      </c>
      <c r="C863">
        <v>7</v>
      </c>
      <c r="E863" t="s">
        <v>2028</v>
      </c>
      <c r="F863">
        <v>1</v>
      </c>
    </row>
    <row r="864" spans="2:6" x14ac:dyDescent="0.35">
      <c r="B864" t="str">
        <v>Good Growth Capital</v>
      </c>
      <c r="C864">
        <v>1</v>
      </c>
      <c r="E864" t="s">
        <v>2029</v>
      </c>
      <c r="F864">
        <v>1</v>
      </c>
    </row>
    <row r="865" spans="2:6" x14ac:dyDescent="0.35">
      <c r="B865" t="str">
        <v>Grant Hummer</v>
      </c>
      <c r="C865">
        <v>1</v>
      </c>
      <c r="E865" t="s">
        <v>2030</v>
      </c>
      <c r="F865">
        <v>1</v>
      </c>
    </row>
    <row r="866" spans="2:6" x14ac:dyDescent="0.35">
      <c r="B866" t="str">
        <v>Jack Fuchs</v>
      </c>
      <c r="C866">
        <v>1</v>
      </c>
      <c r="E866" t="s">
        <v>2031</v>
      </c>
      <c r="F866">
        <v>1</v>
      </c>
    </row>
    <row r="867" spans="2:6" x14ac:dyDescent="0.35">
      <c r="B867" t="str">
        <v>James Fickel lame</v>
      </c>
      <c r="C867">
        <v>1</v>
      </c>
      <c r="E867" t="s">
        <v>2032</v>
      </c>
      <c r="F867">
        <v>1</v>
      </c>
    </row>
    <row r="868" spans="2:6" x14ac:dyDescent="0.35">
      <c r="B868" t="str">
        <v>Kelly Lei</v>
      </c>
      <c r="C868">
        <v>1</v>
      </c>
      <c r="E868" t="s">
        <v>2033</v>
      </c>
      <c r="F868">
        <v>1</v>
      </c>
    </row>
    <row r="869" spans="2:6" x14ac:dyDescent="0.35">
      <c r="B869" t="str">
        <v>Safar Partners</v>
      </c>
      <c r="C869">
        <v>7</v>
      </c>
      <c r="E869" t="s">
        <v>2034</v>
      </c>
      <c r="F869">
        <v>1</v>
      </c>
    </row>
    <row r="870" spans="2:6" x14ac:dyDescent="0.35">
      <c r="B870" t="str">
        <v>Sierra Peterson</v>
      </c>
      <c r="C870">
        <v>1</v>
      </c>
      <c r="E870" t="s">
        <v>2035</v>
      </c>
      <c r="F870">
        <v>1</v>
      </c>
    </row>
    <row r="871" spans="2:6" x14ac:dyDescent="0.35">
      <c r="B871" t="str">
        <v>Sytse Sijbrandij</v>
      </c>
      <c r="C871">
        <v>1</v>
      </c>
      <c r="E871" t="s">
        <v>2036</v>
      </c>
      <c r="F871">
        <v>1</v>
      </c>
    </row>
    <row r="872" spans="2:6" x14ac:dyDescent="0.35">
      <c r="B872" t="str">
        <v>Vitalik Buterin</v>
      </c>
      <c r="C872">
        <v>1</v>
      </c>
      <c r="E872" t="s">
        <v>2037</v>
      </c>
      <c r="F872">
        <v>1</v>
      </c>
    </row>
    <row r="873" spans="2:6" x14ac:dyDescent="0.35">
      <c r="B873" t="str">
        <v>Plug and Play Tech Center</v>
      </c>
      <c r="C873">
        <v>4</v>
      </c>
      <c r="E873" t="s">
        <v>2038</v>
      </c>
      <c r="F873">
        <v>1</v>
      </c>
    </row>
    <row r="874" spans="2:6" x14ac:dyDescent="0.35">
      <c r="B874" t="str">
        <v>Seedlnvest</v>
      </c>
      <c r="C874">
        <v>1</v>
      </c>
      <c r="E874" t="s">
        <v>2040</v>
      </c>
      <c r="F874">
        <v>1</v>
      </c>
    </row>
    <row r="875" spans="2:6" x14ac:dyDescent="0.35">
      <c r="B875" t="str">
        <v>Sunmeet Jolly</v>
      </c>
      <c r="C875">
        <v>1</v>
      </c>
      <c r="E875" t="s">
        <v>2041</v>
      </c>
      <c r="F875">
        <v>1</v>
      </c>
    </row>
    <row r="876" spans="2:6" x14ac:dyDescent="0.35">
      <c r="B876" t="str">
        <v>Verizon Ventures</v>
      </c>
      <c r="C876">
        <v>2</v>
      </c>
      <c r="E876" t="s">
        <v>2042</v>
      </c>
      <c r="F876">
        <v>1</v>
      </c>
    </row>
    <row r="877" spans="2:6" x14ac:dyDescent="0.35">
      <c r="B877" t="str">
        <v>G Ventures</v>
      </c>
      <c r="C877">
        <v>1</v>
      </c>
      <c r="E877" t="s">
        <v>2043</v>
      </c>
      <c r="F877">
        <v>1</v>
      </c>
    </row>
    <row r="878" spans="2:6" x14ac:dyDescent="0.35">
      <c r="B878" t="str">
        <v>Mukul Agapwal</v>
      </c>
      <c r="C878">
        <v>1</v>
      </c>
      <c r="E878" t="s">
        <v>2045</v>
      </c>
      <c r="F878">
        <v>1</v>
      </c>
    </row>
    <row r="879" spans="2:6" x14ac:dyDescent="0.35">
      <c r="B879" t="str">
        <v>Nonlinear Capital</v>
      </c>
      <c r="C879">
        <v>1</v>
      </c>
      <c r="E879" t="s">
        <v>2046</v>
      </c>
      <c r="F879">
        <v>1</v>
      </c>
    </row>
    <row r="880" spans="2:6" x14ac:dyDescent="0.35">
      <c r="B880" t="str">
        <v>Plug and Play Tech Center</v>
      </c>
      <c r="C880">
        <v>4</v>
      </c>
      <c r="E880" t="s">
        <v>2047</v>
      </c>
      <c r="F880">
        <v>1</v>
      </c>
    </row>
    <row r="881" spans="2:6" x14ac:dyDescent="0.35">
      <c r="B881" t="str">
        <v>Verizon Ventures</v>
      </c>
      <c r="C881">
        <v>2</v>
      </c>
      <c r="E881" t="s">
        <v>2049</v>
      </c>
      <c r="F881">
        <v>1</v>
      </c>
    </row>
    <row r="882" spans="2:6" x14ac:dyDescent="0.35">
      <c r="B882" t="str">
        <v>Amplify Capital</v>
      </c>
      <c r="C882">
        <v>1</v>
      </c>
      <c r="E882" t="s">
        <v>2050</v>
      </c>
      <c r="F882">
        <v>1</v>
      </c>
    </row>
    <row r="883" spans="2:6" x14ac:dyDescent="0.35">
      <c r="B883" t="str">
        <v>Bruce Rubin</v>
      </c>
      <c r="C883">
        <v>1</v>
      </c>
      <c r="E883" t="s">
        <v>2051</v>
      </c>
      <c r="F883">
        <v>1</v>
      </c>
    </row>
    <row r="884" spans="2:6" x14ac:dyDescent="0.35">
      <c r="B884" t="str">
        <v>Kathy Salmanowitz</v>
      </c>
      <c r="C884">
        <v>1</v>
      </c>
      <c r="E884" t="s">
        <v>2052</v>
      </c>
      <c r="F884">
        <v>1</v>
      </c>
    </row>
    <row r="885" spans="2:6" x14ac:dyDescent="0.35">
      <c r="B885" t="str">
        <v>One World</v>
      </c>
      <c r="C885">
        <v>1</v>
      </c>
      <c r="E885" t="s">
        <v>2053</v>
      </c>
      <c r="F885">
        <v>1</v>
      </c>
    </row>
    <row r="886" spans="2:6" x14ac:dyDescent="0.35">
      <c r="B886" t="str">
        <v>Scott Saslow</v>
      </c>
      <c r="C886">
        <v>1</v>
      </c>
      <c r="E886" t="s">
        <v>1422</v>
      </c>
      <c r="F886">
        <v>1</v>
      </c>
    </row>
    <row r="887" spans="2:6" x14ac:dyDescent="0.35">
      <c r="B887" t="str">
        <v>Steve Rosard</v>
      </c>
      <c r="C887">
        <v>1</v>
      </c>
      <c r="E887" t="s">
        <v>2054</v>
      </c>
      <c r="F887">
        <v>1</v>
      </c>
    </row>
    <row r="888" spans="2:6" x14ac:dyDescent="0.35">
      <c r="B888" t="str">
        <v>SXU Investment</v>
      </c>
      <c r="C888">
        <v>1</v>
      </c>
      <c r="E888" t="s">
        <v>2055</v>
      </c>
      <c r="F888">
        <v>1</v>
      </c>
    </row>
    <row r="889" spans="2:6" x14ac:dyDescent="0.35">
      <c r="B889" t="str">
        <v>Volo Earth Ventures</v>
      </c>
      <c r="C889">
        <v>3</v>
      </c>
      <c r="E889" t="s">
        <v>2056</v>
      </c>
      <c r="F889">
        <v>1</v>
      </c>
    </row>
    <row r="890" spans="2:6" x14ac:dyDescent="0.35">
      <c r="B890" t="str">
        <v>Zygote Ventures</v>
      </c>
      <c r="C890">
        <v>1</v>
      </c>
      <c r="E890" t="s">
        <v>2057</v>
      </c>
      <c r="F890">
        <v>1</v>
      </c>
    </row>
    <row r="891" spans="2:6" x14ac:dyDescent="0.35">
      <c r="B891" t="str">
        <v>Tupras Ventures</v>
      </c>
      <c r="C891">
        <v>1</v>
      </c>
      <c r="E891" t="s">
        <v>2058</v>
      </c>
      <c r="F891">
        <v>1</v>
      </c>
    </row>
    <row r="892" spans="2:6" x14ac:dyDescent="0.35">
      <c r="B892" t="str">
        <v>Constellation Technology Ventures</v>
      </c>
      <c r="C892">
        <v>2</v>
      </c>
      <c r="E892" t="s">
        <v>2059</v>
      </c>
      <c r="F892">
        <v>1</v>
      </c>
    </row>
    <row r="893" spans="2:6" x14ac:dyDescent="0.35">
      <c r="B893" t="str">
        <v>Planetary Technologies</v>
      </c>
      <c r="C893">
        <v>1</v>
      </c>
      <c r="E893" t="s">
        <v>2060</v>
      </c>
      <c r="F893">
        <v>1</v>
      </c>
    </row>
    <row r="894" spans="2:6" x14ac:dyDescent="0.35">
      <c r="B894" t="str">
        <v>Thomas Werner</v>
      </c>
      <c r="C894">
        <v>1</v>
      </c>
      <c r="E894" t="s">
        <v>2061</v>
      </c>
      <c r="F894">
        <v>1</v>
      </c>
    </row>
    <row r="895" spans="2:6" x14ac:dyDescent="0.35">
      <c r="B895" t="str">
        <v>Uncorrelated Ventures</v>
      </c>
      <c r="C895">
        <v>1</v>
      </c>
      <c r="E895" t="s">
        <v>1433</v>
      </c>
      <c r="F895">
        <v>1</v>
      </c>
    </row>
    <row r="896" spans="2:6" x14ac:dyDescent="0.35">
      <c r="B896" t="str">
        <v>Climate Capital</v>
      </c>
      <c r="C896">
        <v>7</v>
      </c>
      <c r="E896" t="s">
        <v>1442</v>
      </c>
      <c r="F896">
        <v>1</v>
      </c>
    </row>
    <row r="897" spans="2:6" x14ac:dyDescent="0.35">
      <c r="B897" t="str">
        <v>Hacker Capital</v>
      </c>
      <c r="C897">
        <v>1</v>
      </c>
      <c r="E897" t="s">
        <v>2063</v>
      </c>
      <c r="F897">
        <v>1</v>
      </c>
    </row>
    <row r="898" spans="2:6" x14ac:dyDescent="0.35">
      <c r="B898" t="str">
        <v>Kanca Ventures</v>
      </c>
      <c r="C898">
        <v>1</v>
      </c>
      <c r="E898" t="s">
        <v>2065</v>
      </c>
      <c r="F898">
        <v>1</v>
      </c>
    </row>
    <row r="899" spans="2:6" x14ac:dyDescent="0.35">
      <c r="B899" t="str">
        <v>10X Capital</v>
      </c>
      <c r="C899">
        <v>1</v>
      </c>
      <c r="E899" t="s">
        <v>2066</v>
      </c>
      <c r="F899">
        <v>1</v>
      </c>
    </row>
    <row r="900" spans="2:6" x14ac:dyDescent="0.35">
      <c r="B900" t="str">
        <v>Ajay Yadav</v>
      </c>
      <c r="C900">
        <v>1</v>
      </c>
      <c r="E900" t="s">
        <v>2067</v>
      </c>
      <c r="F900">
        <v>1</v>
      </c>
    </row>
    <row r="901" spans="2:6" x14ac:dyDescent="0.35">
      <c r="B901" t="str">
        <v>C2 Ventures</v>
      </c>
      <c r="C901">
        <v>1</v>
      </c>
      <c r="E901" t="s">
        <v>2068</v>
      </c>
      <c r="F901">
        <v>1</v>
      </c>
    </row>
    <row r="902" spans="2:6" x14ac:dyDescent="0.35">
      <c r="B902" t="str">
        <v>Camwood Ventures</v>
      </c>
      <c r="C902">
        <v>1</v>
      </c>
      <c r="E902" t="s">
        <v>1439</v>
      </c>
      <c r="F902">
        <v>1</v>
      </c>
    </row>
    <row r="903" spans="2:6" x14ac:dyDescent="0.35">
      <c r="B903" t="str">
        <v>M13</v>
      </c>
      <c r="C903">
        <v>1</v>
      </c>
      <c r="E903" t="s">
        <v>505</v>
      </c>
      <c r="F903">
        <v>1</v>
      </c>
    </row>
    <row r="904" spans="2:6" x14ac:dyDescent="0.35">
      <c r="B904" t="str">
        <v>Riverside Ventures</v>
      </c>
      <c r="C904">
        <v>1</v>
      </c>
      <c r="E904" t="s">
        <v>2069</v>
      </c>
      <c r="F904">
        <v>1</v>
      </c>
    </row>
    <row r="905" spans="2:6" x14ac:dyDescent="0.35">
      <c r="B905" t="str">
        <v>Spacestation</v>
      </c>
      <c r="C905">
        <v>1</v>
      </c>
      <c r="E905" t="s">
        <v>1436</v>
      </c>
      <c r="F905">
        <v>1</v>
      </c>
    </row>
    <row r="906" spans="2:6" x14ac:dyDescent="0.35">
      <c r="B906" t="str">
        <v>Aliment Capital</v>
      </c>
      <c r="C906">
        <v>1</v>
      </c>
      <c r="E906" t="s">
        <v>2072</v>
      </c>
      <c r="F906">
        <v>1</v>
      </c>
    </row>
    <row r="907" spans="2:6" x14ac:dyDescent="0.35">
      <c r="B907" t="str">
        <v>Acre Venture Partners</v>
      </c>
      <c r="C907">
        <v>1</v>
      </c>
      <c r="E907" t="s">
        <v>2073</v>
      </c>
      <c r="F907">
        <v>1</v>
      </c>
    </row>
    <row r="908" spans="2:6" x14ac:dyDescent="0.35">
      <c r="B908" t="str">
        <v>Alphabet</v>
      </c>
      <c r="C908">
        <v>2</v>
      </c>
      <c r="E908" t="s">
        <v>2074</v>
      </c>
      <c r="F908">
        <v>1</v>
      </c>
    </row>
    <row r="909" spans="2:6" x14ac:dyDescent="0.35">
      <c r="B909" t="str">
        <v>Cisco Foundation</v>
      </c>
      <c r="C909">
        <v>2</v>
      </c>
      <c r="E909" t="s">
        <v>2075</v>
      </c>
      <c r="F909">
        <v>1</v>
      </c>
    </row>
    <row r="910" spans="2:6" x14ac:dyDescent="0.35">
      <c r="B910" t="str">
        <v>Cisco Investments</v>
      </c>
      <c r="C910">
        <v>1</v>
      </c>
      <c r="E910" t="s">
        <v>2078</v>
      </c>
      <c r="F910">
        <v>1</v>
      </c>
    </row>
    <row r="911" spans="2:6" x14ac:dyDescent="0.35">
      <c r="B911" t="str">
        <v>Floodgate</v>
      </c>
      <c r="C911">
        <v>1</v>
      </c>
      <c r="E911" t="s">
        <v>2079</v>
      </c>
      <c r="F911">
        <v>1</v>
      </c>
    </row>
    <row r="912" spans="2:6" x14ac:dyDescent="0.35">
      <c r="B912" t="str">
        <v>George Roberts</v>
      </c>
      <c r="C912">
        <v>1</v>
      </c>
      <c r="E912" t="s">
        <v>2080</v>
      </c>
      <c r="F912">
        <v>1</v>
      </c>
    </row>
    <row r="913" spans="2:6" x14ac:dyDescent="0.35">
      <c r="B913" t="str">
        <v>Gigascale Capital</v>
      </c>
      <c r="C913">
        <v>3</v>
      </c>
      <c r="E913" t="s">
        <v>2081</v>
      </c>
      <c r="F913">
        <v>1</v>
      </c>
    </row>
    <row r="914" spans="2:6" x14ac:dyDescent="0.35">
      <c r="B914" t="str">
        <v>John Doerr</v>
      </c>
      <c r="C914">
        <v>2</v>
      </c>
      <c r="E914" t="s">
        <v>2082</v>
      </c>
      <c r="F914">
        <v>1</v>
      </c>
    </row>
    <row r="915" spans="2:6" x14ac:dyDescent="0.35">
      <c r="B915" t="str">
        <v>Kleiner Perkins</v>
      </c>
      <c r="C915">
        <v>1</v>
      </c>
      <c r="E915" t="s">
        <v>2083</v>
      </c>
      <c r="F915">
        <v>1</v>
      </c>
    </row>
    <row r="916" spans="2:6" x14ac:dyDescent="0.35">
      <c r="B916" t="str">
        <v>Kyber Knight Capital</v>
      </c>
      <c r="C916">
        <v>1</v>
      </c>
      <c r="E916" t="s">
        <v>2084</v>
      </c>
      <c r="F916">
        <v>1</v>
      </c>
    </row>
    <row r="917" spans="2:6" x14ac:dyDescent="0.35">
      <c r="B917" t="str">
        <v>Microsoft</v>
      </c>
      <c r="C917">
        <v>1</v>
      </c>
      <c r="E917" t="s">
        <v>2085</v>
      </c>
      <c r="F917">
        <v>1</v>
      </c>
    </row>
    <row r="918" spans="2:6" x14ac:dyDescent="0.35">
      <c r="B918" t="str">
        <v>Ponderosa Ventures</v>
      </c>
      <c r="C918">
        <v>1</v>
      </c>
      <c r="E918" t="s">
        <v>2086</v>
      </c>
      <c r="F918">
        <v>1</v>
      </c>
    </row>
    <row r="919" spans="2:6" x14ac:dyDescent="0.35">
      <c r="B919" t="str">
        <v>Sheryl Sandberg</v>
      </c>
      <c r="C919">
        <v>1</v>
      </c>
      <c r="E919" t="s">
        <v>2087</v>
      </c>
      <c r="F919">
        <v>1</v>
      </c>
    </row>
    <row r="920" spans="2:6" x14ac:dyDescent="0.35">
      <c r="B920" t="str">
        <v>Tom Bernthal</v>
      </c>
      <c r="C920">
        <v>1</v>
      </c>
      <c r="E920" t="s">
        <v>2088</v>
      </c>
      <c r="F920">
        <v>1</v>
      </c>
    </row>
    <row r="921" spans="2:6" x14ac:dyDescent="0.35">
      <c r="B921" t="str">
        <v>Valor Capital Group</v>
      </c>
      <c r="C921">
        <v>1</v>
      </c>
      <c r="E921" t="s">
        <v>2089</v>
      </c>
      <c r="F921">
        <v>1</v>
      </c>
    </row>
    <row r="922" spans="2:6" x14ac:dyDescent="0.35">
      <c r="B922" t="str">
        <v>Calm Ventures</v>
      </c>
      <c r="C922">
        <v>1</v>
      </c>
      <c r="E922" t="s">
        <v>2090</v>
      </c>
      <c r="F922">
        <v>1</v>
      </c>
    </row>
    <row r="923" spans="2:6" x14ac:dyDescent="0.35">
      <c r="B923" t="str">
        <v>Fanjul Capital</v>
      </c>
      <c r="C923">
        <v>1</v>
      </c>
      <c r="E923" t="s">
        <v>2091</v>
      </c>
      <c r="F923">
        <v>1</v>
      </c>
    </row>
    <row r="924" spans="2:6" x14ac:dyDescent="0.35">
      <c r="B924" t="str">
        <v>Gaingels</v>
      </c>
      <c r="C924">
        <v>2</v>
      </c>
      <c r="E924" t="s">
        <v>2092</v>
      </c>
      <c r="F924">
        <v>1</v>
      </c>
    </row>
    <row r="925" spans="2:6" x14ac:dyDescent="0.35">
      <c r="B925" t="str">
        <v>Knockout Capital</v>
      </c>
      <c r="C925">
        <v>1</v>
      </c>
      <c r="E925" t="s">
        <v>2093</v>
      </c>
      <c r="F925">
        <v>1</v>
      </c>
    </row>
    <row r="926" spans="2:6" x14ac:dyDescent="0.35">
      <c r="B926" t="str">
        <v>Lombardstreet Ventures</v>
      </c>
      <c r="C926">
        <v>1</v>
      </c>
      <c r="E926" t="s">
        <v>2094</v>
      </c>
      <c r="F926">
        <v>1</v>
      </c>
    </row>
    <row r="927" spans="2:6" x14ac:dyDescent="0.35">
      <c r="B927" t="str">
        <v>Relumin</v>
      </c>
      <c r="C927">
        <v>1</v>
      </c>
      <c r="E927" t="s">
        <v>2095</v>
      </c>
      <c r="F927">
        <v>1</v>
      </c>
    </row>
    <row r="928" spans="2:6" x14ac:dyDescent="0.35">
      <c r="B928" t="str">
        <v>The Scope Fund</v>
      </c>
      <c r="C928">
        <v>1</v>
      </c>
      <c r="E928" t="s">
        <v>2096</v>
      </c>
      <c r="F928">
        <v>1</v>
      </c>
    </row>
    <row r="929" spans="2:6" x14ac:dyDescent="0.35">
      <c r="B929" t="str">
        <v>VISION</v>
      </c>
      <c r="C929">
        <v>1</v>
      </c>
      <c r="E929" t="s">
        <v>760</v>
      </c>
      <c r="F929">
        <v>1</v>
      </c>
    </row>
    <row r="930" spans="2:6" x14ac:dyDescent="0.35">
      <c r="B930" t="str">
        <v>ArcelorMittal</v>
      </c>
      <c r="C930">
        <v>1</v>
      </c>
      <c r="E930" t="s">
        <v>2097</v>
      </c>
      <c r="F930">
        <v>1</v>
      </c>
    </row>
    <row r="931" spans="2:6" x14ac:dyDescent="0.35">
      <c r="B931" t="str">
        <v>Cascade Investment</v>
      </c>
      <c r="C931">
        <v>1</v>
      </c>
      <c r="E931" t="s">
        <v>2098</v>
      </c>
      <c r="F931">
        <v>1</v>
      </c>
    </row>
    <row r="932" spans="2:6" x14ac:dyDescent="0.35">
      <c r="B932" t="str">
        <v>Hedonova</v>
      </c>
      <c r="C932">
        <v>1</v>
      </c>
      <c r="E932" t="s">
        <v>761</v>
      </c>
      <c r="F932">
        <v>1</v>
      </c>
    </row>
    <row r="933" spans="2:6" x14ac:dyDescent="0.35">
      <c r="B933" t="str">
        <v>Korea Shipbuilding and Offshore Engineering</v>
      </c>
      <c r="C933">
        <v>1</v>
      </c>
      <c r="E933" t="s">
        <v>2099</v>
      </c>
      <c r="F933">
        <v>1</v>
      </c>
    </row>
    <row r="934" spans="2:6" x14ac:dyDescent="0.35">
      <c r="B934" t="str">
        <v>SK Group</v>
      </c>
      <c r="C934">
        <v>1</v>
      </c>
      <c r="E934" t="s">
        <v>2100</v>
      </c>
      <c r="F934">
        <v>1</v>
      </c>
    </row>
    <row r="935" spans="2:6" x14ac:dyDescent="0.35">
      <c r="B935" t="str">
        <v>SK Innovation</v>
      </c>
      <c r="C935">
        <v>2</v>
      </c>
      <c r="E935" t="s">
        <v>2101</v>
      </c>
      <c r="F935">
        <v>1</v>
      </c>
    </row>
    <row r="936" spans="2:6" x14ac:dyDescent="0.35">
      <c r="B936" t="str">
        <v>Aria Emiko</v>
      </c>
      <c r="C936">
        <v>1</v>
      </c>
      <c r="E936" t="s">
        <v>2102</v>
      </c>
      <c r="F936">
        <v>1</v>
      </c>
    </row>
    <row r="937" spans="2:6" x14ac:dyDescent="0.35">
      <c r="B937" t="str">
        <v>Beck Koss</v>
      </c>
      <c r="C937">
        <v>1</v>
      </c>
      <c r="E937" t="s">
        <v>2104</v>
      </c>
      <c r="F937">
        <v>1</v>
      </c>
    </row>
    <row r="938" spans="2:6" x14ac:dyDescent="0.35">
      <c r="B938" t="str">
        <v>Benjamin Stokes</v>
      </c>
      <c r="C938">
        <v>1</v>
      </c>
      <c r="E938" t="s">
        <v>2105</v>
      </c>
      <c r="F938">
        <v>1</v>
      </c>
    </row>
    <row r="939" spans="2:6" x14ac:dyDescent="0.35">
      <c r="B939" t="str">
        <v>C3 Ventures</v>
      </c>
      <c r="C939">
        <v>1</v>
      </c>
      <c r="E939" t="s">
        <v>2106</v>
      </c>
      <c r="F939">
        <v>1</v>
      </c>
    </row>
    <row r="940" spans="2:6" x14ac:dyDescent="0.35">
      <c r="B940" t="str">
        <v>Carrier-ok</v>
      </c>
      <c r="C940">
        <v>1</v>
      </c>
      <c r="E940" t="s">
        <v>2107</v>
      </c>
      <c r="F940">
        <v>1</v>
      </c>
    </row>
    <row r="941" spans="2:6" x14ac:dyDescent="0.35">
      <c r="B941" t="str">
        <v>Chasing Rainbows</v>
      </c>
      <c r="C941">
        <v>1</v>
      </c>
      <c r="E941" t="s">
        <v>2108</v>
      </c>
      <c r="F941">
        <v>1</v>
      </c>
    </row>
    <row r="942" spans="2:6" x14ac:dyDescent="0.35">
      <c r="B942" t="str">
        <v>Claire England</v>
      </c>
      <c r="C942">
        <v>1</v>
      </c>
      <c r="E942" t="s">
        <v>2109</v>
      </c>
      <c r="F942">
        <v>1</v>
      </c>
    </row>
    <row r="943" spans="2:6" x14ac:dyDescent="0.35">
      <c r="B943" t="str">
        <v>Climate Capital</v>
      </c>
      <c r="C943">
        <v>7</v>
      </c>
      <c r="E943" t="s">
        <v>2110</v>
      </c>
      <c r="F943">
        <v>1</v>
      </c>
    </row>
    <row r="944" spans="2:6" x14ac:dyDescent="0.35">
      <c r="B944" t="str">
        <v>CRCM Ventures</v>
      </c>
      <c r="C944">
        <v>1</v>
      </c>
      <c r="E944" t="s">
        <v>2111</v>
      </c>
      <c r="F944">
        <v>1</v>
      </c>
    </row>
    <row r="945" spans="2:6" x14ac:dyDescent="0.35">
      <c r="B945" t="str">
        <v>Davic Weissman</v>
      </c>
      <c r="C945">
        <v>1</v>
      </c>
      <c r="E945" t="s">
        <v>728</v>
      </c>
      <c r="F945">
        <v>1</v>
      </c>
    </row>
    <row r="946" spans="2:6" x14ac:dyDescent="0.35">
      <c r="B946" t="str">
        <v>Earth Venture Capital</v>
      </c>
      <c r="C946">
        <v>1</v>
      </c>
      <c r="E946" t="s">
        <v>2112</v>
      </c>
      <c r="F946">
        <v>1</v>
      </c>
    </row>
    <row r="947" spans="2:6" x14ac:dyDescent="0.35">
      <c r="B947" t="str">
        <v>Gaingles</v>
      </c>
      <c r="C947">
        <v>1</v>
      </c>
      <c r="E947" t="s">
        <v>506</v>
      </c>
      <c r="F947">
        <v>1</v>
      </c>
    </row>
    <row r="948" spans="2:6" x14ac:dyDescent="0.35">
      <c r="B948" t="str">
        <v>Happiness Capital</v>
      </c>
      <c r="C948">
        <v>1</v>
      </c>
      <c r="E948" t="s">
        <v>2113</v>
      </c>
      <c r="F948">
        <v>1</v>
      </c>
    </row>
    <row r="949" spans="2:6" x14ac:dyDescent="0.35">
      <c r="B949" t="str">
        <v>IndieBio</v>
      </c>
      <c r="C949">
        <v>2</v>
      </c>
      <c r="E949" t="s">
        <v>2114</v>
      </c>
      <c r="F949">
        <v>1</v>
      </c>
    </row>
    <row r="950" spans="2:6" x14ac:dyDescent="0.35">
      <c r="B950" t="str">
        <v>Karan Goel</v>
      </c>
      <c r="C950">
        <v>1</v>
      </c>
      <c r="E950" t="s">
        <v>2115</v>
      </c>
      <c r="F950">
        <v>1</v>
      </c>
    </row>
    <row r="951" spans="2:6" x14ac:dyDescent="0.35">
      <c r="B951" t="str">
        <v>Meliorare Partners</v>
      </c>
      <c r="C951">
        <v>1</v>
      </c>
      <c r="E951" t="s">
        <v>2116</v>
      </c>
      <c r="F951">
        <v>1</v>
      </c>
    </row>
    <row r="952" spans="2:6" x14ac:dyDescent="0.35">
      <c r="B952" t="str">
        <v>MiH Ventures</v>
      </c>
      <c r="C952">
        <v>1</v>
      </c>
      <c r="E952" t="s">
        <v>2117</v>
      </c>
      <c r="F952">
        <v>1</v>
      </c>
    </row>
    <row r="953" spans="2:6" x14ac:dyDescent="0.35">
      <c r="B953" t="str">
        <v>Nucleus Adventure Capital</v>
      </c>
      <c r="C953">
        <v>1</v>
      </c>
      <c r="E953" t="s">
        <v>2118</v>
      </c>
      <c r="F953">
        <v>1</v>
      </c>
    </row>
    <row r="954" spans="2:6" x14ac:dyDescent="0.35">
      <c r="B954" t="str">
        <v>Portfolia</v>
      </c>
      <c r="C954">
        <v>2</v>
      </c>
      <c r="E954" t="s">
        <v>2119</v>
      </c>
      <c r="F954">
        <v>1</v>
      </c>
    </row>
    <row r="955" spans="2:6" x14ac:dyDescent="0.35">
      <c r="B955" t="str">
        <v>Raphael Carteni</v>
      </c>
      <c r="C955">
        <v>1</v>
      </c>
      <c r="E955" t="s">
        <v>2120</v>
      </c>
      <c r="F955">
        <v>1</v>
      </c>
    </row>
    <row r="956" spans="2:6" x14ac:dyDescent="0.35">
      <c r="B956" t="str">
        <v>SOSV</v>
      </c>
      <c r="C956">
        <v>8</v>
      </c>
      <c r="E956" t="s">
        <v>2121</v>
      </c>
      <c r="F956">
        <v>1</v>
      </c>
    </row>
    <row r="957" spans="2:6" x14ac:dyDescent="0.35">
      <c r="B957" t="str">
        <v>Van Ngo</v>
      </c>
      <c r="C957">
        <v>1</v>
      </c>
      <c r="E957" t="s">
        <v>2122</v>
      </c>
      <c r="F957">
        <v>1</v>
      </c>
    </row>
    <row r="958" spans="2:6" x14ac:dyDescent="0.35">
      <c r="B958" t="str">
        <v>Plug and Play Tech Center</v>
      </c>
      <c r="C958">
        <v>4</v>
      </c>
      <c r="E958" t="s">
        <v>2124</v>
      </c>
      <c r="F958">
        <v>1</v>
      </c>
    </row>
    <row r="959" spans="2:6" x14ac:dyDescent="0.35">
      <c r="B959" t="str">
        <v>Aera VC</v>
      </c>
      <c r="C959">
        <v>1</v>
      </c>
      <c r="E959" t="s">
        <v>2125</v>
      </c>
      <c r="F959">
        <v>1</v>
      </c>
    </row>
    <row r="960" spans="2:6" x14ac:dyDescent="0.35">
      <c r="B960" t="str">
        <v>Alpha Bridge Ventures</v>
      </c>
      <c r="C960">
        <v>1</v>
      </c>
      <c r="E960" t="s">
        <v>2126</v>
      </c>
      <c r="F960">
        <v>1</v>
      </c>
    </row>
    <row r="961" spans="2:6" x14ac:dyDescent="0.35">
      <c r="B961" t="str">
        <v>Breakout Ventures</v>
      </c>
      <c r="C961">
        <v>1</v>
      </c>
      <c r="E961" t="s">
        <v>2127</v>
      </c>
      <c r="F961">
        <v>1</v>
      </c>
    </row>
    <row r="962" spans="2:6" x14ac:dyDescent="0.35">
      <c r="B962" t="str">
        <v>Capricorn Investment Group</v>
      </c>
      <c r="C962">
        <v>1</v>
      </c>
      <c r="E962" t="s">
        <v>2128</v>
      </c>
      <c r="F962">
        <v>1</v>
      </c>
    </row>
    <row r="963" spans="2:6" x14ac:dyDescent="0.35">
      <c r="B963" t="str">
        <v>Carbon Direct Capital Management</v>
      </c>
      <c r="C963">
        <v>2</v>
      </c>
      <c r="E963" t="s">
        <v>2129</v>
      </c>
      <c r="F963">
        <v>1</v>
      </c>
    </row>
    <row r="964" spans="2:6" x14ac:dyDescent="0.35">
      <c r="B964" t="str">
        <v>City Hill Ventures</v>
      </c>
      <c r="C964">
        <v>1</v>
      </c>
      <c r="E964" t="s">
        <v>2130</v>
      </c>
      <c r="F964">
        <v>1</v>
      </c>
    </row>
    <row r="965" spans="2:6" x14ac:dyDescent="0.35">
      <c r="B965" t="str">
        <v>Climate Capital</v>
      </c>
      <c r="C965">
        <v>7</v>
      </c>
      <c r="E965" t="s">
        <v>2131</v>
      </c>
      <c r="F965">
        <v>1</v>
      </c>
    </row>
    <row r="966" spans="2:6" x14ac:dyDescent="0.35">
      <c r="B966" t="str">
        <v>DCVC</v>
      </c>
      <c r="C966">
        <v>2</v>
      </c>
      <c r="E966" t="s">
        <v>2132</v>
      </c>
      <c r="F966">
        <v>1</v>
      </c>
    </row>
    <row r="967" spans="2:6" x14ac:dyDescent="0.35">
      <c r="B967" t="str">
        <v>Evok Innovations</v>
      </c>
      <c r="C967">
        <v>4</v>
      </c>
      <c r="E967" t="s">
        <v>2133</v>
      </c>
      <c r="F967">
        <v>1</v>
      </c>
    </row>
    <row r="968" spans="2:6" x14ac:dyDescent="0.35">
      <c r="B968" t="str">
        <v>Future Tech Labs</v>
      </c>
      <c r="C968">
        <v>1</v>
      </c>
      <c r="E968" t="s">
        <v>2134</v>
      </c>
      <c r="F968">
        <v>1</v>
      </c>
    </row>
    <row r="969" spans="2:6" x14ac:dyDescent="0.35">
      <c r="B969" t="str">
        <v>GC Venture Fellows</v>
      </c>
      <c r="C969">
        <v>1</v>
      </c>
      <c r="E969" t="s">
        <v>507</v>
      </c>
      <c r="F969">
        <v>1</v>
      </c>
    </row>
    <row r="970" spans="2:6" x14ac:dyDescent="0.35">
      <c r="B970" t="str">
        <v>Lowercarbon Capital</v>
      </c>
      <c r="C970">
        <v>7</v>
      </c>
      <c r="E970" t="s">
        <v>2135</v>
      </c>
      <c r="F970">
        <v>1</v>
      </c>
    </row>
    <row r="971" spans="2:6" x14ac:dyDescent="0.35">
      <c r="B971" t="str">
        <v>Microsoft Climate Fund</v>
      </c>
      <c r="C971">
        <v>2</v>
      </c>
      <c r="E971" t="s">
        <v>2136</v>
      </c>
      <c r="F971">
        <v>1</v>
      </c>
    </row>
    <row r="972" spans="2:6" x14ac:dyDescent="0.35">
      <c r="B972" t="str">
        <v>Munich Re Ventures</v>
      </c>
      <c r="C972">
        <v>1</v>
      </c>
      <c r="E972" t="s">
        <v>2137</v>
      </c>
      <c r="F972">
        <v>1</v>
      </c>
    </row>
    <row r="973" spans="2:6" x14ac:dyDescent="0.35">
      <c r="B973" t="str">
        <v>Rising Tide Fund</v>
      </c>
      <c r="C973">
        <v>1</v>
      </c>
      <c r="E973" t="s">
        <v>2138</v>
      </c>
      <c r="F973">
        <v>1</v>
      </c>
    </row>
    <row r="974" spans="2:6" x14ac:dyDescent="0.35">
      <c r="B974" t="str">
        <v>Starlight Ventures</v>
      </c>
      <c r="C974">
        <v>4</v>
      </c>
      <c r="E974" t="s">
        <v>2139</v>
      </c>
      <c r="F974">
        <v>1</v>
      </c>
    </row>
    <row r="975" spans="2:6" x14ac:dyDescent="0.35">
      <c r="B975" t="str">
        <v>Twynam Funds Management</v>
      </c>
      <c r="C975">
        <v>1</v>
      </c>
      <c r="E975" t="s">
        <v>2140</v>
      </c>
      <c r="F975">
        <v>1</v>
      </c>
    </row>
    <row r="976" spans="2:6" x14ac:dyDescent="0.35">
      <c r="B976" t="str">
        <v>Xplorer Capital</v>
      </c>
      <c r="C976">
        <v>1</v>
      </c>
      <c r="E976" t="s">
        <v>2141</v>
      </c>
      <c r="F976">
        <v>1</v>
      </c>
    </row>
    <row r="977" spans="2:6" x14ac:dyDescent="0.35">
      <c r="B977" t="str">
        <v>Atlas Capital</v>
      </c>
      <c r="C977">
        <v>1</v>
      </c>
      <c r="E977" t="s">
        <v>2142</v>
      </c>
      <c r="F977">
        <v>1</v>
      </c>
    </row>
    <row r="978" spans="2:6" x14ac:dyDescent="0.35">
      <c r="B978" t="str">
        <v>Berg Energy Ventures</v>
      </c>
      <c r="C978">
        <v>1</v>
      </c>
      <c r="E978" t="s">
        <v>2143</v>
      </c>
      <c r="F978">
        <v>1</v>
      </c>
    </row>
    <row r="979" spans="2:6" x14ac:dyDescent="0.35">
      <c r="B979" t="str">
        <v>Collaborative Fund</v>
      </c>
      <c r="C979">
        <v>8</v>
      </c>
      <c r="E979" t="s">
        <v>765</v>
      </c>
      <c r="F979">
        <v>1</v>
      </c>
    </row>
    <row r="980" spans="2:6" x14ac:dyDescent="0.35">
      <c r="B980" t="str">
        <v>CorDx</v>
      </c>
      <c r="C980">
        <v>1</v>
      </c>
      <c r="E980" t="s">
        <v>2144</v>
      </c>
      <c r="F980">
        <v>1</v>
      </c>
    </row>
    <row r="981" spans="2:6" x14ac:dyDescent="0.35">
      <c r="B981" t="str">
        <v>Gigascale Capital</v>
      </c>
      <c r="C981">
        <v>3</v>
      </c>
      <c r="E981" t="s">
        <v>2145</v>
      </c>
      <c r="F981">
        <v>1</v>
      </c>
    </row>
    <row r="982" spans="2:6" x14ac:dyDescent="0.35">
      <c r="B982" t="str">
        <v>Impact Science Ventures</v>
      </c>
      <c r="C982">
        <v>2</v>
      </c>
      <c r="E982" t="s">
        <v>2146</v>
      </c>
      <c r="F982">
        <v>1</v>
      </c>
    </row>
    <row r="983" spans="2:6" x14ac:dyDescent="0.35">
      <c r="B983" t="str">
        <v>Ryan Orr</v>
      </c>
      <c r="C983">
        <v>1</v>
      </c>
      <c r="E983" t="s">
        <v>2147</v>
      </c>
      <c r="F983">
        <v>1</v>
      </c>
    </row>
    <row r="984" spans="2:6" x14ac:dyDescent="0.35">
      <c r="B984" t="str">
        <v>The Atlas Capital</v>
      </c>
      <c r="C984">
        <v>2</v>
      </c>
      <c r="E984" t="s">
        <v>2148</v>
      </c>
      <c r="F984">
        <v>1</v>
      </c>
    </row>
    <row r="985" spans="2:6" x14ac:dyDescent="0.35">
      <c r="B985" t="str">
        <v>Arunas Chesonis</v>
      </c>
      <c r="C985">
        <v>1</v>
      </c>
      <c r="E985" t="s">
        <v>2149</v>
      </c>
      <c r="F985">
        <v>1</v>
      </c>
    </row>
    <row r="986" spans="2:6" x14ac:dyDescent="0.35">
      <c r="B986" t="str">
        <v>Eneos Innovation Partners</v>
      </c>
      <c r="C986">
        <v>1</v>
      </c>
      <c r="E986" t="s">
        <v>2150</v>
      </c>
      <c r="F986">
        <v>1</v>
      </c>
    </row>
    <row r="987" spans="2:6" x14ac:dyDescent="0.35">
      <c r="B987" t="str">
        <v>Keith Wilson</v>
      </c>
      <c r="C987">
        <v>2</v>
      </c>
      <c r="E987" t="s">
        <v>2151</v>
      </c>
      <c r="F987">
        <v>1</v>
      </c>
    </row>
    <row r="988" spans="2:6" x14ac:dyDescent="0.35">
      <c r="B988" t="str">
        <v>Safar Partners</v>
      </c>
      <c r="C988">
        <v>7</v>
      </c>
      <c r="E988" t="s">
        <v>2152</v>
      </c>
      <c r="F988">
        <v>1</v>
      </c>
    </row>
    <row r="989" spans="2:6" x14ac:dyDescent="0.35">
      <c r="B989" t="str">
        <v>Keith Wilson</v>
      </c>
      <c r="C989">
        <v>2</v>
      </c>
      <c r="E989" t="s">
        <v>1411</v>
      </c>
      <c r="F989">
        <v>1</v>
      </c>
    </row>
    <row r="990" spans="2:6" x14ac:dyDescent="0.35">
      <c r="B990" t="str">
        <v/>
      </c>
      <c r="C990">
        <v>1</v>
      </c>
      <c r="E990" t="s">
        <v>2153</v>
      </c>
      <c r="F990">
        <v>1</v>
      </c>
    </row>
    <row r="991" spans="2:6" x14ac:dyDescent="0.35">
      <c r="B991" t="str">
        <v>Marathon Capital Management</v>
      </c>
      <c r="C991">
        <v>1</v>
      </c>
      <c r="E991" t="s">
        <v>2154</v>
      </c>
      <c r="F991">
        <v>1</v>
      </c>
    </row>
    <row r="992" spans="2:6" x14ac:dyDescent="0.35">
      <c r="B992" t="str">
        <v>Grantchester Group</v>
      </c>
      <c r="C992">
        <v>1</v>
      </c>
      <c r="E992" t="s">
        <v>2155</v>
      </c>
      <c r="F992">
        <v>1</v>
      </c>
    </row>
    <row r="993" spans="2:6" x14ac:dyDescent="0.35">
      <c r="B993" t="str">
        <v>Fifty Years</v>
      </c>
      <c r="C993">
        <v>3</v>
      </c>
      <c r="E993" t="s">
        <v>2156</v>
      </c>
      <c r="F993">
        <v>1</v>
      </c>
    </row>
    <row r="994" spans="2:6" x14ac:dyDescent="0.35">
      <c r="B994" t="str">
        <v>SOSV</v>
      </c>
      <c r="C994">
        <v>8</v>
      </c>
      <c r="E994" t="s">
        <v>2157</v>
      </c>
      <c r="F994">
        <v>1</v>
      </c>
    </row>
    <row r="995" spans="2:6" x14ac:dyDescent="0.35">
      <c r="B995" t="str">
        <v>Stray Dog Capital</v>
      </c>
      <c r="C995">
        <v>2</v>
      </c>
      <c r="E995" t="s">
        <v>2158</v>
      </c>
      <c r="F995">
        <v>1</v>
      </c>
    </row>
    <row r="996" spans="2:6" x14ac:dyDescent="0.35">
      <c r="B996" t="str">
        <v>Unovis Asset Management</v>
      </c>
      <c r="C996">
        <v>3</v>
      </c>
      <c r="E996" t="s">
        <v>2159</v>
      </c>
      <c r="F996">
        <v>1</v>
      </c>
    </row>
    <row r="997" spans="2:6" x14ac:dyDescent="0.35">
      <c r="B997" t="str">
        <v>Atomico</v>
      </c>
      <c r="C997">
        <v>1</v>
      </c>
      <c r="E997" t="s">
        <v>2160</v>
      </c>
      <c r="F997">
        <v>1</v>
      </c>
    </row>
    <row r="998" spans="2:6" x14ac:dyDescent="0.35">
      <c r="B998" t="str">
        <v>Avi Brown</v>
      </c>
      <c r="C998">
        <v>1</v>
      </c>
      <c r="E998" t="s">
        <v>2161</v>
      </c>
      <c r="F998">
        <v>1</v>
      </c>
    </row>
    <row r="999" spans="2:6" x14ac:dyDescent="0.35">
      <c r="B999" t="str">
        <v>Cargill</v>
      </c>
      <c r="C999">
        <v>3</v>
      </c>
      <c r="E999" t="s">
        <v>2162</v>
      </c>
      <c r="F999">
        <v>1</v>
      </c>
    </row>
    <row r="1000" spans="2:6" x14ac:dyDescent="0.35">
      <c r="B1000" t="str">
        <v>Fifty Years</v>
      </c>
      <c r="C1000">
        <v>3</v>
      </c>
      <c r="E1000" t="s">
        <v>2163</v>
      </c>
      <c r="F1000">
        <v>1</v>
      </c>
    </row>
    <row r="1001" spans="2:6" x14ac:dyDescent="0.35">
      <c r="B1001" t="str">
        <v>Five Seasons Ventures</v>
      </c>
      <c r="C1001">
        <v>3</v>
      </c>
      <c r="E1001" t="s">
        <v>1437</v>
      </c>
      <c r="F1001">
        <v>1</v>
      </c>
    </row>
    <row r="1002" spans="2:6" x14ac:dyDescent="0.35">
      <c r="B1002" t="str">
        <v>Gates Ventures</v>
      </c>
      <c r="C1002">
        <v>1</v>
      </c>
      <c r="E1002" t="s">
        <v>2164</v>
      </c>
      <c r="F1002">
        <v>1</v>
      </c>
    </row>
    <row r="1003" spans="2:6" x14ac:dyDescent="0.35">
      <c r="B1003" t="str">
        <v>Inevitable Ventures</v>
      </c>
      <c r="C1003">
        <v>1</v>
      </c>
      <c r="E1003" t="s">
        <v>2165</v>
      </c>
      <c r="F1003">
        <v>1</v>
      </c>
    </row>
    <row r="1004" spans="2:6" x14ac:dyDescent="0.35">
      <c r="B1004" t="str">
        <v>John Welch</v>
      </c>
      <c r="C1004">
        <v>1</v>
      </c>
      <c r="E1004" t="s">
        <v>2166</v>
      </c>
      <c r="F1004">
        <v>1</v>
      </c>
    </row>
    <row r="1005" spans="2:6" x14ac:dyDescent="0.35">
      <c r="B1005" t="str">
        <v>KBW Ventures</v>
      </c>
      <c r="C1005">
        <v>2</v>
      </c>
      <c r="E1005" t="s">
        <v>2167</v>
      </c>
      <c r="F1005">
        <v>1</v>
      </c>
    </row>
    <row r="1006" spans="2:6" x14ac:dyDescent="0.35">
      <c r="B1006" t="str">
        <v>Kimbal Musk</v>
      </c>
      <c r="C1006">
        <v>2</v>
      </c>
      <c r="E1006" t="s">
        <v>2168</v>
      </c>
      <c r="F1006">
        <v>1</v>
      </c>
    </row>
    <row r="1007" spans="2:6" x14ac:dyDescent="0.35">
      <c r="B1007" t="str">
        <v>Kyle Vogt</v>
      </c>
      <c r="C1007">
        <v>1</v>
      </c>
      <c r="E1007" t="s">
        <v>2169</v>
      </c>
      <c r="F1007">
        <v>1</v>
      </c>
    </row>
    <row r="1008" spans="2:6" x14ac:dyDescent="0.35">
      <c r="B1008" t="str">
        <v>Richard Branson</v>
      </c>
      <c r="C1008">
        <v>2</v>
      </c>
      <c r="E1008" t="s">
        <v>2170</v>
      </c>
      <c r="F1008">
        <v>1</v>
      </c>
    </row>
    <row r="1009" spans="2:6" x14ac:dyDescent="0.35">
      <c r="B1009" t="str">
        <v>SOSV</v>
      </c>
      <c r="C1009">
        <v>8</v>
      </c>
      <c r="E1009" t="s">
        <v>2171</v>
      </c>
      <c r="F1009">
        <v>1</v>
      </c>
    </row>
    <row r="1010" spans="2:6" x14ac:dyDescent="0.35">
      <c r="B1010" t="str">
        <v>Threshold Management</v>
      </c>
      <c r="C1010">
        <v>1</v>
      </c>
      <c r="E1010" t="s">
        <v>2172</v>
      </c>
      <c r="F1010">
        <v>1</v>
      </c>
    </row>
    <row r="1011" spans="2:6" x14ac:dyDescent="0.35">
      <c r="B1011" t="str">
        <v>Unovis Asset Management</v>
      </c>
      <c r="C1011">
        <v>3</v>
      </c>
      <c r="E1011" t="s">
        <v>2173</v>
      </c>
      <c r="F1011">
        <v>1</v>
      </c>
    </row>
    <row r="1012" spans="2:6" x14ac:dyDescent="0.35">
      <c r="B1012" t="str">
        <v>SoftBank Investment Advisers</v>
      </c>
      <c r="C1012">
        <v>1</v>
      </c>
      <c r="E1012" t="s">
        <v>2174</v>
      </c>
      <c r="F1012">
        <v>1</v>
      </c>
    </row>
    <row r="1013" spans="2:6" x14ac:dyDescent="0.35">
      <c r="B1013" t="str">
        <v>Norwest Venture Partners</v>
      </c>
      <c r="C1013">
        <v>1</v>
      </c>
      <c r="E1013" t="s">
        <v>2175</v>
      </c>
      <c r="F1013">
        <v>1</v>
      </c>
    </row>
    <row r="1014" spans="2:6" x14ac:dyDescent="0.35">
      <c r="B1014" t="str">
        <v>Cargill</v>
      </c>
      <c r="C1014">
        <v>3</v>
      </c>
      <c r="E1014" t="s">
        <v>2176</v>
      </c>
      <c r="F1014">
        <v>1</v>
      </c>
    </row>
    <row r="1015" spans="2:6" x14ac:dyDescent="0.35">
      <c r="B1015" t="str">
        <v>CPT Capital</v>
      </c>
      <c r="C1015">
        <v>2</v>
      </c>
      <c r="E1015" t="s">
        <v>2177</v>
      </c>
      <c r="F1015">
        <v>1</v>
      </c>
    </row>
    <row r="1016" spans="2:6" x14ac:dyDescent="0.35">
      <c r="B1016" t="str">
        <v>Builders VC</v>
      </c>
      <c r="C1016">
        <v>1</v>
      </c>
      <c r="E1016" t="s">
        <v>2178</v>
      </c>
      <c r="F1016">
        <v>1</v>
      </c>
    </row>
    <row r="1017" spans="2:6" x14ac:dyDescent="0.35">
      <c r="B1017" t="str">
        <v>Dentsu Ventures</v>
      </c>
      <c r="C1017">
        <v>1</v>
      </c>
      <c r="E1017" t="s">
        <v>2179</v>
      </c>
      <c r="F1017">
        <v>1</v>
      </c>
    </row>
    <row r="1018" spans="2:6" x14ac:dyDescent="0.35">
      <c r="B1018" t="str">
        <v>Tyson Ventures</v>
      </c>
      <c r="C1018">
        <v>1</v>
      </c>
      <c r="E1018" t="s">
        <v>2180</v>
      </c>
      <c r="F1018">
        <v>1</v>
      </c>
    </row>
    <row r="1019" spans="2:6" x14ac:dyDescent="0.35">
      <c r="B1019" t="str">
        <v>EDBI</v>
      </c>
      <c r="C1019">
        <v>1</v>
      </c>
      <c r="E1019" t="s">
        <v>2181</v>
      </c>
      <c r="F1019">
        <v>1</v>
      </c>
    </row>
    <row r="1020" spans="2:6" x14ac:dyDescent="0.35">
      <c r="B1020" t="str">
        <v>Whole Foods Market</v>
      </c>
      <c r="C1020">
        <v>1</v>
      </c>
      <c r="E1020" t="s">
        <v>2182</v>
      </c>
      <c r="F1020">
        <v>1</v>
      </c>
    </row>
    <row r="1021" spans="2:6" x14ac:dyDescent="0.35">
      <c r="B1021" t="str">
        <v>Conti Ventures</v>
      </c>
      <c r="C1021">
        <v>5</v>
      </c>
      <c r="E1021" t="s">
        <v>2183</v>
      </c>
      <c r="F1021">
        <v>1</v>
      </c>
    </row>
    <row r="1022" spans="2:6" x14ac:dyDescent="0.35">
      <c r="B1022" t="str">
        <v>McWin Partners</v>
      </c>
      <c r="C1022">
        <v>2</v>
      </c>
      <c r="E1022" t="s">
        <v>2184</v>
      </c>
      <c r="F1022">
        <v>1</v>
      </c>
    </row>
    <row r="1023" spans="2:6" x14ac:dyDescent="0.35">
      <c r="B1023" t="str">
        <v>Prime Partners</v>
      </c>
      <c r="C1023">
        <v>1</v>
      </c>
      <c r="E1023" t="s">
        <v>2185</v>
      </c>
      <c r="F1023">
        <v>1</v>
      </c>
    </row>
    <row r="1024" spans="2:6" x14ac:dyDescent="0.35">
      <c r="B1024" t="str">
        <v>Enfini Ventures</v>
      </c>
      <c r="C1024">
        <v>1</v>
      </c>
      <c r="E1024" t="s">
        <v>2186</v>
      </c>
      <c r="F1024">
        <v>1</v>
      </c>
    </row>
    <row r="1025" spans="2:6" x14ac:dyDescent="0.35">
      <c r="B1025" t="str">
        <v>Advisors.Fund</v>
      </c>
      <c r="C1025">
        <v>1</v>
      </c>
      <c r="E1025" t="s">
        <v>2187</v>
      </c>
      <c r="F1025">
        <v>1</v>
      </c>
    </row>
    <row r="1026" spans="2:6" x14ac:dyDescent="0.35">
      <c r="B1026" t="str">
        <v>Threshold Ventures</v>
      </c>
      <c r="C1026">
        <v>1</v>
      </c>
      <c r="E1026" t="s">
        <v>2188</v>
      </c>
      <c r="F1026">
        <v>1</v>
      </c>
    </row>
    <row r="1027" spans="2:6" x14ac:dyDescent="0.35">
      <c r="B1027" t="str">
        <v>SOSV</v>
      </c>
      <c r="C1027">
        <v>8</v>
      </c>
      <c r="E1027" t="s">
        <v>2189</v>
      </c>
      <c r="F1027">
        <v>1</v>
      </c>
    </row>
    <row r="1028" spans="2:6" x14ac:dyDescent="0.35">
      <c r="B1028" t="str">
        <v>BoxGroup</v>
      </c>
      <c r="C1028">
        <v>1</v>
      </c>
      <c r="E1028" t="s">
        <v>2190</v>
      </c>
      <c r="F1028">
        <v>1</v>
      </c>
    </row>
    <row r="1029" spans="2:6" x14ac:dyDescent="0.35">
      <c r="B1029" t="str">
        <v>Fifty Years</v>
      </c>
      <c r="C1029">
        <v>3</v>
      </c>
      <c r="E1029" t="s">
        <v>2191</v>
      </c>
      <c r="F1029">
        <v>1</v>
      </c>
    </row>
    <row r="1030" spans="2:6" x14ac:dyDescent="0.35">
      <c r="B1030" t="str">
        <v>Future Ventures</v>
      </c>
      <c r="C1030">
        <v>2</v>
      </c>
      <c r="E1030" t="s">
        <v>2192</v>
      </c>
      <c r="F1030">
        <v>1</v>
      </c>
    </row>
    <row r="1031" spans="2:6" x14ac:dyDescent="0.35">
      <c r="B1031" t="str">
        <v>Humboldt Fund</v>
      </c>
      <c r="C1031">
        <v>1</v>
      </c>
      <c r="E1031" t="s">
        <v>2193</v>
      </c>
      <c r="F1031">
        <v>1</v>
      </c>
    </row>
    <row r="1032" spans="2:6" x14ac:dyDescent="0.35">
      <c r="B1032" t="str">
        <v>Baleine &amp; Bjorn Capital</v>
      </c>
      <c r="C1032">
        <v>1</v>
      </c>
      <c r="E1032" t="s">
        <v>2194</v>
      </c>
      <c r="F1032">
        <v>1</v>
      </c>
    </row>
    <row r="1033" spans="2:6" x14ac:dyDescent="0.35">
      <c r="B1033" t="str">
        <v>Finistere Ventures</v>
      </c>
      <c r="C1033">
        <v>1</v>
      </c>
      <c r="E1033" t="s">
        <v>2195</v>
      </c>
      <c r="F1033">
        <v>1</v>
      </c>
    </row>
    <row r="1034" spans="2:6" x14ac:dyDescent="0.35">
      <c r="B1034" t="str">
        <v>gener8tor</v>
      </c>
      <c r="C1034">
        <v>1</v>
      </c>
      <c r="E1034" t="s">
        <v>2196</v>
      </c>
      <c r="F1034">
        <v>1</v>
      </c>
    </row>
    <row r="1035" spans="2:6" x14ac:dyDescent="0.35">
      <c r="B1035" t="str">
        <v>Christiana Musk</v>
      </c>
      <c r="C1035">
        <v>1</v>
      </c>
      <c r="E1035" t="s">
        <v>2197</v>
      </c>
      <c r="F1035">
        <v>1</v>
      </c>
    </row>
    <row r="1036" spans="2:6" x14ac:dyDescent="0.35">
      <c r="B1036" t="str">
        <v>John Mackey</v>
      </c>
      <c r="C1036">
        <v>1</v>
      </c>
      <c r="E1036" t="s">
        <v>2198</v>
      </c>
      <c r="F1036">
        <v>1</v>
      </c>
    </row>
    <row r="1037" spans="2:6" x14ac:dyDescent="0.35">
      <c r="B1037" t="str">
        <v>Kimbal Musk</v>
      </c>
      <c r="C1037">
        <v>2</v>
      </c>
      <c r="E1037" t="s">
        <v>2199</v>
      </c>
      <c r="F1037">
        <v>1</v>
      </c>
    </row>
    <row r="1038" spans="2:6" x14ac:dyDescent="0.35">
      <c r="B1038" t="str">
        <v>Richard Branson</v>
      </c>
      <c r="C1038">
        <v>2</v>
      </c>
      <c r="E1038" t="s">
        <v>2200</v>
      </c>
      <c r="F1038">
        <v>1</v>
      </c>
    </row>
    <row r="1039" spans="2:6" x14ac:dyDescent="0.35">
      <c r="B1039" t="str">
        <v>William Gates</v>
      </c>
      <c r="C1039">
        <v>3</v>
      </c>
      <c r="E1039" t="s">
        <v>2201</v>
      </c>
      <c r="F1039">
        <v>1</v>
      </c>
    </row>
    <row r="1040" spans="2:6" x14ac:dyDescent="0.35">
      <c r="B1040" t="str">
        <v>Temasek Holdings</v>
      </c>
      <c r="C1040">
        <v>9</v>
      </c>
      <c r="E1040" t="s">
        <v>1428</v>
      </c>
      <c r="F1040">
        <v>1</v>
      </c>
    </row>
    <row r="1041" spans="2:6" x14ac:dyDescent="0.35">
      <c r="B1041" t="str">
        <v>and Westcott</v>
      </c>
      <c r="C1041">
        <v>1</v>
      </c>
      <c r="E1041" t="s">
        <v>2203</v>
      </c>
      <c r="F1041">
        <v>1</v>
      </c>
    </row>
    <row r="1042" spans="2:6" x14ac:dyDescent="0.35">
      <c r="B1042" t="str">
        <v>Appian Capital Advisory</v>
      </c>
      <c r="C1042">
        <v>1</v>
      </c>
      <c r="E1042" t="s">
        <v>2204</v>
      </c>
      <c r="F1042">
        <v>1</v>
      </c>
    </row>
    <row r="1043" spans="2:6" x14ac:dyDescent="0.35">
      <c r="B1043" t="str">
        <v>BELLE Impact Fund</v>
      </c>
      <c r="C1043">
        <v>2</v>
      </c>
      <c r="E1043" t="s">
        <v>770</v>
      </c>
      <c r="F1043">
        <v>1</v>
      </c>
    </row>
    <row r="1044" spans="2:6" x14ac:dyDescent="0.35">
      <c r="B1044" t="str">
        <v>Mickey Swortzel</v>
      </c>
      <c r="C1044">
        <v>1</v>
      </c>
      <c r="E1044" t="s">
        <v>2206</v>
      </c>
      <c r="F1044">
        <v>1</v>
      </c>
    </row>
    <row r="1045" spans="2:6" x14ac:dyDescent="0.35">
      <c r="B1045" t="str">
        <v>Texas Halo Fund</v>
      </c>
      <c r="C1045">
        <v>2</v>
      </c>
      <c r="E1045" t="s">
        <v>2207</v>
      </c>
      <c r="F1045">
        <v>1</v>
      </c>
    </row>
    <row r="1046" spans="2:6" x14ac:dyDescent="0.35">
      <c r="B1046" t="str">
        <v>Autodesk Foundation</v>
      </c>
      <c r="C1046">
        <v>1</v>
      </c>
      <c r="E1046" t="s">
        <v>2209</v>
      </c>
      <c r="F1046">
        <v>1</v>
      </c>
    </row>
    <row r="1047" spans="2:6" x14ac:dyDescent="0.35">
      <c r="B1047" t="str">
        <v>BELLE Impact Fund</v>
      </c>
      <c r="C1047">
        <v>2</v>
      </c>
      <c r="E1047" t="s">
        <v>2210</v>
      </c>
      <c r="F1047">
        <v>1</v>
      </c>
    </row>
    <row r="1048" spans="2:6" x14ac:dyDescent="0.35">
      <c r="B1048" t="str">
        <v>Denver Ventures</v>
      </c>
      <c r="C1048">
        <v>1</v>
      </c>
      <c r="E1048" t="s">
        <v>2211</v>
      </c>
      <c r="F1048">
        <v>1</v>
      </c>
    </row>
    <row r="1049" spans="2:6" x14ac:dyDescent="0.35">
      <c r="B1049" t="str">
        <v>HG Ventures</v>
      </c>
      <c r="C1049">
        <v>1</v>
      </c>
      <c r="E1049" t="s">
        <v>2213</v>
      </c>
      <c r="F1049">
        <v>1</v>
      </c>
    </row>
    <row r="1050" spans="2:6" x14ac:dyDescent="0.35">
      <c r="B1050" t="str">
        <v>Keiretsu Forum</v>
      </c>
      <c r="C1050">
        <v>1</v>
      </c>
      <c r="E1050" t="s">
        <v>2215</v>
      </c>
      <c r="F1050">
        <v>1</v>
      </c>
    </row>
    <row r="1051" spans="2:6" x14ac:dyDescent="0.35">
      <c r="B1051" t="str">
        <v>Monfort</v>
      </c>
      <c r="C1051">
        <v>1</v>
      </c>
      <c r="E1051" t="s">
        <v>2216</v>
      </c>
      <c r="F1051">
        <v>1</v>
      </c>
    </row>
    <row r="1052" spans="2:6" x14ac:dyDescent="0.35">
      <c r="B1052" t="str">
        <v>New Climate Ventures</v>
      </c>
      <c r="C1052">
        <v>2</v>
      </c>
      <c r="E1052" t="s">
        <v>2217</v>
      </c>
      <c r="F1052">
        <v>1</v>
      </c>
    </row>
    <row r="1053" spans="2:6" x14ac:dyDescent="0.35">
      <c r="B1053" t="str">
        <v>Seed I Pod</v>
      </c>
      <c r="C1053">
        <v>1</v>
      </c>
      <c r="E1053" t="s">
        <v>2218</v>
      </c>
      <c r="F1053">
        <v>1</v>
      </c>
    </row>
    <row r="1054" spans="2:6" x14ac:dyDescent="0.35">
      <c r="B1054" t="str">
        <v>SWAN Impact Network</v>
      </c>
      <c r="C1054">
        <v>1</v>
      </c>
      <c r="E1054" t="s">
        <v>2219</v>
      </c>
      <c r="F1054">
        <v>1</v>
      </c>
    </row>
    <row r="1055" spans="2:6" x14ac:dyDescent="0.35">
      <c r="B1055" t="str">
        <v>Texas Halo Fund</v>
      </c>
      <c r="C1055">
        <v>2</v>
      </c>
      <c r="E1055" t="s">
        <v>2220</v>
      </c>
      <c r="F1055">
        <v>1</v>
      </c>
    </row>
    <row r="1056" spans="2:6" x14ac:dyDescent="0.35">
      <c r="B1056" t="str">
        <v>Breakthrough Energy</v>
      </c>
      <c r="C1056">
        <v>10</v>
      </c>
      <c r="E1056" t="s">
        <v>2221</v>
      </c>
      <c r="F1056">
        <v>1</v>
      </c>
    </row>
    <row r="1057" spans="2:6" x14ac:dyDescent="0.35">
      <c r="B1057" t="str">
        <v>Congruent Ventures</v>
      </c>
      <c r="C1057">
        <v>2</v>
      </c>
      <c r="E1057" t="s">
        <v>2222</v>
      </c>
      <c r="F1057">
        <v>1</v>
      </c>
    </row>
    <row r="1058" spans="2:6" x14ac:dyDescent="0.35">
      <c r="B1058" t="str">
        <v>Engine Ventures</v>
      </c>
      <c r="C1058">
        <v>4</v>
      </c>
      <c r="E1058" t="s">
        <v>2223</v>
      </c>
      <c r="F1058">
        <v>1</v>
      </c>
    </row>
    <row r="1059" spans="2:6" x14ac:dyDescent="0.35">
      <c r="B1059" t="str">
        <v>F-Prime Capital</v>
      </c>
      <c r="C1059">
        <v>2</v>
      </c>
      <c r="E1059" t="s">
        <v>2224</v>
      </c>
      <c r="F1059">
        <v>1</v>
      </c>
    </row>
    <row r="1060" spans="2:6" x14ac:dyDescent="0.35">
      <c r="B1060" t="str">
        <v>Galvanize Climate Solutions</v>
      </c>
      <c r="C1060">
        <v>1</v>
      </c>
      <c r="E1060" t="s">
        <v>2225</v>
      </c>
      <c r="F1060">
        <v>1</v>
      </c>
    </row>
    <row r="1061" spans="2:6" x14ac:dyDescent="0.35">
      <c r="B1061" t="str">
        <v>VXI Capital Management</v>
      </c>
      <c r="C1061">
        <v>1</v>
      </c>
      <c r="E1061" t="s">
        <v>2226</v>
      </c>
      <c r="F1061">
        <v>1</v>
      </c>
    </row>
    <row r="1062" spans="2:6" x14ac:dyDescent="0.35">
      <c r="B1062" t="str">
        <v>Cavallo Ventures</v>
      </c>
      <c r="C1062">
        <v>1</v>
      </c>
      <c r="E1062" t="s">
        <v>2227</v>
      </c>
      <c r="F1062">
        <v>1</v>
      </c>
    </row>
    <row r="1063" spans="2:6" x14ac:dyDescent="0.35">
      <c r="B1063" t="str">
        <v>Conti Ventures</v>
      </c>
      <c r="C1063">
        <v>5</v>
      </c>
      <c r="E1063" t="s">
        <v>2228</v>
      </c>
      <c r="F1063">
        <v>1</v>
      </c>
    </row>
    <row r="1064" spans="2:6" x14ac:dyDescent="0.35">
      <c r="B1064" t="str">
        <v>Northpond Ventures</v>
      </c>
      <c r="C1064">
        <v>1</v>
      </c>
      <c r="E1064" t="s">
        <v>2229</v>
      </c>
      <c r="F1064">
        <v>1</v>
      </c>
    </row>
    <row r="1065" spans="2:6" x14ac:dyDescent="0.35">
      <c r="B1065" t="str">
        <v>Novo Holdings</v>
      </c>
      <c r="C1065">
        <v>2</v>
      </c>
      <c r="E1065" t="s">
        <v>2230</v>
      </c>
      <c r="F1065">
        <v>1</v>
      </c>
    </row>
    <row r="1066" spans="2:6" x14ac:dyDescent="0.35">
      <c r="B1066" t="str">
        <v>Syngenta Group Ventures</v>
      </c>
      <c r="C1066">
        <v>1</v>
      </c>
      <c r="E1066" t="s">
        <v>2231</v>
      </c>
      <c r="F1066">
        <v>1</v>
      </c>
    </row>
    <row r="1067" spans="2:6" x14ac:dyDescent="0.35">
      <c r="B1067" t="str">
        <v>Cagan McAfee Capital Partners</v>
      </c>
      <c r="C1067">
        <v>1</v>
      </c>
      <c r="E1067" t="s">
        <v>2232</v>
      </c>
      <c r="F1067">
        <v>1</v>
      </c>
    </row>
    <row r="1068" spans="2:6" x14ac:dyDescent="0.35">
      <c r="B1068" t="str">
        <v>Q 3 Financial</v>
      </c>
      <c r="C1068">
        <v>1</v>
      </c>
      <c r="E1068" t="s">
        <v>2233</v>
      </c>
      <c r="F1068">
        <v>1</v>
      </c>
    </row>
    <row r="1069" spans="2:6" x14ac:dyDescent="0.35">
      <c r="B1069" t="str">
        <v>DeltaCap</v>
      </c>
      <c r="C1069">
        <v>1</v>
      </c>
      <c r="E1069" t="s">
        <v>2234</v>
      </c>
      <c r="F1069">
        <v>1</v>
      </c>
    </row>
    <row r="1070" spans="2:6" x14ac:dyDescent="0.35">
      <c r="B1070" t="str">
        <v>Clean Energy Venture Group</v>
      </c>
      <c r="C1070">
        <v>2</v>
      </c>
      <c r="E1070" t="s">
        <v>2235</v>
      </c>
      <c r="F1070">
        <v>1</v>
      </c>
    </row>
    <row r="1071" spans="2:6" x14ac:dyDescent="0.35">
      <c r="B1071" t="str">
        <v>Clean Energy Ventures</v>
      </c>
      <c r="C1071">
        <v>3</v>
      </c>
      <c r="E1071" t="s">
        <v>2236</v>
      </c>
      <c r="F1071">
        <v>1</v>
      </c>
    </row>
    <row r="1072" spans="2:6" x14ac:dyDescent="0.35">
      <c r="B1072" t="str">
        <v>Earth Foundry Management</v>
      </c>
      <c r="C1072">
        <v>2</v>
      </c>
      <c r="E1072" t="s">
        <v>2238</v>
      </c>
      <c r="F1072">
        <v>1</v>
      </c>
    </row>
    <row r="1073" spans="2:6" x14ac:dyDescent="0.35">
      <c r="B1073" t="str">
        <v>Clean Energy Ventures</v>
      </c>
      <c r="C1073">
        <v>3</v>
      </c>
      <c r="E1073" t="s">
        <v>2239</v>
      </c>
      <c r="F1073">
        <v>1</v>
      </c>
    </row>
    <row r="1074" spans="2:6" x14ac:dyDescent="0.35">
      <c r="B1074" t="str">
        <v>E8</v>
      </c>
      <c r="C1074">
        <v>5</v>
      </c>
      <c r="E1074" t="s">
        <v>2240</v>
      </c>
      <c r="F1074">
        <v>1</v>
      </c>
    </row>
    <row r="1075" spans="2:6" x14ac:dyDescent="0.35">
      <c r="B1075" t="str">
        <v>Earth Foundry Management</v>
      </c>
      <c r="C1075">
        <v>2</v>
      </c>
      <c r="E1075" t="s">
        <v>2241</v>
      </c>
      <c r="F1075">
        <v>1</v>
      </c>
    </row>
    <row r="1076" spans="2:6" x14ac:dyDescent="0.35">
      <c r="B1076" t="str">
        <v>1789 Capital</v>
      </c>
      <c r="C1076">
        <v>1</v>
      </c>
      <c r="E1076" t="s">
        <v>2242</v>
      </c>
      <c r="F1076">
        <v>1</v>
      </c>
    </row>
    <row r="1077" spans="2:6" x14ac:dyDescent="0.35">
      <c r="B1077" t="str">
        <v>Altimeter Capital Management</v>
      </c>
      <c r="C1077">
        <v>1</v>
      </c>
      <c r="E1077" t="s">
        <v>2243</v>
      </c>
      <c r="F1077">
        <v>1</v>
      </c>
    </row>
    <row r="1078" spans="2:6" x14ac:dyDescent="0.35">
      <c r="B1078" t="str">
        <v>One Investment Management</v>
      </c>
      <c r="C1078">
        <v>1</v>
      </c>
      <c r="E1078" t="s">
        <v>2244</v>
      </c>
      <c r="F1078">
        <v>1</v>
      </c>
    </row>
    <row r="1079" spans="2:6" x14ac:dyDescent="0.35">
      <c r="B1079" t="str">
        <v>Washington Harbour</v>
      </c>
      <c r="C1079">
        <v>1</v>
      </c>
      <c r="E1079" t="s">
        <v>2245</v>
      </c>
      <c r="F1079">
        <v>1</v>
      </c>
    </row>
    <row r="1080" spans="2:6" x14ac:dyDescent="0.35">
      <c r="B1080" t="str">
        <v>Climate Investment</v>
      </c>
      <c r="C1080">
        <v>1</v>
      </c>
      <c r="E1080" t="s">
        <v>2246</v>
      </c>
      <c r="F1080">
        <v>1</v>
      </c>
    </row>
    <row r="1081" spans="2:6" x14ac:dyDescent="0.35">
      <c r="B1081" t="str">
        <v>Anthropocene Capital Management</v>
      </c>
      <c r="C1081">
        <v>1</v>
      </c>
      <c r="E1081" t="s">
        <v>2247</v>
      </c>
      <c r="F1081">
        <v>1</v>
      </c>
    </row>
    <row r="1082" spans="2:6" x14ac:dyDescent="0.35">
      <c r="B1082" t="str">
        <v>Berkeley Catalyst Fund Management</v>
      </c>
      <c r="C1082">
        <v>1</v>
      </c>
      <c r="E1082" t="s">
        <v>2248</v>
      </c>
      <c r="F1082">
        <v>1</v>
      </c>
    </row>
    <row r="1083" spans="2:6" x14ac:dyDescent="0.35">
      <c r="B1083" t="str">
        <v>Christian Thirion</v>
      </c>
      <c r="C1083">
        <v>1</v>
      </c>
      <c r="E1083" t="s">
        <v>2249</v>
      </c>
      <c r="F1083">
        <v>1</v>
      </c>
    </row>
    <row r="1084" spans="2:6" x14ac:dyDescent="0.35">
      <c r="B1084" t="str">
        <v>Michael Phillips</v>
      </c>
      <c r="C1084">
        <v>1</v>
      </c>
      <c r="E1084" t="s">
        <v>2250</v>
      </c>
      <c r="F1084">
        <v>1</v>
      </c>
    </row>
    <row r="1085" spans="2:6" x14ac:dyDescent="0.35">
      <c r="B1085" t="str">
        <v>Mitsui Mining and Smelting</v>
      </c>
      <c r="C1085">
        <v>1</v>
      </c>
      <c r="E1085" t="s">
        <v>2251</v>
      </c>
      <c r="F1085">
        <v>1</v>
      </c>
    </row>
    <row r="1086" spans="2:6" x14ac:dyDescent="0.35">
      <c r="B1086" t="str">
        <v>Collaborative Fund</v>
      </c>
      <c r="C1086">
        <v>8</v>
      </c>
      <c r="E1086" t="s">
        <v>511</v>
      </c>
      <c r="F1086">
        <v>1</v>
      </c>
    </row>
    <row r="1087" spans="2:6" x14ac:dyDescent="0.35">
      <c r="B1087" t="str">
        <v>Cool Climate Collective</v>
      </c>
      <c r="C1087">
        <v>1</v>
      </c>
      <c r="E1087" t="s">
        <v>2253</v>
      </c>
      <c r="F1087">
        <v>1</v>
      </c>
    </row>
    <row r="1088" spans="2:6" x14ac:dyDescent="0.35">
      <c r="B1088" t="str">
        <v>Day One Ventures</v>
      </c>
      <c r="C1088">
        <v>1</v>
      </c>
      <c r="E1088" t="s">
        <v>2254</v>
      </c>
      <c r="F1088">
        <v>1</v>
      </c>
    </row>
    <row r="1089" spans="2:6" x14ac:dyDescent="0.35">
      <c r="B1089" t="str">
        <v>Divergent Capital</v>
      </c>
      <c r="C1089">
        <v>2</v>
      </c>
      <c r="E1089" t="s">
        <v>2255</v>
      </c>
      <c r="F1089">
        <v>1</v>
      </c>
    </row>
    <row r="1090" spans="2:6" x14ac:dyDescent="0.35">
      <c r="B1090" t="str">
        <v>Divergent Capital</v>
      </c>
      <c r="C1090">
        <v>2</v>
      </c>
      <c r="E1090" t="s">
        <v>2256</v>
      </c>
      <c r="F1090">
        <v>1</v>
      </c>
    </row>
    <row r="1091" spans="2:6" x14ac:dyDescent="0.35">
      <c r="B1091" t="str">
        <v>Freshtracks Capital</v>
      </c>
      <c r="C1091">
        <v>1</v>
      </c>
      <c r="E1091" t="s">
        <v>2257</v>
      </c>
      <c r="F1091">
        <v>1</v>
      </c>
    </row>
    <row r="1092" spans="2:6" x14ac:dyDescent="0.35">
      <c r="B1092" t="str">
        <v>Gratitude Railroad</v>
      </c>
      <c r="C1092">
        <v>3</v>
      </c>
      <c r="E1092" t="s">
        <v>2258</v>
      </c>
      <c r="F1092">
        <v>1</v>
      </c>
    </row>
    <row r="1093" spans="2:6" x14ac:dyDescent="0.35">
      <c r="B1093" t="str">
        <v>Highstreet Insurance Partners</v>
      </c>
      <c r="C1093">
        <v>1</v>
      </c>
      <c r="E1093" t="s">
        <v>2259</v>
      </c>
      <c r="F1093">
        <v>1</v>
      </c>
    </row>
    <row r="1094" spans="2:6" x14ac:dyDescent="0.35">
      <c r="B1094" t="str">
        <v>Magnuson Center for Entrepreneurship</v>
      </c>
      <c r="C1094">
        <v>1</v>
      </c>
      <c r="E1094" t="s">
        <v>2260</v>
      </c>
      <c r="F1094">
        <v>1</v>
      </c>
    </row>
    <row r="1095" spans="2:6" x14ac:dyDescent="0.35">
      <c r="B1095" t="str">
        <v>Pure Ventures</v>
      </c>
      <c r="C1095">
        <v>1</v>
      </c>
      <c r="E1095" t="s">
        <v>2261</v>
      </c>
      <c r="F1095">
        <v>1</v>
      </c>
    </row>
    <row r="1096" spans="2:6" x14ac:dyDescent="0.35">
      <c r="B1096" t="str">
        <v>Riverstyx Foundation</v>
      </c>
      <c r="C1096">
        <v>1</v>
      </c>
      <c r="E1096" t="s">
        <v>2262</v>
      </c>
      <c r="F1096">
        <v>1</v>
      </c>
    </row>
    <row r="1097" spans="2:6" x14ac:dyDescent="0.35">
      <c r="B1097" t="str">
        <v>Silence VC</v>
      </c>
      <c r="C1097">
        <v>1</v>
      </c>
      <c r="E1097" t="s">
        <v>2263</v>
      </c>
      <c r="F1097">
        <v>1</v>
      </c>
    </row>
    <row r="1098" spans="2:6" x14ac:dyDescent="0.35">
      <c r="B1098" t="str">
        <v>Susquehanna Foundation</v>
      </c>
      <c r="C1098">
        <v>1</v>
      </c>
      <c r="E1098" t="s">
        <v>2264</v>
      </c>
      <c r="F1098">
        <v>1</v>
      </c>
    </row>
    <row r="1099" spans="2:6" x14ac:dyDescent="0.35">
      <c r="B1099" t="str">
        <v>Third Sphere</v>
      </c>
      <c r="C1099">
        <v>1</v>
      </c>
      <c r="E1099" t="s">
        <v>2266</v>
      </c>
      <c r="F1099">
        <v>1</v>
      </c>
    </row>
    <row r="1100" spans="2:6" x14ac:dyDescent="0.35">
      <c r="B1100" t="str">
        <v>Tuck Social Venture Fund</v>
      </c>
      <c r="C1100">
        <v>1</v>
      </c>
      <c r="E1100" t="s">
        <v>2267</v>
      </c>
      <c r="F1100">
        <v>1</v>
      </c>
    </row>
    <row r="1101" spans="2:6" x14ac:dyDescent="0.35">
      <c r="B1101" t="str">
        <v>AiiM Partners</v>
      </c>
      <c r="C1101">
        <v>4</v>
      </c>
      <c r="E1101" t="s">
        <v>2268</v>
      </c>
      <c r="F1101">
        <v>1</v>
      </c>
    </row>
    <row r="1102" spans="2:6" x14ac:dyDescent="0.35">
      <c r="B1102" t="str">
        <v>Bezos Expeditions</v>
      </c>
      <c r="C1102">
        <v>1</v>
      </c>
      <c r="E1102" t="s">
        <v>2269</v>
      </c>
      <c r="F1102">
        <v>1</v>
      </c>
    </row>
    <row r="1103" spans="2:6" x14ac:dyDescent="0.35">
      <c r="B1103" t="str">
        <v>Cargill</v>
      </c>
      <c r="C1103">
        <v>3</v>
      </c>
      <c r="E1103" t="s">
        <v>2270</v>
      </c>
      <c r="F1103">
        <v>1</v>
      </c>
    </row>
    <row r="1104" spans="2:6" x14ac:dyDescent="0.35">
      <c r="B1104" t="str">
        <v>CRV</v>
      </c>
      <c r="C1104">
        <v>1</v>
      </c>
      <c r="E1104" t="s">
        <v>2271</v>
      </c>
      <c r="F1104">
        <v>1</v>
      </c>
    </row>
    <row r="1105" spans="2:6" x14ac:dyDescent="0.35">
      <c r="B1105" t="str">
        <v>Footprint Coalition</v>
      </c>
      <c r="C1105">
        <v>2</v>
      </c>
      <c r="E1105" t="s">
        <v>2272</v>
      </c>
      <c r="F1105">
        <v>1</v>
      </c>
    </row>
    <row r="1106" spans="2:6" x14ac:dyDescent="0.35">
      <c r="B1106" t="str">
        <v>Full Circle Africa</v>
      </c>
      <c r="C1106">
        <v>1</v>
      </c>
      <c r="E1106" t="s">
        <v>2273</v>
      </c>
      <c r="F1106">
        <v>1</v>
      </c>
    </row>
    <row r="1107" spans="2:6" x14ac:dyDescent="0.35">
      <c r="B1107" t="str">
        <v>Hestia Venture Partners</v>
      </c>
      <c r="C1107">
        <v>1</v>
      </c>
      <c r="E1107" t="s">
        <v>2274</v>
      </c>
      <c r="F1107">
        <v>1</v>
      </c>
    </row>
    <row r="1108" spans="2:6" x14ac:dyDescent="0.35">
      <c r="B1108" t="str">
        <v>L Catterton</v>
      </c>
      <c r="C1108">
        <v>1</v>
      </c>
      <c r="E1108" t="s">
        <v>2275</v>
      </c>
      <c r="F1108">
        <v>1</v>
      </c>
    </row>
    <row r="1109" spans="2:6" x14ac:dyDescent="0.35">
      <c r="B1109" t="str">
        <v>Leonardo Di Caprio</v>
      </c>
      <c r="C1109">
        <v>1</v>
      </c>
      <c r="E1109" t="s">
        <v>2276</v>
      </c>
      <c r="F1109">
        <v>1</v>
      </c>
    </row>
    <row r="1110" spans="2:6" x14ac:dyDescent="0.35">
      <c r="B1110" t="str">
        <v>Maven Ventures</v>
      </c>
      <c r="C1110">
        <v>1</v>
      </c>
      <c r="E1110" t="s">
        <v>2277</v>
      </c>
      <c r="F1110">
        <v>1</v>
      </c>
    </row>
    <row r="1111" spans="2:6" x14ac:dyDescent="0.35">
      <c r="B1111" t="str">
        <v>Root Ventures</v>
      </c>
      <c r="C1111">
        <v>1</v>
      </c>
      <c r="E1111" t="s">
        <v>2278</v>
      </c>
      <c r="F1111">
        <v>1</v>
      </c>
    </row>
    <row r="1112" spans="2:6" x14ac:dyDescent="0.35">
      <c r="B1112" t="str">
        <v>S2G Ventures</v>
      </c>
      <c r="C1112">
        <v>1</v>
      </c>
      <c r="E1112" t="s">
        <v>2279</v>
      </c>
      <c r="F1112">
        <v>1</v>
      </c>
    </row>
    <row r="1113" spans="2:6" x14ac:dyDescent="0.35">
      <c r="B1113" t="str">
        <v>Spark Capital</v>
      </c>
      <c r="C1113">
        <v>1</v>
      </c>
      <c r="E1113" t="s">
        <v>2280</v>
      </c>
      <c r="F1113">
        <v>1</v>
      </c>
    </row>
    <row r="1114" spans="2:6" x14ac:dyDescent="0.35">
      <c r="B1114" t="str">
        <v>Temasek Holdings</v>
      </c>
      <c r="C1114">
        <v>9</v>
      </c>
      <c r="E1114" t="s">
        <v>2281</v>
      </c>
      <c r="F1114">
        <v>1</v>
      </c>
    </row>
    <row r="1115" spans="2:6" x14ac:dyDescent="0.35">
      <c r="B1115" t="str">
        <v>K Street Capital</v>
      </c>
      <c r="C1115">
        <v>1</v>
      </c>
      <c r="E1115" t="s">
        <v>2282</v>
      </c>
      <c r="F1115">
        <v>1</v>
      </c>
    </row>
    <row r="1116" spans="2:6" x14ac:dyDescent="0.35">
      <c r="B1116" t="str">
        <v>Triangle Tweener Fund</v>
      </c>
      <c r="C1116">
        <v>1</v>
      </c>
      <c r="E1116" t="s">
        <v>2283</v>
      </c>
      <c r="F1116">
        <v>1</v>
      </c>
    </row>
    <row r="1117" spans="2:6" x14ac:dyDescent="0.35">
      <c r="B1117" t="str">
        <v>Edgewater Captial Group</v>
      </c>
      <c r="C1117">
        <v>1</v>
      </c>
      <c r="E1117" t="s">
        <v>2284</v>
      </c>
      <c r="F1117">
        <v>1</v>
      </c>
    </row>
    <row r="1118" spans="2:6" x14ac:dyDescent="0.35">
      <c r="B1118" t="str">
        <v>Firsthand Capital Management</v>
      </c>
      <c r="C1118">
        <v>1</v>
      </c>
      <c r="E1118" t="s">
        <v>2285</v>
      </c>
      <c r="F1118">
        <v>1</v>
      </c>
    </row>
    <row r="1119" spans="2:6" x14ac:dyDescent="0.35">
      <c r="B1119" t="str">
        <v>Aligned Climate Capital</v>
      </c>
      <c r="C1119">
        <v>1</v>
      </c>
      <c r="E1119" t="s">
        <v>2286</v>
      </c>
      <c r="F1119">
        <v>1</v>
      </c>
    </row>
    <row r="1120" spans="2:6" x14ac:dyDescent="0.35">
      <c r="B1120" t="str">
        <v>ClearSky</v>
      </c>
      <c r="C1120">
        <v>1</v>
      </c>
      <c r="E1120" t="s">
        <v>2287</v>
      </c>
      <c r="F1120">
        <v>1</v>
      </c>
    </row>
    <row r="1121" spans="2:6" x14ac:dyDescent="0.35">
      <c r="B1121" t="str">
        <v>Climate Innovation Capital</v>
      </c>
      <c r="C1121">
        <v>1</v>
      </c>
      <c r="E1121" t="s">
        <v>2288</v>
      </c>
      <c r="F1121">
        <v>1</v>
      </c>
    </row>
    <row r="1122" spans="2:6" x14ac:dyDescent="0.35">
      <c r="B1122" t="str">
        <v>WovenEarth Ventures</v>
      </c>
      <c r="C1122">
        <v>1</v>
      </c>
      <c r="E1122" t="s">
        <v>2289</v>
      </c>
      <c r="F1122">
        <v>1</v>
      </c>
    </row>
    <row r="1123" spans="2:6" x14ac:dyDescent="0.35">
      <c r="B1123" t="str">
        <v>Chevron Technology Ventures</v>
      </c>
      <c r="C1123">
        <v>2</v>
      </c>
      <c r="E1123" t="s">
        <v>2290</v>
      </c>
      <c r="F1123">
        <v>1</v>
      </c>
    </row>
    <row r="1124" spans="2:6" x14ac:dyDescent="0.35">
      <c r="B1124" t="str">
        <v>Lowercarbon Capital</v>
      </c>
      <c r="C1124">
        <v>7</v>
      </c>
      <c r="E1124" t="s">
        <v>2291</v>
      </c>
      <c r="F1124">
        <v>1</v>
      </c>
    </row>
    <row r="1125" spans="2:6" x14ac:dyDescent="0.35">
      <c r="B1125" t="str">
        <v>Carnite Ventures</v>
      </c>
      <c r="C1125">
        <v>1</v>
      </c>
      <c r="E1125" t="s">
        <v>2292</v>
      </c>
      <c r="F1125">
        <v>1</v>
      </c>
    </row>
    <row r="1126" spans="2:6" x14ac:dyDescent="0.35">
      <c r="B1126" t="str">
        <v>Houston Angel Network</v>
      </c>
      <c r="C1126">
        <v>1</v>
      </c>
      <c r="E1126" t="s">
        <v>2293</v>
      </c>
      <c r="F1126">
        <v>1</v>
      </c>
    </row>
    <row r="1127" spans="2:6" x14ac:dyDescent="0.35">
      <c r="B1127" t="str">
        <v>DBL Partners</v>
      </c>
      <c r="C1127">
        <v>2</v>
      </c>
      <c r="E1127" t="s">
        <v>2294</v>
      </c>
      <c r="F1127">
        <v>1</v>
      </c>
    </row>
    <row r="1128" spans="2:6" x14ac:dyDescent="0.35">
      <c r="B1128" t="str">
        <v>Gray's Creek Capital Partners</v>
      </c>
      <c r="C1128">
        <v>1</v>
      </c>
      <c r="E1128" t="s">
        <v>2295</v>
      </c>
      <c r="F1128">
        <v>1</v>
      </c>
    </row>
  </sheetData>
  <autoFilter ref="E3:F3" xr:uid="{E2C10CD3-772F-4975-9E2E-B52D4DFA49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27EF-236F-4E7E-95FF-BED99ACD43F6}">
  <sheetPr filterMode="1">
    <tabColor theme="5" tint="0.79998168889431442"/>
  </sheetPr>
  <dimension ref="B2:F924"/>
  <sheetViews>
    <sheetView zoomScale="84" workbookViewId="0"/>
  </sheetViews>
  <sheetFormatPr defaultRowHeight="14.5" outlineLevelCol="1" x14ac:dyDescent="0.35"/>
  <cols>
    <col min="1" max="1" width="4.36328125" customWidth="1"/>
    <col min="2" max="2" width="23.1796875" customWidth="1" outlineLevel="1"/>
    <col min="3" max="3" width="19.26953125" customWidth="1" outlineLevel="1"/>
    <col min="4" max="4" width="4.36328125" customWidth="1"/>
    <col min="5" max="6" width="19.26953125" customWidth="1"/>
  </cols>
  <sheetData>
    <row r="2" spans="2:6" ht="27.5" customHeight="1" x14ac:dyDescent="0.45">
      <c r="B2" s="45" t="s">
        <v>2298</v>
      </c>
      <c r="C2" s="46"/>
      <c r="D2" s="46"/>
      <c r="E2" s="46"/>
      <c r="F2" s="46"/>
    </row>
    <row r="3" spans="2:6" ht="16" x14ac:dyDescent="0.4">
      <c r="B3" s="44" t="s">
        <v>1494</v>
      </c>
      <c r="C3" s="44" t="s">
        <v>1495</v>
      </c>
      <c r="E3" s="44" t="s">
        <v>1494</v>
      </c>
      <c r="F3" s="44" t="s">
        <v>1495</v>
      </c>
    </row>
    <row r="4" spans="2:6" hidden="1" x14ac:dyDescent="0.35">
      <c r="B4" t="str" cm="1">
        <f t="array" ref="B4:B924">_xlfn.LET(_xlpm.allText,_xlfn.TEXTJOIN(";",TRUE,Raw_Data!W3:W273),_xlfn.TOCOL(TRIM(_xlfn.TEXTSPLIT(_xlpm.allText,";")),1))</f>
        <v>Safar Partners</v>
      </c>
      <c r="C4" cm="1">
        <f t="array" ref="C4:C924">_xlfn.MAP(_xlfn.ANCHORARRAY(B4),_xlfn.LAMBDA(_xlpm.inv, COUNTIF(_xlfn.ANCHORARRAY($B$4), _xlpm.inv)))</f>
        <v>3</v>
      </c>
      <c r="E4" t="s">
        <v>2299</v>
      </c>
      <c r="F4">
        <v>40</v>
      </c>
    </row>
    <row r="5" spans="2:6" hidden="1" x14ac:dyDescent="0.35">
      <c r="B5" t="str">
        <v>COCONUT GROVE</v>
      </c>
      <c r="C5">
        <v>1</v>
      </c>
      <c r="E5" t="s">
        <v>2299</v>
      </c>
      <c r="F5">
        <v>40</v>
      </c>
    </row>
    <row r="6" spans="2:6" hidden="1" x14ac:dyDescent="0.35">
      <c r="B6" t="str">
        <v>First Financial Bankshares</v>
      </c>
      <c r="C6">
        <v>1</v>
      </c>
      <c r="E6" t="s">
        <v>2299</v>
      </c>
      <c r="F6">
        <v>40</v>
      </c>
    </row>
    <row r="7" spans="2:6" hidden="1" x14ac:dyDescent="0.35">
      <c r="B7" t="str">
        <v>M10Lean capital</v>
      </c>
      <c r="C7">
        <v>1</v>
      </c>
      <c r="E7" t="s">
        <v>2299</v>
      </c>
      <c r="F7">
        <v>40</v>
      </c>
    </row>
    <row r="8" spans="2:6" hidden="1" x14ac:dyDescent="0.35">
      <c r="B8" t="str">
        <v>Mintz</v>
      </c>
      <c r="C8">
        <v>2</v>
      </c>
      <c r="E8" t="s">
        <v>2299</v>
      </c>
      <c r="F8">
        <v>40</v>
      </c>
    </row>
    <row r="9" spans="2:6" hidden="1" x14ac:dyDescent="0.35">
      <c r="B9" t="str">
        <v>Alex Chung</v>
      </c>
      <c r="C9">
        <v>1</v>
      </c>
      <c r="E9" t="s">
        <v>2299</v>
      </c>
      <c r="F9">
        <v>40</v>
      </c>
    </row>
    <row r="10" spans="2:6" hidden="1" x14ac:dyDescent="0.35">
      <c r="B10" t="str">
        <v>Draper Associates</v>
      </c>
      <c r="C10">
        <v>1</v>
      </c>
      <c r="E10" t="s">
        <v>2299</v>
      </c>
      <c r="F10">
        <v>40</v>
      </c>
    </row>
    <row r="11" spans="2:6" hidden="1" x14ac:dyDescent="0.35">
      <c r="B11" t="str">
        <v>Kabir Misra</v>
      </c>
      <c r="C11">
        <v>1</v>
      </c>
      <c r="E11" t="s">
        <v>2299</v>
      </c>
      <c r="F11">
        <v>40</v>
      </c>
    </row>
    <row r="12" spans="2:6" hidden="1" x14ac:dyDescent="0.35">
      <c r="B12" t="str">
        <v>RPS Ventures</v>
      </c>
      <c r="C12">
        <v>1</v>
      </c>
      <c r="E12" t="s">
        <v>2299</v>
      </c>
      <c r="F12">
        <v>40</v>
      </c>
    </row>
    <row r="13" spans="2:6" hidden="1" x14ac:dyDescent="0.35">
      <c r="B13" t="str">
        <v>SOSV</v>
      </c>
      <c r="C13">
        <v>2</v>
      </c>
      <c r="E13" t="s">
        <v>2299</v>
      </c>
      <c r="F13">
        <v>40</v>
      </c>
    </row>
    <row r="14" spans="2:6" hidden="1" x14ac:dyDescent="0.35">
      <c r="B14" t="str">
        <v>Alberta Investment Management</v>
      </c>
      <c r="C14">
        <v>1</v>
      </c>
      <c r="E14" t="s">
        <v>2299</v>
      </c>
      <c r="F14">
        <v>40</v>
      </c>
    </row>
    <row r="15" spans="2:6" hidden="1" x14ac:dyDescent="0.35">
      <c r="B15" t="str">
        <v>GIC Private</v>
      </c>
      <c r="C15">
        <v>1</v>
      </c>
      <c r="E15" t="s">
        <v>2299</v>
      </c>
      <c r="F15">
        <v>40</v>
      </c>
    </row>
    <row r="16" spans="2:6" hidden="1" x14ac:dyDescent="0.35">
      <c r="B16" t="str">
        <v>Haddington Ventures, Manulife Financial</v>
      </c>
      <c r="C16">
        <v>1</v>
      </c>
      <c r="E16" t="s">
        <v>2299</v>
      </c>
      <c r="F16">
        <v>40</v>
      </c>
    </row>
    <row r="17" spans="2:6" hidden="1" x14ac:dyDescent="0.35">
      <c r="B17" t="str">
        <v>Onterio Teachers Pension Plan</v>
      </c>
      <c r="C17">
        <v>1</v>
      </c>
      <c r="E17" t="s">
        <v>2299</v>
      </c>
      <c r="F17">
        <v>40</v>
      </c>
    </row>
    <row r="18" spans="2:6" hidden="1" x14ac:dyDescent="0.35">
      <c r="B18" t="str">
        <v>At One Ventures</v>
      </c>
      <c r="C18">
        <v>3</v>
      </c>
      <c r="E18" t="s">
        <v>2299</v>
      </c>
      <c r="F18">
        <v>40</v>
      </c>
    </row>
    <row r="19" spans="2:6" hidden="1" x14ac:dyDescent="0.35">
      <c r="B19" t="str">
        <v>RSVP Ventures</v>
      </c>
      <c r="C19">
        <v>1</v>
      </c>
      <c r="E19" t="s">
        <v>2299</v>
      </c>
      <c r="F19">
        <v>40</v>
      </c>
    </row>
    <row r="20" spans="2:6" hidden="1" x14ac:dyDescent="0.35">
      <c r="B20" t="str">
        <v>Encap Investments</v>
      </c>
      <c r="C20">
        <v>1</v>
      </c>
      <c r="E20" t="s">
        <v>2299</v>
      </c>
      <c r="F20">
        <v>40</v>
      </c>
    </row>
    <row r="21" spans="2:6" hidden="1" x14ac:dyDescent="0.35">
      <c r="B21" t="str">
        <v>NGP Energy Capital Management</v>
      </c>
      <c r="C21">
        <v>2</v>
      </c>
      <c r="E21" t="s">
        <v>2299</v>
      </c>
      <c r="F21">
        <v>40</v>
      </c>
    </row>
    <row r="22" spans="2:6" hidden="1" x14ac:dyDescent="0.35">
      <c r="B22" t="str">
        <v>Chartered Investment Managers</v>
      </c>
      <c r="C22">
        <v>1</v>
      </c>
      <c r="E22" t="s">
        <v>2299</v>
      </c>
      <c r="F22">
        <v>40</v>
      </c>
    </row>
    <row r="23" spans="2:6" hidden="1" x14ac:dyDescent="0.35">
      <c r="B23" t="str">
        <v>Innova Capital Partners</v>
      </c>
      <c r="C23">
        <v>2</v>
      </c>
      <c r="E23" t="s">
        <v>2299</v>
      </c>
      <c r="F23">
        <v>40</v>
      </c>
    </row>
    <row r="24" spans="2:6" hidden="1" x14ac:dyDescent="0.35">
      <c r="B24" t="str">
        <v>Guernsey Holdings</v>
      </c>
      <c r="C24">
        <v>1</v>
      </c>
      <c r="E24" t="s">
        <v>2299</v>
      </c>
      <c r="F24">
        <v>40</v>
      </c>
    </row>
    <row r="25" spans="2:6" hidden="1" x14ac:dyDescent="0.35">
      <c r="B25" t="str">
        <v>Korea Zinc</v>
      </c>
      <c r="C25">
        <v>1</v>
      </c>
      <c r="E25" t="s">
        <v>2299</v>
      </c>
      <c r="F25">
        <v>40</v>
      </c>
    </row>
    <row r="26" spans="2:6" hidden="1" x14ac:dyDescent="0.35">
      <c r="B26" t="str">
        <v>Mitsui &amp; Company</v>
      </c>
      <c r="C26">
        <v>3</v>
      </c>
      <c r="E26" t="s">
        <v>2299</v>
      </c>
      <c r="F26">
        <v>40</v>
      </c>
    </row>
    <row r="27" spans="2:6" hidden="1" x14ac:dyDescent="0.35">
      <c r="B27" t="str">
        <v>MOL PLUS</v>
      </c>
      <c r="C27">
        <v>2</v>
      </c>
      <c r="E27" t="s">
        <v>2299</v>
      </c>
      <c r="F27">
        <v>40</v>
      </c>
    </row>
    <row r="28" spans="2:6" hidden="1" x14ac:dyDescent="0.35">
      <c r="B28" t="str">
        <v>Temasek Holdings</v>
      </c>
      <c r="C28">
        <v>8</v>
      </c>
      <c r="E28" t="s">
        <v>2299</v>
      </c>
      <c r="F28">
        <v>40</v>
      </c>
    </row>
    <row r="29" spans="2:6" hidden="1" x14ac:dyDescent="0.35">
      <c r="B29" t="str">
        <v>Yanmar Holdings</v>
      </c>
      <c r="C29">
        <v>1</v>
      </c>
      <c r="E29" t="s">
        <v>2299</v>
      </c>
      <c r="F29">
        <v>40</v>
      </c>
    </row>
    <row r="30" spans="2:6" hidden="1" x14ac:dyDescent="0.35">
      <c r="B30" t="str">
        <v>Zeon Ventures</v>
      </c>
      <c r="C30">
        <v>1</v>
      </c>
      <c r="E30" t="s">
        <v>2299</v>
      </c>
      <c r="F30">
        <v>40</v>
      </c>
    </row>
    <row r="31" spans="2:6" hidden="1" x14ac:dyDescent="0.35">
      <c r="B31" t="str">
        <v>AFW Partners</v>
      </c>
      <c r="C31">
        <v>2</v>
      </c>
      <c r="E31" t="s">
        <v>2299</v>
      </c>
      <c r="F31">
        <v>40</v>
      </c>
    </row>
    <row r="32" spans="2:6" hidden="1" x14ac:dyDescent="0.35">
      <c r="B32" t="str">
        <v>BHP Ventures</v>
      </c>
      <c r="C32">
        <v>2</v>
      </c>
      <c r="E32" t="s">
        <v>2299</v>
      </c>
      <c r="F32">
        <v>40</v>
      </c>
    </row>
    <row r="33" spans="2:6" hidden="1" x14ac:dyDescent="0.35">
      <c r="B33" t="str">
        <v>KDB Investment</v>
      </c>
      <c r="C33">
        <v>1</v>
      </c>
      <c r="E33" t="s">
        <v>2299</v>
      </c>
      <c r="F33">
        <v>40</v>
      </c>
    </row>
    <row r="34" spans="2:6" hidden="1" x14ac:dyDescent="0.35">
      <c r="B34" t="str">
        <v>SV Investment</v>
      </c>
      <c r="C34">
        <v>1</v>
      </c>
      <c r="E34" t="s">
        <v>2299</v>
      </c>
      <c r="F34">
        <v>40</v>
      </c>
    </row>
    <row r="35" spans="2:6" hidden="1" x14ac:dyDescent="0.35">
      <c r="B35" t="str">
        <v>MOL PLUS</v>
      </c>
      <c r="C35">
        <v>2</v>
      </c>
      <c r="E35" t="s">
        <v>2299</v>
      </c>
      <c r="F35">
        <v>40</v>
      </c>
    </row>
    <row r="36" spans="2:6" hidden="1" x14ac:dyDescent="0.35">
      <c r="B36" t="str">
        <v>Samsung Heavy Industries</v>
      </c>
      <c r="C36">
        <v>1</v>
      </c>
      <c r="E36" t="s">
        <v>2299</v>
      </c>
      <c r="F36">
        <v>40</v>
      </c>
    </row>
    <row r="37" spans="2:6" hidden="1" x14ac:dyDescent="0.35">
      <c r="B37" t="str">
        <v>BHP Ventures</v>
      </c>
      <c r="C37">
        <v>2</v>
      </c>
      <c r="E37" t="s">
        <v>2299</v>
      </c>
      <c r="F37">
        <v>40</v>
      </c>
    </row>
    <row r="38" spans="2:6" hidden="1" x14ac:dyDescent="0.35">
      <c r="B38" t="str">
        <v>MOL Switch</v>
      </c>
      <c r="C38">
        <v>2</v>
      </c>
      <c r="E38" t="s">
        <v>2299</v>
      </c>
      <c r="F38">
        <v>40</v>
      </c>
    </row>
    <row r="39" spans="2:6" hidden="1" x14ac:dyDescent="0.35">
      <c r="B39" t="str">
        <v>JB Investment (Private Equity)</v>
      </c>
      <c r="C39">
        <v>1</v>
      </c>
      <c r="E39" t="s">
        <v>2299</v>
      </c>
      <c r="F39">
        <v>40</v>
      </c>
    </row>
    <row r="40" spans="2:6" hidden="1" x14ac:dyDescent="0.35">
      <c r="B40" t="str">
        <v>GS Engineering &amp; Construction</v>
      </c>
      <c r="C40">
        <v>1</v>
      </c>
      <c r="E40" t="s">
        <v>2299</v>
      </c>
      <c r="F40">
        <v>40</v>
      </c>
    </row>
    <row r="41" spans="2:6" hidden="1" x14ac:dyDescent="0.35">
      <c r="B41" t="str">
        <v>Xplor Investment</v>
      </c>
      <c r="C41">
        <v>1</v>
      </c>
      <c r="E41" t="s">
        <v>2299</v>
      </c>
      <c r="F41">
        <v>40</v>
      </c>
    </row>
    <row r="42" spans="2:6" hidden="1" x14ac:dyDescent="0.35">
      <c r="B42" t="str">
        <v>GS Futures</v>
      </c>
      <c r="C42">
        <v>2</v>
      </c>
      <c r="E42" t="s">
        <v>2299</v>
      </c>
      <c r="F42">
        <v>40</v>
      </c>
    </row>
    <row r="43" spans="2:6" hidden="1" x14ac:dyDescent="0.35">
      <c r="B43" t="str">
        <v>Marunouchi Innovation Partners</v>
      </c>
      <c r="C43">
        <v>1</v>
      </c>
      <c r="E43" t="s">
        <v>2299</v>
      </c>
      <c r="F43">
        <v>40</v>
      </c>
    </row>
    <row r="44" spans="2:6" x14ac:dyDescent="0.35">
      <c r="B44" t="str">
        <v>Pathway Capital Management</v>
      </c>
      <c r="C44">
        <v>1</v>
      </c>
      <c r="E44" t="s">
        <v>1522</v>
      </c>
      <c r="F44">
        <v>8</v>
      </c>
    </row>
    <row r="45" spans="2:6" x14ac:dyDescent="0.35">
      <c r="B45" t="str">
        <v>Seoul Investment Partners</v>
      </c>
      <c r="C45">
        <v>1</v>
      </c>
      <c r="E45" t="s">
        <v>1522</v>
      </c>
      <c r="F45">
        <v>8</v>
      </c>
    </row>
    <row r="46" spans="2:6" x14ac:dyDescent="0.35">
      <c r="B46" t="str">
        <v>AFW Partners</v>
      </c>
      <c r="C46">
        <v>2</v>
      </c>
      <c r="E46" t="s">
        <v>1522</v>
      </c>
      <c r="F46">
        <v>8</v>
      </c>
    </row>
    <row r="47" spans="2:6" x14ac:dyDescent="0.35">
      <c r="B47" t="str">
        <v>Odyssey Ventures (London)</v>
      </c>
      <c r="C47">
        <v>1</v>
      </c>
      <c r="E47" t="s">
        <v>1522</v>
      </c>
      <c r="F47">
        <v>8</v>
      </c>
    </row>
    <row r="48" spans="2:6" x14ac:dyDescent="0.35">
      <c r="B48" t="str">
        <v>BonAngels Venture Partners</v>
      </c>
      <c r="C48">
        <v>1</v>
      </c>
      <c r="E48" t="s">
        <v>1522</v>
      </c>
      <c r="F48">
        <v>8</v>
      </c>
    </row>
    <row r="49" spans="2:6" x14ac:dyDescent="0.35">
      <c r="B49" t="str">
        <v>Quantum Ventures Korea</v>
      </c>
      <c r="C49">
        <v>1</v>
      </c>
      <c r="E49" t="s">
        <v>1522</v>
      </c>
      <c r="F49">
        <v>8</v>
      </c>
    </row>
    <row r="50" spans="2:6" x14ac:dyDescent="0.35">
      <c r="B50" t="str">
        <v>Kibo Invest</v>
      </c>
      <c r="C50">
        <v>1</v>
      </c>
      <c r="E50" t="s">
        <v>1522</v>
      </c>
      <c r="F50">
        <v>8</v>
      </c>
    </row>
    <row r="51" spans="2:6" x14ac:dyDescent="0.35">
      <c r="B51" t="str">
        <v>Temasek Holdings</v>
      </c>
      <c r="C51">
        <v>8</v>
      </c>
      <c r="E51" t="s">
        <v>1522</v>
      </c>
      <c r="F51">
        <v>8</v>
      </c>
    </row>
    <row r="52" spans="2:6" x14ac:dyDescent="0.35">
      <c r="B52" t="str">
        <v>Hanwha Investment &amp; Securities Company</v>
      </c>
      <c r="C52">
        <v>1</v>
      </c>
      <c r="E52" t="s">
        <v>2023</v>
      </c>
      <c r="F52">
        <v>7</v>
      </c>
    </row>
    <row r="53" spans="2:6" x14ac:dyDescent="0.35">
      <c r="B53" t="str">
        <v>Gorilla Private Equity</v>
      </c>
      <c r="C53">
        <v>1</v>
      </c>
      <c r="E53" t="s">
        <v>2023</v>
      </c>
      <c r="F53">
        <v>7</v>
      </c>
    </row>
    <row r="54" spans="2:6" x14ac:dyDescent="0.35">
      <c r="B54" t="str">
        <v>0</v>
      </c>
      <c r="C54">
        <v>40</v>
      </c>
      <c r="E54" t="s">
        <v>2023</v>
      </c>
      <c r="F54">
        <v>7</v>
      </c>
    </row>
    <row r="55" spans="2:6" x14ac:dyDescent="0.35">
      <c r="B55" t="str">
        <v>Enbridge</v>
      </c>
      <c r="C55">
        <v>1</v>
      </c>
      <c r="E55" t="s">
        <v>2023</v>
      </c>
      <c r="F55">
        <v>7</v>
      </c>
    </row>
    <row r="56" spans="2:6" x14ac:dyDescent="0.35">
      <c r="B56" t="str">
        <v>Energy Impact Partners</v>
      </c>
      <c r="C56">
        <v>1</v>
      </c>
      <c r="E56" t="s">
        <v>2023</v>
      </c>
      <c r="F56">
        <v>7</v>
      </c>
    </row>
    <row r="57" spans="2:6" x14ac:dyDescent="0.35">
      <c r="B57" t="str">
        <v>Black Mountain Ventures</v>
      </c>
      <c r="C57">
        <v>1</v>
      </c>
      <c r="E57" t="s">
        <v>2023</v>
      </c>
      <c r="F57">
        <v>7</v>
      </c>
    </row>
    <row r="58" spans="2:6" x14ac:dyDescent="0.35">
      <c r="B58" t="str">
        <v>Cameron Drummond</v>
      </c>
      <c r="C58">
        <v>1</v>
      </c>
      <c r="E58" t="s">
        <v>2023</v>
      </c>
      <c r="F58">
        <v>7</v>
      </c>
    </row>
    <row r="59" spans="2:6" x14ac:dyDescent="0.35">
      <c r="B59" t="str">
        <v>Dorm Room Fund</v>
      </c>
      <c r="C59">
        <v>1</v>
      </c>
      <c r="E59" t="s">
        <v>1589</v>
      </c>
      <c r="F59">
        <v>6</v>
      </c>
    </row>
    <row r="60" spans="2:6" x14ac:dyDescent="0.35">
      <c r="B60" t="str">
        <v>CalSEED</v>
      </c>
      <c r="C60">
        <v>1</v>
      </c>
      <c r="E60" t="s">
        <v>1589</v>
      </c>
      <c r="F60">
        <v>6</v>
      </c>
    </row>
    <row r="61" spans="2:6" x14ac:dyDescent="0.35">
      <c r="B61" t="str">
        <v>Keybridge Venture Partners</v>
      </c>
      <c r="C61">
        <v>1</v>
      </c>
      <c r="E61" t="s">
        <v>1589</v>
      </c>
      <c r="F61">
        <v>6</v>
      </c>
    </row>
    <row r="62" spans="2:6" x14ac:dyDescent="0.35">
      <c r="B62" t="str">
        <v>Reaction Global</v>
      </c>
      <c r="C62">
        <v>1</v>
      </c>
      <c r="E62" t="s">
        <v>1673</v>
      </c>
      <c r="F62">
        <v>6</v>
      </c>
    </row>
    <row r="63" spans="2:6" x14ac:dyDescent="0.35">
      <c r="B63" t="str">
        <v>StartX</v>
      </c>
      <c r="C63">
        <v>1</v>
      </c>
      <c r="E63" t="s">
        <v>1673</v>
      </c>
      <c r="F63">
        <v>6</v>
      </c>
    </row>
    <row r="64" spans="2:6" x14ac:dyDescent="0.35">
      <c r="B64" t="str">
        <v>AENU</v>
      </c>
      <c r="C64">
        <v>1</v>
      </c>
      <c r="E64" t="s">
        <v>1673</v>
      </c>
      <c r="F64">
        <v>6</v>
      </c>
    </row>
    <row r="65" spans="2:6" x14ac:dyDescent="0.35">
      <c r="B65" t="str">
        <v>Nippon Steel Trading</v>
      </c>
      <c r="C65">
        <v>1</v>
      </c>
      <c r="E65" t="s">
        <v>1673</v>
      </c>
      <c r="F65">
        <v>6</v>
      </c>
    </row>
    <row r="66" spans="2:6" x14ac:dyDescent="0.35">
      <c r="B66" t="str">
        <v>Rio Tinto</v>
      </c>
      <c r="C66">
        <v>2</v>
      </c>
      <c r="E66" t="s">
        <v>1589</v>
      </c>
      <c r="F66">
        <v>6</v>
      </c>
    </row>
    <row r="67" spans="2:6" x14ac:dyDescent="0.35">
      <c r="B67" t="str">
        <v>Sandton Capital Partners</v>
      </c>
      <c r="C67">
        <v>1</v>
      </c>
      <c r="E67" t="s">
        <v>1589</v>
      </c>
      <c r="F67">
        <v>6</v>
      </c>
    </row>
    <row r="68" spans="2:6" x14ac:dyDescent="0.35">
      <c r="B68" t="str">
        <v>Steel Dynamics</v>
      </c>
      <c r="C68">
        <v>1</v>
      </c>
      <c r="E68" t="s">
        <v>1673</v>
      </c>
      <c r="F68">
        <v>6</v>
      </c>
    </row>
    <row r="69" spans="2:6" x14ac:dyDescent="0.35">
      <c r="B69" t="str">
        <v>Compass Group Equity Partners</v>
      </c>
      <c r="C69">
        <v>1</v>
      </c>
      <c r="E69" t="s">
        <v>1673</v>
      </c>
      <c r="F69">
        <v>6</v>
      </c>
    </row>
    <row r="70" spans="2:6" x14ac:dyDescent="0.35">
      <c r="B70" t="str">
        <v>Cottonwood Technology Fund+S32</v>
      </c>
      <c r="C70">
        <v>1</v>
      </c>
      <c r="E70" t="s">
        <v>1589</v>
      </c>
      <c r="F70">
        <v>6</v>
      </c>
    </row>
    <row r="71" spans="2:6" x14ac:dyDescent="0.35">
      <c r="B71" t="str">
        <v>Fortistar</v>
      </c>
      <c r="C71">
        <v>1</v>
      </c>
      <c r="E71" t="s">
        <v>1847</v>
      </c>
      <c r="F71">
        <v>5</v>
      </c>
    </row>
    <row r="72" spans="2:6" x14ac:dyDescent="0.35">
      <c r="B72" t="str">
        <v>Newlight Partners</v>
      </c>
      <c r="C72">
        <v>2</v>
      </c>
      <c r="E72" t="s">
        <v>1847</v>
      </c>
      <c r="F72">
        <v>5</v>
      </c>
    </row>
    <row r="73" spans="2:6" x14ac:dyDescent="0.35">
      <c r="B73" t="str">
        <v>0</v>
      </c>
      <c r="C73">
        <v>40</v>
      </c>
      <c r="E73" t="s">
        <v>1847</v>
      </c>
      <c r="F73">
        <v>5</v>
      </c>
    </row>
    <row r="74" spans="2:6" x14ac:dyDescent="0.35">
      <c r="B74" t="str">
        <v>0</v>
      </c>
      <c r="C74">
        <v>40</v>
      </c>
      <c r="E74" t="s">
        <v>1847</v>
      </c>
      <c r="F74">
        <v>5</v>
      </c>
    </row>
    <row r="75" spans="2:6" x14ac:dyDescent="0.35">
      <c r="B75" t="str">
        <v>Novo Holdings</v>
      </c>
      <c r="C75">
        <v>1</v>
      </c>
      <c r="E75" t="s">
        <v>1847</v>
      </c>
      <c r="F75">
        <v>5</v>
      </c>
    </row>
    <row r="76" spans="2:6" x14ac:dyDescent="0.35">
      <c r="B76" t="str">
        <v>Florida Opportunity Fund</v>
      </c>
      <c r="C76">
        <v>2</v>
      </c>
      <c r="E76" t="s">
        <v>1796</v>
      </c>
      <c r="F76">
        <v>4</v>
      </c>
    </row>
    <row r="77" spans="2:6" x14ac:dyDescent="0.35">
      <c r="B77" t="str">
        <v>Tech Square Ventures</v>
      </c>
      <c r="C77">
        <v>1</v>
      </c>
      <c r="E77" t="s">
        <v>1796</v>
      </c>
      <c r="F77">
        <v>4</v>
      </c>
    </row>
    <row r="78" spans="2:6" x14ac:dyDescent="0.35">
      <c r="B78" t="str">
        <v>Jackson Investment Group</v>
      </c>
      <c r="C78">
        <v>1</v>
      </c>
      <c r="E78" t="s">
        <v>1796</v>
      </c>
      <c r="F78">
        <v>4</v>
      </c>
    </row>
    <row r="79" spans="2:6" x14ac:dyDescent="0.35">
      <c r="B79" t="str">
        <v>0</v>
      </c>
      <c r="C79">
        <v>40</v>
      </c>
      <c r="E79" t="s">
        <v>1796</v>
      </c>
      <c r="F79">
        <v>4</v>
      </c>
    </row>
    <row r="80" spans="2:6" x14ac:dyDescent="0.35">
      <c r="B80" t="str">
        <v>Reliance Industries</v>
      </c>
      <c r="C80">
        <v>1</v>
      </c>
      <c r="E80" t="s">
        <v>469</v>
      </c>
      <c r="F80">
        <v>3</v>
      </c>
    </row>
    <row r="81" spans="2:6" x14ac:dyDescent="0.35">
      <c r="B81" t="str">
        <v>31 Ventures</v>
      </c>
      <c r="C81">
        <v>1</v>
      </c>
      <c r="E81" t="s">
        <v>1507</v>
      </c>
      <c r="F81">
        <v>3</v>
      </c>
    </row>
    <row r="82" spans="2:6" x14ac:dyDescent="0.35">
      <c r="B82" t="str">
        <v>F-Prime Capital</v>
      </c>
      <c r="C82">
        <v>2</v>
      </c>
      <c r="E82" t="s">
        <v>1519</v>
      </c>
      <c r="F82">
        <v>3</v>
      </c>
    </row>
    <row r="83" spans="2:6" x14ac:dyDescent="0.35">
      <c r="B83" t="str">
        <v>Global Brain</v>
      </c>
      <c r="C83">
        <v>2</v>
      </c>
      <c r="E83" t="s">
        <v>1595</v>
      </c>
      <c r="F83">
        <v>3</v>
      </c>
    </row>
    <row r="84" spans="2:6" x14ac:dyDescent="0.35">
      <c r="B84" t="str">
        <v>Mitsui Fudosan</v>
      </c>
      <c r="C84">
        <v>2</v>
      </c>
      <c r="E84" t="s">
        <v>1624</v>
      </c>
      <c r="F84">
        <v>3</v>
      </c>
    </row>
    <row r="85" spans="2:6" x14ac:dyDescent="0.35">
      <c r="B85" t="str">
        <v>NextEra Energy</v>
      </c>
      <c r="C85">
        <v>2</v>
      </c>
      <c r="E85" t="s">
        <v>469</v>
      </c>
      <c r="F85">
        <v>3</v>
      </c>
    </row>
    <row r="86" spans="2:6" x14ac:dyDescent="0.35">
      <c r="B86" t="str">
        <v>Temasek Holdins</v>
      </c>
      <c r="C86">
        <v>1</v>
      </c>
      <c r="E86" t="s">
        <v>1519</v>
      </c>
      <c r="F86">
        <v>3</v>
      </c>
    </row>
    <row r="87" spans="2:6" x14ac:dyDescent="0.35">
      <c r="B87" t="str">
        <v>Acario Innovation</v>
      </c>
      <c r="C87">
        <v>1</v>
      </c>
      <c r="E87" t="s">
        <v>1624</v>
      </c>
      <c r="F87">
        <v>3</v>
      </c>
    </row>
    <row r="88" spans="2:6" x14ac:dyDescent="0.35">
      <c r="B88" t="str">
        <v>MOL Switch</v>
      </c>
      <c r="C88">
        <v>2</v>
      </c>
      <c r="E88" t="s">
        <v>1507</v>
      </c>
      <c r="F88">
        <v>3</v>
      </c>
    </row>
    <row r="89" spans="2:6" x14ac:dyDescent="0.35">
      <c r="B89" t="str">
        <v>Tokyo Gas</v>
      </c>
      <c r="C89">
        <v>1</v>
      </c>
      <c r="E89" t="s">
        <v>1519</v>
      </c>
      <c r="F89">
        <v>3</v>
      </c>
    </row>
    <row r="90" spans="2:6" x14ac:dyDescent="0.35">
      <c r="B90" t="str">
        <v>Brookfield Corporation</v>
      </c>
      <c r="C90">
        <v>1</v>
      </c>
      <c r="E90" t="s">
        <v>1804</v>
      </c>
      <c r="F90">
        <v>3</v>
      </c>
    </row>
    <row r="91" spans="2:6" x14ac:dyDescent="0.35">
      <c r="B91" t="str">
        <v>Broadscale Group</v>
      </c>
      <c r="C91">
        <v>1</v>
      </c>
      <c r="E91" t="s">
        <v>1595</v>
      </c>
      <c r="F91">
        <v>3</v>
      </c>
    </row>
    <row r="92" spans="2:6" x14ac:dyDescent="0.35">
      <c r="B92" t="str">
        <v>Rijn Capital</v>
      </c>
      <c r="C92">
        <v>1</v>
      </c>
      <c r="E92" t="s">
        <v>1905</v>
      </c>
      <c r="F92">
        <v>3</v>
      </c>
    </row>
    <row r="93" spans="2:6" x14ac:dyDescent="0.35">
      <c r="B93" t="str">
        <v>Spring Lane Capital</v>
      </c>
      <c r="C93">
        <v>1</v>
      </c>
      <c r="E93" t="s">
        <v>1595</v>
      </c>
      <c r="F93">
        <v>3</v>
      </c>
    </row>
    <row r="94" spans="2:6" x14ac:dyDescent="0.35">
      <c r="B94" t="str">
        <v>Beresford Ventures</v>
      </c>
      <c r="C94">
        <v>2</v>
      </c>
      <c r="E94" t="s">
        <v>1507</v>
      </c>
      <c r="F94">
        <v>3</v>
      </c>
    </row>
    <row r="95" spans="2:6" x14ac:dyDescent="0.35">
      <c r="B95" t="str">
        <v>Flobas Ventures</v>
      </c>
      <c r="C95">
        <v>1</v>
      </c>
      <c r="E95" t="s">
        <v>1905</v>
      </c>
      <c r="F95">
        <v>3</v>
      </c>
    </row>
    <row r="96" spans="2:6" x14ac:dyDescent="0.35">
      <c r="B96" t="str">
        <v>Icebook Investments</v>
      </c>
      <c r="C96">
        <v>2</v>
      </c>
      <c r="E96" t="s">
        <v>774</v>
      </c>
      <c r="F96">
        <v>3</v>
      </c>
    </row>
    <row r="97" spans="2:6" x14ac:dyDescent="0.35">
      <c r="B97" t="str">
        <v>New World Angels</v>
      </c>
      <c r="C97">
        <v>1</v>
      </c>
      <c r="E97" t="s">
        <v>1804</v>
      </c>
      <c r="F97">
        <v>3</v>
      </c>
    </row>
    <row r="98" spans="2:6" x14ac:dyDescent="0.35">
      <c r="B98" t="str">
        <v>Westlake Ventures</v>
      </c>
      <c r="C98">
        <v>1</v>
      </c>
      <c r="E98" t="s">
        <v>1624</v>
      </c>
      <c r="F98">
        <v>3</v>
      </c>
    </row>
    <row r="99" spans="2:6" x14ac:dyDescent="0.35">
      <c r="B99" t="str">
        <v>Icebook Investments</v>
      </c>
      <c r="C99">
        <v>2</v>
      </c>
      <c r="E99" t="s">
        <v>774</v>
      </c>
      <c r="F99">
        <v>3</v>
      </c>
    </row>
    <row r="100" spans="2:6" x14ac:dyDescent="0.35">
      <c r="B100" t="str">
        <v>Varnadore Financial</v>
      </c>
      <c r="C100">
        <v>1</v>
      </c>
      <c r="E100" t="s">
        <v>1905</v>
      </c>
      <c r="F100">
        <v>3</v>
      </c>
    </row>
    <row r="101" spans="2:6" x14ac:dyDescent="0.35">
      <c r="B101" t="str">
        <v>David Ulevitch</v>
      </c>
      <c r="C101">
        <v>1</v>
      </c>
      <c r="E101" t="s">
        <v>469</v>
      </c>
      <c r="F101">
        <v>3</v>
      </c>
    </row>
    <row r="102" spans="2:6" x14ac:dyDescent="0.35">
      <c r="B102" t="str">
        <v>Incite Ventures</v>
      </c>
      <c r="C102">
        <v>2</v>
      </c>
      <c r="E102" t="s">
        <v>1804</v>
      </c>
      <c r="F102">
        <v>3</v>
      </c>
    </row>
    <row r="103" spans="2:6" x14ac:dyDescent="0.35">
      <c r="B103" t="str">
        <v>James Tamplin</v>
      </c>
      <c r="C103">
        <v>1</v>
      </c>
      <c r="E103" t="s">
        <v>774</v>
      </c>
      <c r="F103">
        <v>3</v>
      </c>
    </row>
    <row r="104" spans="2:6" x14ac:dyDescent="0.35">
      <c r="B104" t="str">
        <v>Lowercarbon Capital</v>
      </c>
      <c r="C104">
        <v>6</v>
      </c>
      <c r="E104" t="s">
        <v>1499</v>
      </c>
      <c r="F104">
        <v>2</v>
      </c>
    </row>
    <row r="105" spans="2:6" x14ac:dyDescent="0.35">
      <c r="B105" t="str">
        <v>Nat Friedman</v>
      </c>
      <c r="C105">
        <v>1</v>
      </c>
      <c r="E105" t="s">
        <v>489</v>
      </c>
      <c r="F105">
        <v>2</v>
      </c>
    </row>
    <row r="106" spans="2:6" x14ac:dyDescent="0.35">
      <c r="B106" t="str">
        <v>Peter Reinhardt</v>
      </c>
      <c r="C106">
        <v>1</v>
      </c>
      <c r="E106" t="s">
        <v>1512</v>
      </c>
      <c r="F106">
        <v>2</v>
      </c>
    </row>
    <row r="107" spans="2:6" x14ac:dyDescent="0.35">
      <c r="B107" t="str">
        <v>Stripe</v>
      </c>
      <c r="C107">
        <v>1</v>
      </c>
      <c r="E107" t="s">
        <v>1514</v>
      </c>
      <c r="F107">
        <v>2</v>
      </c>
    </row>
    <row r="108" spans="2:6" x14ac:dyDescent="0.35">
      <c r="B108" t="str">
        <v>Thomas Mvlnerney</v>
      </c>
      <c r="C108">
        <v>1</v>
      </c>
      <c r="E108" t="s">
        <v>1520</v>
      </c>
      <c r="F108">
        <v>2</v>
      </c>
    </row>
    <row r="109" spans="2:6" x14ac:dyDescent="0.35">
      <c r="B109" t="str">
        <v>Valor Equity Partners</v>
      </c>
      <c r="C109">
        <v>2</v>
      </c>
      <c r="E109" t="s">
        <v>1525</v>
      </c>
      <c r="F109">
        <v>2</v>
      </c>
    </row>
    <row r="110" spans="2:6" x14ac:dyDescent="0.35">
      <c r="B110" t="str">
        <v>Impact Assets</v>
      </c>
      <c r="C110">
        <v>3</v>
      </c>
      <c r="E110" t="s">
        <v>1441</v>
      </c>
      <c r="F110">
        <v>2</v>
      </c>
    </row>
    <row r="111" spans="2:6" x14ac:dyDescent="0.35">
      <c r="B111" t="str">
        <v>PRIME Coalition</v>
      </c>
      <c r="C111">
        <v>2</v>
      </c>
      <c r="E111" t="s">
        <v>1520</v>
      </c>
      <c r="F111">
        <v>2</v>
      </c>
    </row>
    <row r="112" spans="2:6" x14ac:dyDescent="0.35">
      <c r="B112" t="str">
        <v>Seek Ventures</v>
      </c>
      <c r="C112">
        <v>1</v>
      </c>
      <c r="E112" t="s">
        <v>1441</v>
      </c>
      <c r="F112">
        <v>2</v>
      </c>
    </row>
    <row r="113" spans="2:6" x14ac:dyDescent="0.35">
      <c r="B113" t="str">
        <v>Social Impact Capital</v>
      </c>
      <c r="C113">
        <v>2</v>
      </c>
      <c r="E113" t="s">
        <v>1529</v>
      </c>
      <c r="F113">
        <v>2</v>
      </c>
    </row>
    <row r="114" spans="2:6" x14ac:dyDescent="0.35">
      <c r="B114" t="str">
        <v>Cloverlay</v>
      </c>
      <c r="C114">
        <v>1</v>
      </c>
      <c r="E114" t="s">
        <v>1533</v>
      </c>
      <c r="F114">
        <v>2</v>
      </c>
    </row>
    <row r="115" spans="2:6" x14ac:dyDescent="0.35">
      <c r="B115" t="str">
        <v>DBL Partners</v>
      </c>
      <c r="C115">
        <v>2</v>
      </c>
      <c r="E115" t="s">
        <v>1525</v>
      </c>
      <c r="F115">
        <v>2</v>
      </c>
    </row>
    <row r="116" spans="2:6" x14ac:dyDescent="0.35">
      <c r="B116" t="str">
        <v>CPP Investments</v>
      </c>
      <c r="C116">
        <v>1</v>
      </c>
      <c r="E116" t="s">
        <v>1440</v>
      </c>
      <c r="F116">
        <v>2</v>
      </c>
    </row>
    <row r="117" spans="2:6" x14ac:dyDescent="0.35">
      <c r="B117" t="str">
        <v>8090 Industries</v>
      </c>
      <c r="C117">
        <v>1</v>
      </c>
      <c r="E117" t="s">
        <v>1557</v>
      </c>
      <c r="F117">
        <v>2</v>
      </c>
    </row>
    <row r="118" spans="2:6" x14ac:dyDescent="0.35">
      <c r="B118" t="str">
        <v>Avery Dennison</v>
      </c>
      <c r="C118">
        <v>1</v>
      </c>
      <c r="E118" t="s">
        <v>1562</v>
      </c>
      <c r="F118">
        <v>2</v>
      </c>
    </row>
    <row r="119" spans="2:6" x14ac:dyDescent="0.35">
      <c r="B119" t="str">
        <v>Breaktrhough Energy</v>
      </c>
      <c r="C119">
        <v>1</v>
      </c>
      <c r="E119" t="s">
        <v>1569</v>
      </c>
      <c r="F119">
        <v>2</v>
      </c>
    </row>
    <row r="120" spans="2:6" x14ac:dyDescent="0.35">
      <c r="B120" t="str">
        <v>Cerity Partners Ventures</v>
      </c>
      <c r="C120">
        <v>1</v>
      </c>
      <c r="E120" t="s">
        <v>1570</v>
      </c>
      <c r="F120">
        <v>2</v>
      </c>
    </row>
    <row r="121" spans="2:6" x14ac:dyDescent="0.35">
      <c r="B121" t="str">
        <v>Industrial de Diseno Textil</v>
      </c>
      <c r="C121">
        <v>1</v>
      </c>
      <c r="E121" t="s">
        <v>1571</v>
      </c>
      <c r="F121">
        <v>2</v>
      </c>
    </row>
    <row r="122" spans="2:6" x14ac:dyDescent="0.35">
      <c r="B122" t="str">
        <v>Lansdowne Partners</v>
      </c>
      <c r="C122">
        <v>1</v>
      </c>
      <c r="E122" t="s">
        <v>1430</v>
      </c>
      <c r="F122">
        <v>2</v>
      </c>
    </row>
    <row r="123" spans="2:6" x14ac:dyDescent="0.35">
      <c r="B123" t="str">
        <v>Milliken &amp; Company</v>
      </c>
      <c r="C123">
        <v>1</v>
      </c>
      <c r="E123" t="s">
        <v>1529</v>
      </c>
      <c r="F123">
        <v>2</v>
      </c>
    </row>
    <row r="124" spans="2:6" x14ac:dyDescent="0.35">
      <c r="B124" t="str">
        <v>Pandion Innovation for Impact</v>
      </c>
      <c r="C124">
        <v>1</v>
      </c>
      <c r="E124" t="s">
        <v>1581</v>
      </c>
      <c r="F124">
        <v>2</v>
      </c>
    </row>
    <row r="125" spans="2:6" x14ac:dyDescent="0.35">
      <c r="B125" t="str">
        <v>Plug &amp; Play Tech Center</v>
      </c>
      <c r="C125">
        <v>2</v>
      </c>
      <c r="E125" t="s">
        <v>570</v>
      </c>
      <c r="F125">
        <v>2</v>
      </c>
    </row>
    <row r="126" spans="2:6" x14ac:dyDescent="0.35">
      <c r="B126" t="str">
        <v>Temasek Holdings</v>
      </c>
      <c r="C126">
        <v>8</v>
      </c>
      <c r="E126" t="s">
        <v>570</v>
      </c>
      <c r="F126">
        <v>2</v>
      </c>
    </row>
    <row r="127" spans="2:6" x14ac:dyDescent="0.35">
      <c r="B127" t="str">
        <v>Vodia Capital</v>
      </c>
      <c r="C127">
        <v>1</v>
      </c>
      <c r="E127" t="s">
        <v>1587</v>
      </c>
      <c r="F127">
        <v>2</v>
      </c>
    </row>
    <row r="128" spans="2:6" x14ac:dyDescent="0.35">
      <c r="B128" t="str">
        <v>Youngone</v>
      </c>
      <c r="C128">
        <v>1</v>
      </c>
      <c r="E128" t="s">
        <v>1594</v>
      </c>
      <c r="F128">
        <v>2</v>
      </c>
    </row>
    <row r="129" spans="2:6" x14ac:dyDescent="0.35">
      <c r="B129" t="str">
        <v>Zalando</v>
      </c>
      <c r="C129">
        <v>1</v>
      </c>
      <c r="E129" t="s">
        <v>785</v>
      </c>
      <c r="F129">
        <v>2</v>
      </c>
    </row>
    <row r="130" spans="2:6" x14ac:dyDescent="0.35">
      <c r="B130" t="str">
        <v>Homecoming Capital</v>
      </c>
      <c r="C130">
        <v>1</v>
      </c>
      <c r="E130" t="s">
        <v>1597</v>
      </c>
      <c r="F130">
        <v>2</v>
      </c>
    </row>
    <row r="131" spans="2:6" x14ac:dyDescent="0.35">
      <c r="B131" t="str">
        <v>BPH Energy</v>
      </c>
      <c r="C131">
        <v>1</v>
      </c>
      <c r="E131" t="s">
        <v>1599</v>
      </c>
      <c r="F131">
        <v>2</v>
      </c>
    </row>
    <row r="132" spans="2:6" x14ac:dyDescent="0.35">
      <c r="B132" t="str">
        <v>0</v>
      </c>
      <c r="C132">
        <v>40</v>
      </c>
      <c r="E132" t="s">
        <v>1616</v>
      </c>
      <c r="F132">
        <v>2</v>
      </c>
    </row>
    <row r="133" spans="2:6" x14ac:dyDescent="0.35">
      <c r="B133" t="str">
        <v>Greenbacker Capital Management</v>
      </c>
      <c r="C133">
        <v>2</v>
      </c>
      <c r="E133" t="s">
        <v>484</v>
      </c>
      <c r="F133">
        <v>2</v>
      </c>
    </row>
    <row r="134" spans="2:6" x14ac:dyDescent="0.35">
      <c r="B134" t="str">
        <v>Castlelake</v>
      </c>
      <c r="C134">
        <v>1</v>
      </c>
      <c r="E134" t="s">
        <v>1638</v>
      </c>
      <c r="F134">
        <v>2</v>
      </c>
    </row>
    <row r="135" spans="2:6" x14ac:dyDescent="0.35">
      <c r="B135" t="str">
        <v>Artfo Holdings</v>
      </c>
      <c r="C135">
        <v>1</v>
      </c>
      <c r="E135" t="s">
        <v>1571</v>
      </c>
      <c r="F135">
        <v>2</v>
      </c>
    </row>
    <row r="136" spans="2:6" x14ac:dyDescent="0.35">
      <c r="B136" t="str">
        <v>Beni Venture Capital</v>
      </c>
      <c r="C136">
        <v>3</v>
      </c>
      <c r="E136" t="s">
        <v>1570</v>
      </c>
      <c r="F136">
        <v>2</v>
      </c>
    </row>
    <row r="137" spans="2:6" x14ac:dyDescent="0.35">
      <c r="B137" t="str">
        <v>Devonshire Investors</v>
      </c>
      <c r="C137">
        <v>1</v>
      </c>
      <c r="E137" t="s">
        <v>1657</v>
      </c>
      <c r="F137">
        <v>2</v>
      </c>
    </row>
    <row r="138" spans="2:6" x14ac:dyDescent="0.35">
      <c r="B138" t="str">
        <v>Equinor Venturses</v>
      </c>
      <c r="C138">
        <v>1</v>
      </c>
      <c r="E138" t="s">
        <v>508</v>
      </c>
      <c r="F138">
        <v>2</v>
      </c>
    </row>
    <row r="139" spans="2:6" x14ac:dyDescent="0.35">
      <c r="B139" t="str">
        <v>Futures Ventures</v>
      </c>
      <c r="C139">
        <v>1</v>
      </c>
      <c r="E139" t="s">
        <v>1512</v>
      </c>
      <c r="F139">
        <v>2</v>
      </c>
    </row>
    <row r="140" spans="2:6" x14ac:dyDescent="0.35">
      <c r="B140" t="str">
        <v>Hostplus Superannuation Fund</v>
      </c>
      <c r="C140">
        <v>1</v>
      </c>
      <c r="E140" t="s">
        <v>1444</v>
      </c>
      <c r="F140">
        <v>2</v>
      </c>
    </row>
    <row r="141" spans="2:6" x14ac:dyDescent="0.35">
      <c r="B141" t="str">
        <v>Lowercarbon Capital</v>
      </c>
      <c r="C141">
        <v>6</v>
      </c>
      <c r="E141" t="s">
        <v>1691</v>
      </c>
      <c r="F141">
        <v>2</v>
      </c>
    </row>
    <row r="142" spans="2:6" x14ac:dyDescent="0.35">
      <c r="B142" t="str">
        <v>Moore Strategic Ventures</v>
      </c>
      <c r="C142">
        <v>1</v>
      </c>
      <c r="E142" t="s">
        <v>1594</v>
      </c>
      <c r="F142">
        <v>2</v>
      </c>
    </row>
    <row r="143" spans="2:6" x14ac:dyDescent="0.35">
      <c r="B143" t="str">
        <v>Prime Movers Lab</v>
      </c>
      <c r="C143">
        <v>1</v>
      </c>
      <c r="E143" t="s">
        <v>1581</v>
      </c>
      <c r="F143">
        <v>2</v>
      </c>
    </row>
    <row r="144" spans="2:6" x14ac:dyDescent="0.35">
      <c r="B144" t="str">
        <v>Safar Partners</v>
      </c>
      <c r="C144">
        <v>3</v>
      </c>
      <c r="E144" t="s">
        <v>1697</v>
      </c>
      <c r="F144">
        <v>2</v>
      </c>
    </row>
    <row r="145" spans="2:6" x14ac:dyDescent="0.35">
      <c r="B145" t="str">
        <v>Temasek Holdings</v>
      </c>
      <c r="C145">
        <v>8</v>
      </c>
      <c r="E145" t="s">
        <v>1707</v>
      </c>
      <c r="F145">
        <v>2</v>
      </c>
    </row>
    <row r="146" spans="2:6" x14ac:dyDescent="0.35">
      <c r="B146" t="str">
        <v>Yild Capital Partners</v>
      </c>
      <c r="C146">
        <v>1</v>
      </c>
      <c r="E146" t="s">
        <v>1709</v>
      </c>
      <c r="F146">
        <v>2</v>
      </c>
    </row>
    <row r="147" spans="2:6" x14ac:dyDescent="0.35">
      <c r="B147" t="str">
        <v>31Ventures</v>
      </c>
      <c r="C147">
        <v>1</v>
      </c>
      <c r="E147" t="s">
        <v>785</v>
      </c>
      <c r="F147">
        <v>2</v>
      </c>
    </row>
    <row r="148" spans="2:6" x14ac:dyDescent="0.35">
      <c r="B148" t="str">
        <v>Brevan Howard Macro Venture Fund</v>
      </c>
      <c r="C148">
        <v>1</v>
      </c>
      <c r="E148" t="s">
        <v>1714</v>
      </c>
      <c r="F148">
        <v>2</v>
      </c>
    </row>
    <row r="149" spans="2:6" x14ac:dyDescent="0.35">
      <c r="B149" t="str">
        <v>Eni Next, FFA Private Bank Dubai, NTT Docomo Ventures</v>
      </c>
      <c r="C149">
        <v>1</v>
      </c>
      <c r="E149" t="s">
        <v>1722</v>
      </c>
      <c r="F149">
        <v>2</v>
      </c>
    </row>
    <row r="150" spans="2:6" x14ac:dyDescent="0.35">
      <c r="B150" t="str">
        <v>Mitsui &amp; Company</v>
      </c>
      <c r="C150">
        <v>3</v>
      </c>
      <c r="E150" t="s">
        <v>1410</v>
      </c>
      <c r="F150">
        <v>2</v>
      </c>
    </row>
    <row r="151" spans="2:6" x14ac:dyDescent="0.35">
      <c r="B151" t="str">
        <v>Mitsubishi Corporation Urban Development</v>
      </c>
      <c r="C151">
        <v>1</v>
      </c>
      <c r="E151" t="s">
        <v>1562</v>
      </c>
      <c r="F151">
        <v>2</v>
      </c>
    </row>
    <row r="152" spans="2:6" x14ac:dyDescent="0.35">
      <c r="B152" t="str">
        <v>Development Bank of Japan</v>
      </c>
      <c r="C152">
        <v>2</v>
      </c>
      <c r="E152" t="s">
        <v>1745</v>
      </c>
      <c r="F152">
        <v>2</v>
      </c>
    </row>
    <row r="153" spans="2:6" x14ac:dyDescent="0.35">
      <c r="B153" t="str">
        <v>Fujikura</v>
      </c>
      <c r="C153">
        <v>1</v>
      </c>
      <c r="E153" t="s">
        <v>1750</v>
      </c>
      <c r="F153">
        <v>2</v>
      </c>
    </row>
    <row r="154" spans="2:6" x14ac:dyDescent="0.35">
      <c r="B154" t="str">
        <v>Jera</v>
      </c>
      <c r="C154">
        <v>1</v>
      </c>
      <c r="E154" t="s">
        <v>1755</v>
      </c>
      <c r="F154">
        <v>2</v>
      </c>
    </row>
    <row r="155" spans="2:6" x14ac:dyDescent="0.35">
      <c r="B155" t="str">
        <v>NVentures</v>
      </c>
      <c r="C155">
        <v>1</v>
      </c>
      <c r="E155" t="s">
        <v>1762</v>
      </c>
      <c r="F155">
        <v>2</v>
      </c>
    </row>
    <row r="156" spans="2:6" x14ac:dyDescent="0.35">
      <c r="B156" t="str">
        <v>Mitsui Fudosan</v>
      </c>
      <c r="C156">
        <v>2</v>
      </c>
      <c r="E156" t="s">
        <v>489</v>
      </c>
      <c r="F156">
        <v>2</v>
      </c>
    </row>
    <row r="157" spans="2:6" x14ac:dyDescent="0.35">
      <c r="B157" t="str">
        <v>Nvidia</v>
      </c>
      <c r="C157">
        <v>1</v>
      </c>
      <c r="E157" t="s">
        <v>1444</v>
      </c>
      <c r="F157">
        <v>2</v>
      </c>
    </row>
    <row r="158" spans="2:6" x14ac:dyDescent="0.35">
      <c r="B158" t="str">
        <v>Mitsui O.S.K. Lines</v>
      </c>
      <c r="C158">
        <v>1</v>
      </c>
      <c r="E158" t="s">
        <v>1638</v>
      </c>
      <c r="F158">
        <v>2</v>
      </c>
    </row>
    <row r="159" spans="2:6" x14ac:dyDescent="0.35">
      <c r="B159" t="str">
        <v>Kansai Electric Power</v>
      </c>
      <c r="C159">
        <v>1</v>
      </c>
      <c r="E159" t="s">
        <v>1714</v>
      </c>
      <c r="F159">
        <v>2</v>
      </c>
    </row>
    <row r="160" spans="2:6" x14ac:dyDescent="0.35">
      <c r="B160" t="str">
        <v>K4 Ventures</v>
      </c>
      <c r="C160">
        <v>1</v>
      </c>
      <c r="E160" t="s">
        <v>1803</v>
      </c>
      <c r="F160">
        <v>2</v>
      </c>
    </row>
    <row r="161" spans="2:6" x14ac:dyDescent="0.35">
      <c r="B161" t="str">
        <v>Woori Financial Group</v>
      </c>
      <c r="C161">
        <v>1</v>
      </c>
      <c r="E161" t="s">
        <v>1860</v>
      </c>
      <c r="F161">
        <v>2</v>
      </c>
    </row>
    <row r="162" spans="2:6" x14ac:dyDescent="0.35">
      <c r="B162" t="str">
        <v>NTT QONOQ</v>
      </c>
      <c r="C162">
        <v>1</v>
      </c>
      <c r="E162" t="s">
        <v>1864</v>
      </c>
      <c r="F162">
        <v>2</v>
      </c>
    </row>
    <row r="163" spans="2:6" x14ac:dyDescent="0.35">
      <c r="B163" t="str">
        <v>Planet First Partners</v>
      </c>
      <c r="C163">
        <v>1</v>
      </c>
      <c r="E163" t="s">
        <v>1587</v>
      </c>
      <c r="F163">
        <v>2</v>
      </c>
    </row>
    <row r="164" spans="2:6" x14ac:dyDescent="0.35">
      <c r="B164" t="str">
        <v>HOF Capital</v>
      </c>
      <c r="C164">
        <v>1</v>
      </c>
      <c r="E164" t="s">
        <v>1597</v>
      </c>
      <c r="F164">
        <v>2</v>
      </c>
    </row>
    <row r="165" spans="2:6" x14ac:dyDescent="0.35">
      <c r="B165" t="str">
        <v>Evolution VC Partners</v>
      </c>
      <c r="C165">
        <v>1</v>
      </c>
      <c r="E165" t="s">
        <v>1877</v>
      </c>
      <c r="F165">
        <v>2</v>
      </c>
    </row>
    <row r="166" spans="2:6" x14ac:dyDescent="0.35">
      <c r="B166" t="str">
        <v>Standish Spring Investments</v>
      </c>
      <c r="C166">
        <v>1</v>
      </c>
      <c r="E166" t="s">
        <v>1878</v>
      </c>
      <c r="F166">
        <v>2</v>
      </c>
    </row>
    <row r="167" spans="2:6" x14ac:dyDescent="0.35">
      <c r="B167" t="str">
        <v>Global Brain</v>
      </c>
      <c r="C167">
        <v>2</v>
      </c>
      <c r="E167" t="s">
        <v>1879</v>
      </c>
      <c r="F167">
        <v>2</v>
      </c>
    </row>
    <row r="168" spans="2:6" x14ac:dyDescent="0.35">
      <c r="B168" t="str">
        <v>Galaxy Interactive</v>
      </c>
      <c r="C168">
        <v>1</v>
      </c>
      <c r="E168" t="s">
        <v>783</v>
      </c>
      <c r="F168">
        <v>2</v>
      </c>
    </row>
    <row r="169" spans="2:6" x14ac:dyDescent="0.35">
      <c r="B169" t="str">
        <v>Gates Frontier</v>
      </c>
      <c r="C169">
        <v>2</v>
      </c>
      <c r="E169" t="s">
        <v>1901</v>
      </c>
      <c r="F169">
        <v>2</v>
      </c>
    </row>
    <row r="170" spans="2:6" x14ac:dyDescent="0.35">
      <c r="B170" t="str">
        <v>Stanley F. Druckenmiller</v>
      </c>
      <c r="C170">
        <v>1</v>
      </c>
      <c r="E170" t="s">
        <v>1901</v>
      </c>
      <c r="F170">
        <v>2</v>
      </c>
    </row>
    <row r="171" spans="2:6" x14ac:dyDescent="0.35">
      <c r="B171" t="str">
        <v>Eric Schmidt</v>
      </c>
      <c r="C171">
        <v>1</v>
      </c>
      <c r="E171" t="s">
        <v>1889</v>
      </c>
      <c r="F171">
        <v>2</v>
      </c>
    </row>
    <row r="172" spans="2:6" x14ac:dyDescent="0.35">
      <c r="B172" t="str">
        <v>Sumitomo Mitsui Trust Bank</v>
      </c>
      <c r="C172">
        <v>1</v>
      </c>
      <c r="E172" t="s">
        <v>1886</v>
      </c>
      <c r="F172">
        <v>2</v>
      </c>
    </row>
    <row r="173" spans="2:6" x14ac:dyDescent="0.35">
      <c r="B173" t="str">
        <v>Sumitomo Mitsui Banking</v>
      </c>
      <c r="C173">
        <v>1</v>
      </c>
      <c r="E173" t="s">
        <v>1762</v>
      </c>
      <c r="F173">
        <v>2</v>
      </c>
    </row>
    <row r="174" spans="2:6" x14ac:dyDescent="0.35">
      <c r="B174" t="str">
        <v>JGC Holdings</v>
      </c>
      <c r="C174">
        <v>1</v>
      </c>
      <c r="E174" t="s">
        <v>503</v>
      </c>
      <c r="F174">
        <v>2</v>
      </c>
    </row>
    <row r="175" spans="2:6" x14ac:dyDescent="0.35">
      <c r="B175" t="str">
        <v>Brightwing Capital</v>
      </c>
      <c r="C175">
        <v>1</v>
      </c>
      <c r="E175" t="s">
        <v>1946</v>
      </c>
      <c r="F175">
        <v>2</v>
      </c>
    </row>
    <row r="176" spans="2:6" x14ac:dyDescent="0.35">
      <c r="B176" t="str">
        <v>One Madison Group</v>
      </c>
      <c r="C176">
        <v>1</v>
      </c>
      <c r="E176" t="s">
        <v>1825</v>
      </c>
      <c r="F176">
        <v>2</v>
      </c>
    </row>
    <row r="177" spans="2:6" x14ac:dyDescent="0.35">
      <c r="B177" t="str">
        <v>Ripple Impact Investments</v>
      </c>
      <c r="C177">
        <v>1</v>
      </c>
      <c r="E177" t="s">
        <v>1657</v>
      </c>
      <c r="F177">
        <v>2</v>
      </c>
    </row>
    <row r="178" spans="2:6" x14ac:dyDescent="0.35">
      <c r="B178" t="str">
        <v>Doorga Capital</v>
      </c>
      <c r="C178">
        <v>1</v>
      </c>
      <c r="E178" t="s">
        <v>1430</v>
      </c>
      <c r="F178">
        <v>2</v>
      </c>
    </row>
    <row r="179" spans="2:6" x14ac:dyDescent="0.35">
      <c r="B179" t="str">
        <v>Counterpoint Global</v>
      </c>
      <c r="C179">
        <v>1</v>
      </c>
      <c r="E179" t="s">
        <v>1722</v>
      </c>
      <c r="F179">
        <v>2</v>
      </c>
    </row>
    <row r="180" spans="2:6" x14ac:dyDescent="0.35">
      <c r="B180" t="str">
        <v>Catalus Capital Management (Saif Qazi)</v>
      </c>
      <c r="C180">
        <v>1</v>
      </c>
      <c r="E180" t="s">
        <v>1953</v>
      </c>
      <c r="F180">
        <v>2</v>
      </c>
    </row>
    <row r="181" spans="2:6" x14ac:dyDescent="0.35">
      <c r="B181" t="str">
        <v>Plug and Play Tech Center</v>
      </c>
      <c r="C181">
        <v>2</v>
      </c>
      <c r="E181" t="s">
        <v>1889</v>
      </c>
      <c r="F181">
        <v>2</v>
      </c>
    </row>
    <row r="182" spans="2:6" x14ac:dyDescent="0.35">
      <c r="B182" t="str">
        <v>Highland Ventures Group</v>
      </c>
      <c r="C182">
        <v>1</v>
      </c>
      <c r="E182" t="s">
        <v>1616</v>
      </c>
      <c r="F182">
        <v>2</v>
      </c>
    </row>
    <row r="183" spans="2:6" x14ac:dyDescent="0.35">
      <c r="B183" t="str">
        <v>Catchlight Ventures</v>
      </c>
      <c r="C183">
        <v>1</v>
      </c>
      <c r="E183" t="s">
        <v>783</v>
      </c>
      <c r="F183">
        <v>2</v>
      </c>
    </row>
    <row r="184" spans="2:6" x14ac:dyDescent="0.35">
      <c r="B184" t="str">
        <v>David Stark</v>
      </c>
      <c r="C184">
        <v>1</v>
      </c>
      <c r="E184" t="s">
        <v>1425</v>
      </c>
      <c r="F184">
        <v>2</v>
      </c>
    </row>
    <row r="185" spans="2:6" x14ac:dyDescent="0.35">
      <c r="B185" t="str">
        <v>HiJoJo Partners</v>
      </c>
      <c r="C185">
        <v>1</v>
      </c>
      <c r="E185" t="s">
        <v>1745</v>
      </c>
      <c r="F185">
        <v>2</v>
      </c>
    </row>
    <row r="186" spans="2:6" x14ac:dyDescent="0.35">
      <c r="B186" t="str">
        <v>Michael Sachse</v>
      </c>
      <c r="C186">
        <v>1</v>
      </c>
      <c r="E186" t="s">
        <v>1976</v>
      </c>
      <c r="F186">
        <v>2</v>
      </c>
    </row>
    <row r="187" spans="2:6" x14ac:dyDescent="0.35">
      <c r="B187" t="str">
        <v>NGP Energy Capital Management</v>
      </c>
      <c r="C187">
        <v>2</v>
      </c>
      <c r="E187" t="s">
        <v>484</v>
      </c>
      <c r="F187">
        <v>2</v>
      </c>
    </row>
    <row r="188" spans="2:6" x14ac:dyDescent="0.35">
      <c r="B188" t="str">
        <v>NGP Energy Technology Partners</v>
      </c>
      <c r="C188">
        <v>1</v>
      </c>
      <c r="E188" t="s">
        <v>2001</v>
      </c>
      <c r="F188">
        <v>2</v>
      </c>
    </row>
    <row r="189" spans="2:6" x14ac:dyDescent="0.35">
      <c r="B189" t="str">
        <v>OurCrowd</v>
      </c>
      <c r="C189">
        <v>1</v>
      </c>
      <c r="E189" t="s">
        <v>698</v>
      </c>
      <c r="F189">
        <v>2</v>
      </c>
    </row>
    <row r="190" spans="2:6" x14ac:dyDescent="0.35">
      <c r="B190" t="str">
        <v>Sam Landman</v>
      </c>
      <c r="C190">
        <v>1</v>
      </c>
      <c r="E190" t="s">
        <v>2022</v>
      </c>
      <c r="F190">
        <v>2</v>
      </c>
    </row>
    <row r="191" spans="2:6" x14ac:dyDescent="0.35">
      <c r="B191" t="str">
        <v>Tim Krebs</v>
      </c>
      <c r="C191">
        <v>1</v>
      </c>
      <c r="E191" t="s">
        <v>1697</v>
      </c>
      <c r="F191">
        <v>2</v>
      </c>
    </row>
    <row r="192" spans="2:6" x14ac:dyDescent="0.35">
      <c r="B192" t="str">
        <v>Travis Connors</v>
      </c>
      <c r="C192">
        <v>1</v>
      </c>
      <c r="E192" t="s">
        <v>2022</v>
      </c>
      <c r="F192">
        <v>2</v>
      </c>
    </row>
    <row r="193" spans="2:6" x14ac:dyDescent="0.35">
      <c r="B193" t="str">
        <v>Salutem Capital</v>
      </c>
      <c r="C193">
        <v>1</v>
      </c>
      <c r="E193" t="s">
        <v>2039</v>
      </c>
      <c r="F193">
        <v>2</v>
      </c>
    </row>
    <row r="194" spans="2:6" x14ac:dyDescent="0.35">
      <c r="B194" t="str">
        <v>Beni Venture Capital</v>
      </c>
      <c r="C194">
        <v>3</v>
      </c>
      <c r="E194" t="s">
        <v>1946</v>
      </c>
      <c r="F194">
        <v>2</v>
      </c>
    </row>
    <row r="195" spans="2:6" x14ac:dyDescent="0.35">
      <c r="B195" t="str">
        <v>Demos Capital</v>
      </c>
      <c r="C195">
        <v>1</v>
      </c>
      <c r="E195" t="s">
        <v>2044</v>
      </c>
      <c r="F195">
        <v>2</v>
      </c>
    </row>
    <row r="196" spans="2:6" x14ac:dyDescent="0.35">
      <c r="B196" t="str">
        <v>Ithaca Area Economic Development</v>
      </c>
      <c r="C196">
        <v>1</v>
      </c>
      <c r="E196" t="s">
        <v>1709</v>
      </c>
      <c r="F196">
        <v>2</v>
      </c>
    </row>
    <row r="197" spans="2:6" x14ac:dyDescent="0.35">
      <c r="B197" t="str">
        <v>New Climate Ventures</v>
      </c>
      <c r="C197">
        <v>1</v>
      </c>
      <c r="E197" t="s">
        <v>1533</v>
      </c>
      <c r="F197">
        <v>2</v>
      </c>
    </row>
    <row r="198" spans="2:6" x14ac:dyDescent="0.35">
      <c r="B198" t="str">
        <v>United Airlines Ventures</v>
      </c>
      <c r="C198">
        <v>2</v>
      </c>
      <c r="E198" t="s">
        <v>2039</v>
      </c>
      <c r="F198">
        <v>2</v>
      </c>
    </row>
    <row r="199" spans="2:6" x14ac:dyDescent="0.35">
      <c r="B199" t="str">
        <v>Bacchus Venture Capital</v>
      </c>
      <c r="C199">
        <v>1</v>
      </c>
      <c r="E199" t="s">
        <v>1419</v>
      </c>
      <c r="F199">
        <v>2</v>
      </c>
    </row>
    <row r="200" spans="2:6" x14ac:dyDescent="0.35">
      <c r="B200" t="str">
        <v>Constellation Technology Ventures</v>
      </c>
      <c r="C200">
        <v>2</v>
      </c>
      <c r="E200" t="s">
        <v>1499</v>
      </c>
      <c r="F200">
        <v>2</v>
      </c>
    </row>
    <row r="201" spans="2:6" x14ac:dyDescent="0.35">
      <c r="B201" t="str">
        <v>Halliburton Labs</v>
      </c>
      <c r="C201">
        <v>1</v>
      </c>
      <c r="E201" t="s">
        <v>1860</v>
      </c>
      <c r="F201">
        <v>2</v>
      </c>
    </row>
    <row r="202" spans="2:6" x14ac:dyDescent="0.35">
      <c r="B202" t="str">
        <v>The Think &amp; Act Differently</v>
      </c>
      <c r="C202">
        <v>1</v>
      </c>
      <c r="E202" t="s">
        <v>2062</v>
      </c>
      <c r="F202">
        <v>2</v>
      </c>
    </row>
    <row r="203" spans="2:6" x14ac:dyDescent="0.35">
      <c r="B203" t="str">
        <v>Valor Equity Partners</v>
      </c>
      <c r="C203">
        <v>2</v>
      </c>
      <c r="E203" t="s">
        <v>2062</v>
      </c>
      <c r="F203">
        <v>2</v>
      </c>
    </row>
    <row r="204" spans="2:6" x14ac:dyDescent="0.35">
      <c r="B204" t="str">
        <v>Veriten</v>
      </c>
      <c r="C204">
        <v>1</v>
      </c>
      <c r="E204" t="s">
        <v>1419</v>
      </c>
      <c r="F204">
        <v>2</v>
      </c>
    </row>
    <row r="205" spans="2:6" x14ac:dyDescent="0.35">
      <c r="B205" t="str">
        <v>Clair-vest Group</v>
      </c>
      <c r="C205">
        <v>1</v>
      </c>
      <c r="E205" t="s">
        <v>1750</v>
      </c>
      <c r="F205">
        <v>2</v>
      </c>
    </row>
    <row r="206" spans="2:6" x14ac:dyDescent="0.35">
      <c r="B206" t="str">
        <v>Beresford Ventures</v>
      </c>
      <c r="C206">
        <v>2</v>
      </c>
      <c r="E206" t="s">
        <v>2071</v>
      </c>
      <c r="F206">
        <v>2</v>
      </c>
    </row>
    <row r="207" spans="2:6" x14ac:dyDescent="0.35">
      <c r="B207" t="str">
        <v>Ecosphere Ventures</v>
      </c>
      <c r="C207">
        <v>2</v>
      </c>
      <c r="E207" t="s">
        <v>1440</v>
      </c>
      <c r="F207">
        <v>2</v>
      </c>
    </row>
    <row r="208" spans="2:6" x14ac:dyDescent="0.35">
      <c r="B208" t="str">
        <v>Globalive Capital</v>
      </c>
      <c r="C208">
        <v>1</v>
      </c>
      <c r="E208" t="s">
        <v>1557</v>
      </c>
      <c r="F208">
        <v>2</v>
      </c>
    </row>
    <row r="209" spans="2:6" x14ac:dyDescent="0.35">
      <c r="B209" t="str">
        <v>Murchison Capital Partners</v>
      </c>
      <c r="C209">
        <v>1</v>
      </c>
      <c r="E209" t="s">
        <v>1953</v>
      </c>
      <c r="F209">
        <v>2</v>
      </c>
    </row>
    <row r="210" spans="2:6" x14ac:dyDescent="0.35">
      <c r="B210" t="str">
        <v>Murchison Ventures</v>
      </c>
      <c r="C210">
        <v>1</v>
      </c>
      <c r="E210" t="s">
        <v>698</v>
      </c>
      <c r="F210">
        <v>2</v>
      </c>
    </row>
    <row r="211" spans="2:6" x14ac:dyDescent="0.35">
      <c r="B211" t="str">
        <v>Threshold Impact</v>
      </c>
      <c r="C211">
        <v>1</v>
      </c>
      <c r="E211" t="s">
        <v>503</v>
      </c>
      <c r="F211">
        <v>2</v>
      </c>
    </row>
    <row r="212" spans="2:6" x14ac:dyDescent="0.35">
      <c r="B212" t="str">
        <v>William Tunstall-Pedoe</v>
      </c>
      <c r="C212">
        <v>1</v>
      </c>
      <c r="E212" t="s">
        <v>1514</v>
      </c>
      <c r="F212">
        <v>2</v>
      </c>
    </row>
    <row r="213" spans="2:6" x14ac:dyDescent="0.35">
      <c r="B213" t="str">
        <v>EDC Investments</v>
      </c>
      <c r="C213">
        <v>1</v>
      </c>
      <c r="E213" t="s">
        <v>2103</v>
      </c>
      <c r="F213">
        <v>2</v>
      </c>
    </row>
    <row r="214" spans="2:6" x14ac:dyDescent="0.35">
      <c r="B214" t="str">
        <v>Evok Innovations</v>
      </c>
      <c r="C214">
        <v>1</v>
      </c>
      <c r="E214" t="s">
        <v>1691</v>
      </c>
      <c r="F214">
        <v>2</v>
      </c>
    </row>
    <row r="215" spans="2:6" x14ac:dyDescent="0.35">
      <c r="B215" t="str">
        <v>Graphite Ventures</v>
      </c>
      <c r="C215">
        <v>1</v>
      </c>
      <c r="E215" t="s">
        <v>1410</v>
      </c>
      <c r="F215">
        <v>2</v>
      </c>
    </row>
    <row r="216" spans="2:6" x14ac:dyDescent="0.35">
      <c r="B216" t="str">
        <v>Mitsubishi Heavy Industries</v>
      </c>
      <c r="C216">
        <v>1</v>
      </c>
      <c r="E216" t="s">
        <v>1707</v>
      </c>
      <c r="F216">
        <v>2</v>
      </c>
    </row>
    <row r="217" spans="2:6" x14ac:dyDescent="0.35">
      <c r="B217" t="str">
        <v>Ultratech Capital Partners</v>
      </c>
      <c r="C217">
        <v>1</v>
      </c>
      <c r="E217" t="s">
        <v>1651</v>
      </c>
      <c r="F217">
        <v>2</v>
      </c>
    </row>
    <row r="218" spans="2:6" x14ac:dyDescent="0.35">
      <c r="B218" t="str">
        <v>Green Reach</v>
      </c>
      <c r="C218">
        <v>1</v>
      </c>
      <c r="E218" t="s">
        <v>1755</v>
      </c>
      <c r="F218">
        <v>2</v>
      </c>
    </row>
    <row r="219" spans="2:6" x14ac:dyDescent="0.35">
      <c r="B219" t="str">
        <v>Chan Zuckerberg Initiative</v>
      </c>
      <c r="C219">
        <v>1</v>
      </c>
      <c r="E219" t="s">
        <v>1976</v>
      </c>
      <c r="F219">
        <v>2</v>
      </c>
    </row>
    <row r="220" spans="2:6" x14ac:dyDescent="0.35">
      <c r="B220" t="str">
        <v>Cisco Foundation</v>
      </c>
      <c r="C220">
        <v>2</v>
      </c>
      <c r="E220" t="s">
        <v>508</v>
      </c>
      <c r="F220">
        <v>2</v>
      </c>
    </row>
    <row r="221" spans="2:6" x14ac:dyDescent="0.35">
      <c r="B221" t="str">
        <v>Course Correction Capital</v>
      </c>
      <c r="C221">
        <v>2</v>
      </c>
      <c r="E221" t="s">
        <v>2071</v>
      </c>
      <c r="F221">
        <v>2</v>
      </c>
    </row>
    <row r="222" spans="2:6" x14ac:dyDescent="0.35">
      <c r="B222" t="str">
        <v>Elemental Impact</v>
      </c>
      <c r="C222">
        <v>1</v>
      </c>
      <c r="E222" t="s">
        <v>1651</v>
      </c>
      <c r="F222">
        <v>2</v>
      </c>
    </row>
    <row r="223" spans="2:6" x14ac:dyDescent="0.35">
      <c r="B223" t="str">
        <v>PRIME Coalition</v>
      </c>
      <c r="C223">
        <v>2</v>
      </c>
      <c r="E223" t="s">
        <v>1877</v>
      </c>
      <c r="F223">
        <v>2</v>
      </c>
    </row>
    <row r="224" spans="2:6" x14ac:dyDescent="0.35">
      <c r="B224" t="str">
        <v>Propeller</v>
      </c>
      <c r="C224">
        <v>1</v>
      </c>
      <c r="E224" t="s">
        <v>2044</v>
      </c>
      <c r="F224">
        <v>2</v>
      </c>
    </row>
    <row r="225" spans="2:6" x14ac:dyDescent="0.35">
      <c r="B225" t="str">
        <v>The Grantham Foundation</v>
      </c>
      <c r="C225">
        <v>2</v>
      </c>
      <c r="E225" t="s">
        <v>2202</v>
      </c>
      <c r="F225">
        <v>2</v>
      </c>
    </row>
    <row r="226" spans="2:6" x14ac:dyDescent="0.35">
      <c r="B226" t="str">
        <v>0</v>
      </c>
      <c r="C226">
        <v>40</v>
      </c>
      <c r="E226" t="s">
        <v>2202</v>
      </c>
      <c r="F226">
        <v>2</v>
      </c>
    </row>
    <row r="227" spans="2:6" x14ac:dyDescent="0.35">
      <c r="B227" t="str">
        <v>Borun Capital (Xiamen)</v>
      </c>
      <c r="C227">
        <v>1</v>
      </c>
      <c r="E227" t="s">
        <v>1864</v>
      </c>
      <c r="F227">
        <v>2</v>
      </c>
    </row>
    <row r="228" spans="2:6" x14ac:dyDescent="0.35">
      <c r="B228" t="str">
        <v>BR Capital</v>
      </c>
      <c r="C228">
        <v>1</v>
      </c>
      <c r="E228" t="s">
        <v>2208</v>
      </c>
      <c r="F228">
        <v>2</v>
      </c>
    </row>
    <row r="229" spans="2:6" x14ac:dyDescent="0.35">
      <c r="B229" t="str">
        <v>Dayone Capital</v>
      </c>
      <c r="C229">
        <v>1</v>
      </c>
      <c r="E229" t="s">
        <v>2001</v>
      </c>
      <c r="F229">
        <v>2</v>
      </c>
    </row>
    <row r="230" spans="2:6" x14ac:dyDescent="0.35">
      <c r="B230" t="str">
        <v>GAC Capital</v>
      </c>
      <c r="C230">
        <v>1</v>
      </c>
      <c r="E230" t="s">
        <v>1803</v>
      </c>
      <c r="F230">
        <v>2</v>
      </c>
    </row>
    <row r="231" spans="2:6" x14ac:dyDescent="0.35">
      <c r="B231" t="str">
        <v>Hongshan Capital Group</v>
      </c>
      <c r="C231">
        <v>1</v>
      </c>
      <c r="E231" t="s">
        <v>2103</v>
      </c>
      <c r="F231">
        <v>2</v>
      </c>
    </row>
    <row r="232" spans="2:6" x14ac:dyDescent="0.35">
      <c r="B232" t="str">
        <v>Niuli Venture</v>
      </c>
      <c r="C232">
        <v>1</v>
      </c>
      <c r="E232" t="s">
        <v>1825</v>
      </c>
      <c r="F232">
        <v>2</v>
      </c>
    </row>
    <row r="233" spans="2:6" x14ac:dyDescent="0.35">
      <c r="B233" t="str">
        <v>Tianqi Capital</v>
      </c>
      <c r="C233">
        <v>1</v>
      </c>
      <c r="E233" t="s">
        <v>1569</v>
      </c>
      <c r="F233">
        <v>2</v>
      </c>
    </row>
    <row r="234" spans="2:6" x14ac:dyDescent="0.35">
      <c r="B234" t="str">
        <v>Unreasonable Impact</v>
      </c>
      <c r="C234">
        <v>2</v>
      </c>
      <c r="E234" t="s">
        <v>1878</v>
      </c>
      <c r="F234">
        <v>2</v>
      </c>
    </row>
    <row r="235" spans="2:6" x14ac:dyDescent="0.35">
      <c r="B235" t="str">
        <v>0</v>
      </c>
      <c r="C235">
        <v>40</v>
      </c>
      <c r="E235" t="s">
        <v>1879</v>
      </c>
      <c r="F235">
        <v>2</v>
      </c>
    </row>
    <row r="236" spans="2:6" x14ac:dyDescent="0.35">
      <c r="B236" t="str">
        <v>KRF capital</v>
      </c>
      <c r="C236">
        <v>1</v>
      </c>
      <c r="E236" t="s">
        <v>2265</v>
      </c>
      <c r="F236">
        <v>2</v>
      </c>
    </row>
    <row r="237" spans="2:6" x14ac:dyDescent="0.35">
      <c r="B237" t="str">
        <v>Treehouse Investments</v>
      </c>
      <c r="C237">
        <v>1</v>
      </c>
      <c r="E237" t="s">
        <v>2265</v>
      </c>
      <c r="F237">
        <v>2</v>
      </c>
    </row>
    <row r="238" spans="2:6" x14ac:dyDescent="0.35">
      <c r="B238" t="str">
        <v>Alphabet</v>
      </c>
      <c r="C238">
        <v>2</v>
      </c>
      <c r="E238" t="s">
        <v>1886</v>
      </c>
      <c r="F238">
        <v>2</v>
      </c>
    </row>
    <row r="239" spans="2:6" x14ac:dyDescent="0.35">
      <c r="B239" t="str">
        <v>Longmont Capital</v>
      </c>
      <c r="C239">
        <v>1</v>
      </c>
      <c r="E239" t="s">
        <v>2208</v>
      </c>
      <c r="F239">
        <v>2</v>
      </c>
    </row>
    <row r="240" spans="2:6" x14ac:dyDescent="0.35">
      <c r="B240" t="str">
        <v>Capital Southwest</v>
      </c>
      <c r="C240">
        <v>1</v>
      </c>
      <c r="E240" t="s">
        <v>1425</v>
      </c>
      <c r="F240">
        <v>2</v>
      </c>
    </row>
    <row r="241" spans="2:6" x14ac:dyDescent="0.35">
      <c r="B241" t="str">
        <v>DFW Capital Partners</v>
      </c>
      <c r="C241">
        <v>1</v>
      </c>
      <c r="E241" t="s">
        <v>1599</v>
      </c>
      <c r="F241">
        <v>2</v>
      </c>
    </row>
    <row r="242" spans="2:6" x14ac:dyDescent="0.35">
      <c r="B242" t="str">
        <v>13Capital</v>
      </c>
      <c r="C242">
        <v>1</v>
      </c>
      <c r="E242" t="s">
        <v>1496</v>
      </c>
      <c r="F242">
        <v>1</v>
      </c>
    </row>
    <row r="243" spans="2:6" x14ac:dyDescent="0.35">
      <c r="B243" t="str">
        <v>Cleanhill Partners</v>
      </c>
      <c r="C243">
        <v>1</v>
      </c>
      <c r="E243" t="s">
        <v>1497</v>
      </c>
      <c r="F243">
        <v>1</v>
      </c>
    </row>
    <row r="244" spans="2:6" x14ac:dyDescent="0.35">
      <c r="B244" t="str">
        <v>Goldman Sachs Asset Management</v>
      </c>
      <c r="C244">
        <v>1</v>
      </c>
      <c r="E244" t="s">
        <v>1498</v>
      </c>
      <c r="F244">
        <v>1</v>
      </c>
    </row>
    <row r="245" spans="2:6" x14ac:dyDescent="0.35">
      <c r="B245" t="str">
        <v>The Sterling Group</v>
      </c>
      <c r="C245">
        <v>1</v>
      </c>
      <c r="E245" t="s">
        <v>1500</v>
      </c>
      <c r="F245">
        <v>1</v>
      </c>
    </row>
    <row r="246" spans="2:6" x14ac:dyDescent="0.35">
      <c r="B246" t="str">
        <v>Dragon Global</v>
      </c>
      <c r="C246">
        <v>1</v>
      </c>
      <c r="E246" t="s">
        <v>494</v>
      </c>
      <c r="F246">
        <v>1</v>
      </c>
    </row>
    <row r="247" spans="2:6" x14ac:dyDescent="0.35">
      <c r="B247" t="str">
        <v>New Atlas Capital</v>
      </c>
      <c r="C247">
        <v>1</v>
      </c>
      <c r="E247" t="s">
        <v>1501</v>
      </c>
      <c r="F247">
        <v>1</v>
      </c>
    </row>
    <row r="248" spans="2:6" x14ac:dyDescent="0.35">
      <c r="B248" t="str">
        <v>Brex Asset Management</v>
      </c>
      <c r="C248">
        <v>1</v>
      </c>
      <c r="E248" t="s">
        <v>1502</v>
      </c>
      <c r="F248">
        <v>1</v>
      </c>
    </row>
    <row r="249" spans="2:6" x14ac:dyDescent="0.35">
      <c r="B249" t="str">
        <v>Bay Bridge Ventures</v>
      </c>
      <c r="C249">
        <v>1</v>
      </c>
      <c r="E249" t="s">
        <v>1503</v>
      </c>
      <c r="F249">
        <v>1</v>
      </c>
    </row>
    <row r="250" spans="2:6" x14ac:dyDescent="0.35">
      <c r="B250" t="str">
        <v>Florida Opportunity Fund</v>
      </c>
      <c r="C250">
        <v>2</v>
      </c>
      <c r="E250" t="s">
        <v>1504</v>
      </c>
      <c r="F250">
        <v>1</v>
      </c>
    </row>
    <row r="251" spans="2:6" x14ac:dyDescent="0.35">
      <c r="B251" t="str">
        <v>Deepwork Capital</v>
      </c>
      <c r="C251">
        <v>1</v>
      </c>
      <c r="E251" t="s">
        <v>1505</v>
      </c>
      <c r="F251">
        <v>1</v>
      </c>
    </row>
    <row r="252" spans="2:6" x14ac:dyDescent="0.35">
      <c r="B252" t="str">
        <v>Thrive Capital</v>
      </c>
      <c r="C252">
        <v>1</v>
      </c>
      <c r="E252" t="s">
        <v>1506</v>
      </c>
      <c r="F252">
        <v>1</v>
      </c>
    </row>
    <row r="253" spans="2:6" x14ac:dyDescent="0.35">
      <c r="B253" t="str">
        <v>Goat Ventures</v>
      </c>
      <c r="C253">
        <v>1</v>
      </c>
      <c r="E253" t="s">
        <v>1510</v>
      </c>
      <c r="F253">
        <v>1</v>
      </c>
    </row>
    <row r="254" spans="2:6" x14ac:dyDescent="0.35">
      <c r="B254" t="str">
        <v>Massive Capital Partners</v>
      </c>
      <c r="C254">
        <v>1</v>
      </c>
      <c r="E254" t="s">
        <v>1511</v>
      </c>
      <c r="F254">
        <v>1</v>
      </c>
    </row>
    <row r="255" spans="2:6" x14ac:dyDescent="0.35">
      <c r="B255" t="str">
        <v>Leonardo DiCaprio</v>
      </c>
      <c r="C255">
        <v>2</v>
      </c>
      <c r="E255" t="s">
        <v>1513</v>
      </c>
      <c r="F255">
        <v>1</v>
      </c>
    </row>
    <row r="256" spans="2:6" x14ac:dyDescent="0.35">
      <c r="B256" t="str">
        <v>Upsher Management Company</v>
      </c>
      <c r="C256">
        <v>1</v>
      </c>
      <c r="E256" t="s">
        <v>1517</v>
      </c>
      <c r="F256">
        <v>1</v>
      </c>
    </row>
    <row r="257" spans="2:6" x14ac:dyDescent="0.35">
      <c r="B257" t="str">
        <v>Alpen Capital</v>
      </c>
      <c r="C257">
        <v>1</v>
      </c>
      <c r="E257" t="s">
        <v>1518</v>
      </c>
      <c r="F257">
        <v>1</v>
      </c>
    </row>
    <row r="258" spans="2:6" x14ac:dyDescent="0.35">
      <c r="B258" t="str">
        <v>StepStone Group</v>
      </c>
      <c r="C258">
        <v>1</v>
      </c>
      <c r="E258" t="s">
        <v>1523</v>
      </c>
      <c r="F258">
        <v>1</v>
      </c>
    </row>
    <row r="259" spans="2:6" x14ac:dyDescent="0.35">
      <c r="B259" t="str">
        <v>0</v>
      </c>
      <c r="C259">
        <v>40</v>
      </c>
      <c r="E259" t="s">
        <v>1524</v>
      </c>
      <c r="F259">
        <v>1</v>
      </c>
    </row>
    <row r="260" spans="2:6" x14ac:dyDescent="0.35">
      <c r="B260" t="str">
        <v>0</v>
      </c>
      <c r="C260">
        <v>40</v>
      </c>
      <c r="E260" t="s">
        <v>1526</v>
      </c>
      <c r="F260">
        <v>1</v>
      </c>
    </row>
    <row r="261" spans="2:6" x14ac:dyDescent="0.35">
      <c r="B261" t="str">
        <v>0</v>
      </c>
      <c r="C261">
        <v>40</v>
      </c>
      <c r="E261" t="s">
        <v>1527</v>
      </c>
      <c r="F261">
        <v>1</v>
      </c>
    </row>
    <row r="262" spans="2:6" x14ac:dyDescent="0.35">
      <c r="B262" t="str">
        <v>AiiM Partners</v>
      </c>
      <c r="C262">
        <v>2</v>
      </c>
      <c r="E262" t="s">
        <v>1528</v>
      </c>
      <c r="F262">
        <v>1</v>
      </c>
    </row>
    <row r="263" spans="2:6" x14ac:dyDescent="0.35">
      <c r="B263" t="str">
        <v>Alecla7</v>
      </c>
      <c r="C263">
        <v>1</v>
      </c>
      <c r="E263" t="s">
        <v>1530</v>
      </c>
      <c r="F263">
        <v>1</v>
      </c>
    </row>
    <row r="264" spans="2:6" x14ac:dyDescent="0.35">
      <c r="B264" t="str">
        <v>At One Ventures</v>
      </c>
      <c r="C264">
        <v>3</v>
      </c>
      <c r="E264" t="s">
        <v>1531</v>
      </c>
      <c r="F264">
        <v>1</v>
      </c>
    </row>
    <row r="265" spans="2:6" x14ac:dyDescent="0.35">
      <c r="B265" t="str">
        <v>Cognic Capital</v>
      </c>
      <c r="C265">
        <v>1</v>
      </c>
      <c r="E265" t="s">
        <v>1532</v>
      </c>
      <c r="F265">
        <v>1</v>
      </c>
    </row>
    <row r="266" spans="2:6" x14ac:dyDescent="0.35">
      <c r="B266" t="str">
        <v>Emergence Industries</v>
      </c>
      <c r="C266">
        <v>1</v>
      </c>
      <c r="E266" t="s">
        <v>1534</v>
      </c>
      <c r="F266">
        <v>1</v>
      </c>
    </row>
    <row r="267" spans="2:6" x14ac:dyDescent="0.35">
      <c r="B267" t="str">
        <v>Endurance28</v>
      </c>
      <c r="C267">
        <v>1</v>
      </c>
      <c r="E267" t="s">
        <v>1535</v>
      </c>
      <c r="F267">
        <v>1</v>
      </c>
    </row>
    <row r="268" spans="2:6" x14ac:dyDescent="0.35">
      <c r="B268" t="str">
        <v>Gaingels</v>
      </c>
      <c r="C268">
        <v>2</v>
      </c>
      <c r="E268" t="s">
        <v>1536</v>
      </c>
      <c r="F268">
        <v>1</v>
      </c>
    </row>
    <row r="269" spans="2:6" x14ac:dyDescent="0.35">
      <c r="B269" t="str">
        <v>Good Seed Ventures</v>
      </c>
      <c r="C269">
        <v>1</v>
      </c>
      <c r="E269" t="s">
        <v>1537</v>
      </c>
      <c r="F269">
        <v>1</v>
      </c>
    </row>
    <row r="270" spans="2:6" x14ac:dyDescent="0.35">
      <c r="B270" t="str">
        <v>JKS Ventures</v>
      </c>
      <c r="C270">
        <v>1</v>
      </c>
      <c r="E270" t="s">
        <v>1538</v>
      </c>
      <c r="F270">
        <v>1</v>
      </c>
    </row>
    <row r="271" spans="2:6" x14ac:dyDescent="0.35">
      <c r="B271" t="str">
        <v>Joyance Partners</v>
      </c>
      <c r="C271">
        <v>1</v>
      </c>
      <c r="E271" t="s">
        <v>1539</v>
      </c>
      <c r="F271">
        <v>1</v>
      </c>
    </row>
    <row r="272" spans="2:6" x14ac:dyDescent="0.35">
      <c r="B272" t="str">
        <v>Magic Hour</v>
      </c>
      <c r="C272">
        <v>1</v>
      </c>
      <c r="E272" t="s">
        <v>1540</v>
      </c>
      <c r="F272">
        <v>1</v>
      </c>
    </row>
    <row r="273" spans="2:6" x14ac:dyDescent="0.35">
      <c r="B273" t="str">
        <v>Rise Together</v>
      </c>
      <c r="C273">
        <v>1</v>
      </c>
      <c r="E273" t="s">
        <v>1541</v>
      </c>
      <c r="F273">
        <v>1</v>
      </c>
    </row>
    <row r="274" spans="2:6" x14ac:dyDescent="0.35">
      <c r="B274" t="str">
        <v>Seabird Ventures</v>
      </c>
      <c r="C274">
        <v>2</v>
      </c>
      <c r="E274" t="s">
        <v>1542</v>
      </c>
      <c r="F274">
        <v>1</v>
      </c>
    </row>
    <row r="275" spans="2:6" x14ac:dyDescent="0.35">
      <c r="B275" t="str">
        <v>Samsarik Capital</v>
      </c>
      <c r="C275">
        <v>1</v>
      </c>
      <c r="E275" t="s">
        <v>599</v>
      </c>
      <c r="F275">
        <v>1</v>
      </c>
    </row>
    <row r="276" spans="2:6" x14ac:dyDescent="0.35">
      <c r="B276" t="str">
        <v>SOSV</v>
      </c>
      <c r="C276">
        <v>2</v>
      </c>
      <c r="E276" t="s">
        <v>472</v>
      </c>
      <c r="F276">
        <v>1</v>
      </c>
    </row>
    <row r="277" spans="2:6" x14ac:dyDescent="0.35">
      <c r="B277" t="str">
        <v>Synergeticl VU enture Partners</v>
      </c>
      <c r="C277">
        <v>1</v>
      </c>
      <c r="E277" t="s">
        <v>1543</v>
      </c>
      <c r="F277">
        <v>1</v>
      </c>
    </row>
    <row r="278" spans="2:6" x14ac:dyDescent="0.35">
      <c r="B278" t="str">
        <v>0</v>
      </c>
      <c r="C278">
        <v>40</v>
      </c>
      <c r="E278" t="s">
        <v>1544</v>
      </c>
      <c r="F278">
        <v>1</v>
      </c>
    </row>
    <row r="279" spans="2:6" x14ac:dyDescent="0.35">
      <c r="B279" t="str">
        <v>Oaktree Capital Management</v>
      </c>
      <c r="C279">
        <v>1</v>
      </c>
      <c r="E279" t="s">
        <v>1545</v>
      </c>
      <c r="F279">
        <v>1</v>
      </c>
    </row>
    <row r="280" spans="2:6" x14ac:dyDescent="0.35">
      <c r="B280" t="str">
        <v>Toyota Tsusho</v>
      </c>
      <c r="C280">
        <v>1</v>
      </c>
      <c r="E280" t="s">
        <v>1546</v>
      </c>
      <c r="F280">
        <v>1</v>
      </c>
    </row>
    <row r="281" spans="2:6" x14ac:dyDescent="0.35">
      <c r="B281" t="str">
        <v>Bessemer Venture Partners</v>
      </c>
      <c r="C281">
        <v>1</v>
      </c>
      <c r="E281" t="s">
        <v>1547</v>
      </c>
      <c r="F281">
        <v>1</v>
      </c>
    </row>
    <row r="282" spans="2:6" x14ac:dyDescent="0.35">
      <c r="B282" t="str">
        <v>Palapa Ventures</v>
      </c>
      <c r="C282">
        <v>1</v>
      </c>
      <c r="E282" t="s">
        <v>1548</v>
      </c>
      <c r="F282">
        <v>1</v>
      </c>
    </row>
    <row r="283" spans="2:6" x14ac:dyDescent="0.35">
      <c r="B283" t="str">
        <v>0</v>
      </c>
      <c r="C283">
        <v>40</v>
      </c>
      <c r="E283" t="s">
        <v>1549</v>
      </c>
      <c r="F283">
        <v>1</v>
      </c>
    </row>
    <row r="284" spans="2:6" x14ac:dyDescent="0.35">
      <c r="B284" t="str">
        <v>Tailwater Capital (Edward Herring)</v>
      </c>
      <c r="C284">
        <v>1</v>
      </c>
      <c r="E284" t="s">
        <v>1550</v>
      </c>
      <c r="F284">
        <v>1</v>
      </c>
    </row>
    <row r="285" spans="2:6" x14ac:dyDescent="0.35">
      <c r="B285" t="str">
        <v>Giant Leap</v>
      </c>
      <c r="C285">
        <v>1</v>
      </c>
      <c r="E285" t="s">
        <v>1551</v>
      </c>
      <c r="F285">
        <v>1</v>
      </c>
    </row>
    <row r="286" spans="2:6" x14ac:dyDescent="0.35">
      <c r="B286" t="str">
        <v>TPG</v>
      </c>
      <c r="C286">
        <v>1</v>
      </c>
      <c r="E286" t="s">
        <v>1552</v>
      </c>
      <c r="F286">
        <v>1</v>
      </c>
    </row>
    <row r="287" spans="2:6" x14ac:dyDescent="0.35">
      <c r="B287" t="str">
        <v>5Y Capital</v>
      </c>
      <c r="C287">
        <v>1</v>
      </c>
      <c r="E287" t="s">
        <v>1553</v>
      </c>
      <c r="F287">
        <v>1</v>
      </c>
    </row>
    <row r="288" spans="2:6" x14ac:dyDescent="0.35">
      <c r="B288" t="str">
        <v>AimTop Ventures</v>
      </c>
      <c r="C288">
        <v>1</v>
      </c>
      <c r="E288" t="s">
        <v>1554</v>
      </c>
      <c r="F288">
        <v>1</v>
      </c>
    </row>
    <row r="289" spans="2:6" x14ac:dyDescent="0.35">
      <c r="B289" t="str">
        <v>Baidu Ventures</v>
      </c>
      <c r="C289">
        <v>1</v>
      </c>
      <c r="E289" t="s">
        <v>1555</v>
      </c>
      <c r="F289">
        <v>1</v>
      </c>
    </row>
    <row r="290" spans="2:6" x14ac:dyDescent="0.35">
      <c r="B290" t="str">
        <v>Foothill Ventures</v>
      </c>
      <c r="C290">
        <v>1</v>
      </c>
      <c r="E290" t="s">
        <v>1556</v>
      </c>
      <c r="F290">
        <v>1</v>
      </c>
    </row>
    <row r="291" spans="2:6" x14ac:dyDescent="0.35">
      <c r="B291" t="str">
        <v>Heda Ventures</v>
      </c>
      <c r="C291">
        <v>1</v>
      </c>
      <c r="E291" t="s">
        <v>776</v>
      </c>
      <c r="F291">
        <v>1</v>
      </c>
    </row>
    <row r="292" spans="2:6" x14ac:dyDescent="0.35">
      <c r="B292" t="str">
        <v>Rockets Capital</v>
      </c>
      <c r="C292">
        <v>1</v>
      </c>
      <c r="E292" t="s">
        <v>1563</v>
      </c>
      <c r="F292">
        <v>1</v>
      </c>
    </row>
    <row r="293" spans="2:6" x14ac:dyDescent="0.35">
      <c r="B293" t="str">
        <v>Yiyuan Capital</v>
      </c>
      <c r="C293">
        <v>1</v>
      </c>
      <c r="E293" t="s">
        <v>473</v>
      </c>
      <c r="F293">
        <v>1</v>
      </c>
    </row>
    <row r="294" spans="2:6" x14ac:dyDescent="0.35">
      <c r="B294" t="str">
        <v>Yu Galaxy</v>
      </c>
      <c r="C294">
        <v>1</v>
      </c>
      <c r="E294" t="s">
        <v>1567</v>
      </c>
      <c r="F294">
        <v>1</v>
      </c>
    </row>
    <row r="295" spans="2:6" x14ac:dyDescent="0.35">
      <c r="B295" t="str">
        <v>Revonence Technologies</v>
      </c>
      <c r="C295">
        <v>1</v>
      </c>
      <c r="E295" t="s">
        <v>1568</v>
      </c>
      <c r="F295">
        <v>1</v>
      </c>
    </row>
    <row r="296" spans="2:6" x14ac:dyDescent="0.35">
      <c r="B296" t="str">
        <v>Archaea Energy</v>
      </c>
      <c r="C296">
        <v>1</v>
      </c>
      <c r="E296" t="s">
        <v>1572</v>
      </c>
      <c r="F296">
        <v>1</v>
      </c>
    </row>
    <row r="297" spans="2:6" x14ac:dyDescent="0.35">
      <c r="B297" t="str">
        <v>Coppermine Capital</v>
      </c>
      <c r="C297">
        <v>1</v>
      </c>
      <c r="E297" t="s">
        <v>1573</v>
      </c>
      <c r="F297">
        <v>1</v>
      </c>
    </row>
    <row r="298" spans="2:6" x14ac:dyDescent="0.35">
      <c r="B298" t="str">
        <v>Saltonstall &amp; Co.</v>
      </c>
      <c r="C298">
        <v>1</v>
      </c>
      <c r="E298" t="s">
        <v>1579</v>
      </c>
      <c r="F298">
        <v>1</v>
      </c>
    </row>
    <row r="299" spans="2:6" x14ac:dyDescent="0.35">
      <c r="B299" t="str">
        <v>Lowercarbon Capital</v>
      </c>
      <c r="C299">
        <v>6</v>
      </c>
      <c r="E299" t="s">
        <v>611</v>
      </c>
      <c r="F299">
        <v>1</v>
      </c>
    </row>
    <row r="300" spans="2:6" x14ac:dyDescent="0.35">
      <c r="B300" t="str">
        <v>Future Positive Capital</v>
      </c>
      <c r="C300">
        <v>1</v>
      </c>
      <c r="E300" t="s">
        <v>612</v>
      </c>
      <c r="F300">
        <v>1</v>
      </c>
    </row>
    <row r="301" spans="2:6" x14ac:dyDescent="0.35">
      <c r="B301" t="str">
        <v>Japan Airlines Company</v>
      </c>
      <c r="C301">
        <v>1</v>
      </c>
      <c r="E301" t="s">
        <v>480</v>
      </c>
      <c r="F301">
        <v>1</v>
      </c>
    </row>
    <row r="302" spans="2:6" x14ac:dyDescent="0.35">
      <c r="B302" t="str">
        <v>Mitsubishi Corporation</v>
      </c>
      <c r="C302">
        <v>1</v>
      </c>
      <c r="E302" t="s">
        <v>476</v>
      </c>
      <c r="F302">
        <v>1</v>
      </c>
    </row>
    <row r="303" spans="2:6" x14ac:dyDescent="0.35">
      <c r="B303" t="str">
        <v>Mitsui &amp; Company</v>
      </c>
      <c r="C303">
        <v>3</v>
      </c>
      <c r="E303" t="s">
        <v>1582</v>
      </c>
      <c r="F303">
        <v>1</v>
      </c>
    </row>
    <row r="304" spans="2:6" x14ac:dyDescent="0.35">
      <c r="B304" t="str">
        <v>United Airlines Ventures</v>
      </c>
      <c r="C304">
        <v>2</v>
      </c>
      <c r="E304" t="s">
        <v>1583</v>
      </c>
      <c r="F304">
        <v>1</v>
      </c>
    </row>
    <row r="305" spans="2:6" x14ac:dyDescent="0.35">
      <c r="B305" t="str">
        <v>H&amp;M Group Ventures</v>
      </c>
      <c r="C305">
        <v>1</v>
      </c>
      <c r="E305" t="s">
        <v>1584</v>
      </c>
      <c r="F305">
        <v>1</v>
      </c>
    </row>
    <row r="306" spans="2:6" x14ac:dyDescent="0.35">
      <c r="B306" t="str">
        <v>Pledge Ventures</v>
      </c>
      <c r="C306">
        <v>1</v>
      </c>
      <c r="E306" t="s">
        <v>1585</v>
      </c>
      <c r="F306">
        <v>1</v>
      </c>
    </row>
    <row r="307" spans="2:6" x14ac:dyDescent="0.35">
      <c r="B307" t="str">
        <v>Chiyoda</v>
      </c>
      <c r="C307">
        <v>1</v>
      </c>
      <c r="E307" t="s">
        <v>1586</v>
      </c>
      <c r="F307">
        <v>1</v>
      </c>
    </row>
    <row r="308" spans="2:6" x14ac:dyDescent="0.35">
      <c r="B308" t="str">
        <v>Development Bank of Japan</v>
      </c>
      <c r="C308">
        <v>2</v>
      </c>
      <c r="E308" t="s">
        <v>1588</v>
      </c>
      <c r="F308">
        <v>1</v>
      </c>
    </row>
    <row r="309" spans="2:6" x14ac:dyDescent="0.35">
      <c r="B309" t="str">
        <v>Ahren Innovation Capital</v>
      </c>
      <c r="C309">
        <v>1</v>
      </c>
      <c r="E309" t="s">
        <v>1590</v>
      </c>
      <c r="F309">
        <v>1</v>
      </c>
    </row>
    <row r="310" spans="2:6" x14ac:dyDescent="0.35">
      <c r="B310" t="str">
        <v>Floating Point</v>
      </c>
      <c r="C310">
        <v>1</v>
      </c>
      <c r="E310" t="s">
        <v>1591</v>
      </c>
      <c r="F310">
        <v>1</v>
      </c>
    </row>
    <row r="311" spans="2:6" x14ac:dyDescent="0.35">
      <c r="B311" t="str">
        <v>Quantum Innovation Fund</v>
      </c>
      <c r="C311">
        <v>1</v>
      </c>
      <c r="E311" t="s">
        <v>1592</v>
      </c>
      <c r="F311">
        <v>1</v>
      </c>
    </row>
    <row r="312" spans="2:6" x14ac:dyDescent="0.35">
      <c r="B312" t="str">
        <v>The Grantham Foundation</v>
      </c>
      <c r="C312">
        <v>2</v>
      </c>
      <c r="E312" t="s">
        <v>1593</v>
      </c>
      <c r="F312">
        <v>1</v>
      </c>
    </row>
    <row r="313" spans="2:6" x14ac:dyDescent="0.35">
      <c r="B313" t="str">
        <v>Siemens Financial Services</v>
      </c>
      <c r="C313">
        <v>1</v>
      </c>
      <c r="E313" t="s">
        <v>1596</v>
      </c>
      <c r="F313">
        <v>1</v>
      </c>
    </row>
    <row r="314" spans="2:6" x14ac:dyDescent="0.35">
      <c r="B314" t="str">
        <v>0</v>
      </c>
      <c r="C314">
        <v>40</v>
      </c>
      <c r="E314" t="s">
        <v>1598</v>
      </c>
      <c r="F314">
        <v>1</v>
      </c>
    </row>
    <row r="315" spans="2:6" x14ac:dyDescent="0.35">
      <c r="B315" t="str">
        <v>0</v>
      </c>
      <c r="C315">
        <v>40</v>
      </c>
      <c r="E315" t="s">
        <v>481</v>
      </c>
      <c r="F315">
        <v>1</v>
      </c>
    </row>
    <row r="316" spans="2:6" x14ac:dyDescent="0.35">
      <c r="B316" t="str">
        <v>Sana Sano Capital</v>
      </c>
      <c r="C316">
        <v>1</v>
      </c>
      <c r="E316" t="s">
        <v>1601</v>
      </c>
      <c r="F316">
        <v>1</v>
      </c>
    </row>
    <row r="317" spans="2:6" x14ac:dyDescent="0.35">
      <c r="B317" t="str">
        <v>Checkmate Capital</v>
      </c>
      <c r="C317">
        <v>1</v>
      </c>
      <c r="E317" t="s">
        <v>1604</v>
      </c>
      <c r="F317">
        <v>1</v>
      </c>
    </row>
    <row r="318" spans="2:6" x14ac:dyDescent="0.35">
      <c r="B318" t="str">
        <v>Milkbox Partners</v>
      </c>
      <c r="C318">
        <v>1</v>
      </c>
      <c r="E318" t="s">
        <v>1605</v>
      </c>
      <c r="F318">
        <v>1</v>
      </c>
    </row>
    <row r="319" spans="2:6" x14ac:dyDescent="0.35">
      <c r="B319" t="str">
        <v>Xandex Ventures</v>
      </c>
      <c r="C319">
        <v>1</v>
      </c>
      <c r="E319" t="s">
        <v>1607</v>
      </c>
      <c r="F319">
        <v>1</v>
      </c>
    </row>
    <row r="320" spans="2:6" x14ac:dyDescent="0.35">
      <c r="B320" t="str">
        <v>Conti Ventures</v>
      </c>
      <c r="C320">
        <v>4</v>
      </c>
      <c r="E320" t="s">
        <v>1611</v>
      </c>
      <c r="F320">
        <v>1</v>
      </c>
    </row>
    <row r="321" spans="2:6" x14ac:dyDescent="0.35">
      <c r="B321" t="str">
        <v>Neman Ventures</v>
      </c>
      <c r="C321">
        <v>1</v>
      </c>
      <c r="E321" t="s">
        <v>1612</v>
      </c>
      <c r="F321">
        <v>1</v>
      </c>
    </row>
    <row r="322" spans="2:6" x14ac:dyDescent="0.35">
      <c r="B322" t="str">
        <v>Lenox Partners</v>
      </c>
      <c r="C322">
        <v>1</v>
      </c>
      <c r="E322" t="s">
        <v>1614</v>
      </c>
      <c r="F322">
        <v>1</v>
      </c>
    </row>
    <row r="323" spans="2:6" x14ac:dyDescent="0.35">
      <c r="B323" t="str">
        <v>Ericsenz Capital</v>
      </c>
      <c r="C323">
        <v>1</v>
      </c>
      <c r="E323" t="s">
        <v>1615</v>
      </c>
      <c r="F323">
        <v>1</v>
      </c>
    </row>
    <row r="324" spans="2:6" x14ac:dyDescent="0.35">
      <c r="B324" t="str">
        <v>G Squared</v>
      </c>
      <c r="C324">
        <v>1</v>
      </c>
      <c r="E324" t="s">
        <v>1617</v>
      </c>
      <c r="F324">
        <v>1</v>
      </c>
    </row>
    <row r="325" spans="2:6" x14ac:dyDescent="0.35">
      <c r="B325" t="str">
        <v>CPT Capital</v>
      </c>
      <c r="C325">
        <v>2</v>
      </c>
      <c r="E325" t="s">
        <v>1618</v>
      </c>
      <c r="F325">
        <v>1</v>
      </c>
    </row>
    <row r="326" spans="2:6" x14ac:dyDescent="0.35">
      <c r="B326" t="str">
        <v>Five Seasons Ventures</v>
      </c>
      <c r="C326">
        <v>3</v>
      </c>
      <c r="E326" t="s">
        <v>1619</v>
      </c>
      <c r="F326">
        <v>1</v>
      </c>
    </row>
    <row r="327" spans="2:6" x14ac:dyDescent="0.35">
      <c r="B327" t="str">
        <v>Proioxis Ventures</v>
      </c>
      <c r="C327">
        <v>1</v>
      </c>
      <c r="E327" t="s">
        <v>618</v>
      </c>
      <c r="F327">
        <v>1</v>
      </c>
    </row>
    <row r="328" spans="2:6" x14ac:dyDescent="0.35">
      <c r="B328" t="str">
        <v>Ben Jen Holdings</v>
      </c>
      <c r="C328">
        <v>1</v>
      </c>
      <c r="E328" t="s">
        <v>1620</v>
      </c>
      <c r="F328">
        <v>1</v>
      </c>
    </row>
    <row r="329" spans="2:6" x14ac:dyDescent="0.35">
      <c r="B329" t="str">
        <v>K2 Global</v>
      </c>
      <c r="C329">
        <v>1</v>
      </c>
      <c r="E329" t="s">
        <v>1622</v>
      </c>
      <c r="F329">
        <v>1</v>
      </c>
    </row>
    <row r="330" spans="2:6" x14ac:dyDescent="0.35">
      <c r="B330" t="str">
        <v>Pario Ventures</v>
      </c>
      <c r="C330">
        <v>1</v>
      </c>
      <c r="E330" t="s">
        <v>1623</v>
      </c>
      <c r="F330">
        <v>1</v>
      </c>
    </row>
    <row r="331" spans="2:6" x14ac:dyDescent="0.35">
      <c r="B331" t="str">
        <v>Mirae Asset Venture Investment</v>
      </c>
      <c r="C331">
        <v>1</v>
      </c>
      <c r="E331" t="s">
        <v>1625</v>
      </c>
      <c r="F331">
        <v>1</v>
      </c>
    </row>
    <row r="332" spans="2:6" x14ac:dyDescent="0.35">
      <c r="B332" t="str">
        <v>Bracket Capital</v>
      </c>
      <c r="C332">
        <v>1</v>
      </c>
      <c r="E332" t="s">
        <v>1626</v>
      </c>
      <c r="F332">
        <v>1</v>
      </c>
    </row>
    <row r="333" spans="2:6" x14ac:dyDescent="0.35">
      <c r="B333" t="str">
        <v>Toy Ventures</v>
      </c>
      <c r="C333">
        <v>1</v>
      </c>
      <c r="E333" t="s">
        <v>1627</v>
      </c>
      <c r="F333">
        <v>1</v>
      </c>
    </row>
    <row r="334" spans="2:6" x14ac:dyDescent="0.35">
      <c r="B334" t="str">
        <v>London Impact Ventures</v>
      </c>
      <c r="C334">
        <v>1</v>
      </c>
      <c r="E334" t="s">
        <v>1628</v>
      </c>
      <c r="F334">
        <v>1</v>
      </c>
    </row>
    <row r="335" spans="2:6" x14ac:dyDescent="0.35">
      <c r="B335" t="str">
        <v>Purav Patel</v>
      </c>
      <c r="C335">
        <v>1</v>
      </c>
      <c r="E335" t="s">
        <v>1629</v>
      </c>
      <c r="F335">
        <v>1</v>
      </c>
    </row>
    <row r="336" spans="2:6" x14ac:dyDescent="0.35">
      <c r="B336" t="str">
        <v>Christian Herrera</v>
      </c>
      <c r="C336">
        <v>1</v>
      </c>
      <c r="E336" t="s">
        <v>1630</v>
      </c>
      <c r="F336">
        <v>1</v>
      </c>
    </row>
    <row r="337" spans="2:6" x14ac:dyDescent="0.35">
      <c r="B337" t="str">
        <v>Katy Perry</v>
      </c>
      <c r="C337">
        <v>1</v>
      </c>
      <c r="E337" t="s">
        <v>1633</v>
      </c>
      <c r="F337">
        <v>1</v>
      </c>
    </row>
    <row r="338" spans="2:6" x14ac:dyDescent="0.35">
      <c r="B338" t="str">
        <v>Jaden Smith</v>
      </c>
      <c r="C338">
        <v>1</v>
      </c>
      <c r="E338" t="s">
        <v>1634</v>
      </c>
      <c r="F338">
        <v>1</v>
      </c>
    </row>
    <row r="339" spans="2:6" x14ac:dyDescent="0.35">
      <c r="B339" t="str">
        <v>Julien Machot</v>
      </c>
      <c r="C339">
        <v>1</v>
      </c>
      <c r="E339" t="s">
        <v>1635</v>
      </c>
      <c r="F339">
        <v>1</v>
      </c>
    </row>
    <row r="340" spans="2:6" x14ac:dyDescent="0.35">
      <c r="B340" t="str">
        <v>Taslimm Quraishi</v>
      </c>
      <c r="C340">
        <v>1</v>
      </c>
      <c r="E340" t="s">
        <v>1636</v>
      </c>
      <c r="F340">
        <v>1</v>
      </c>
    </row>
    <row r="341" spans="2:6" x14ac:dyDescent="0.35">
      <c r="B341" t="str">
        <v>Vikas Sabnani</v>
      </c>
      <c r="C341">
        <v>1</v>
      </c>
      <c r="E341" t="s">
        <v>1637</v>
      </c>
      <c r="F341">
        <v>1</v>
      </c>
    </row>
    <row r="342" spans="2:6" x14ac:dyDescent="0.35">
      <c r="B342" t="str">
        <v>Randy Almaguer</v>
      </c>
      <c r="C342">
        <v>1</v>
      </c>
      <c r="E342" t="s">
        <v>1639</v>
      </c>
      <c r="F342">
        <v>1</v>
      </c>
    </row>
    <row r="343" spans="2:6" x14ac:dyDescent="0.35">
      <c r="B343" t="str">
        <v>Serena Williams</v>
      </c>
      <c r="C343">
        <v>1</v>
      </c>
      <c r="E343" t="s">
        <v>1640</v>
      </c>
      <c r="F343">
        <v>1</v>
      </c>
    </row>
    <row r="344" spans="2:6" x14ac:dyDescent="0.35">
      <c r="B344" t="str">
        <v>Jay Brown</v>
      </c>
      <c r="C344">
        <v>1</v>
      </c>
      <c r="E344" t="s">
        <v>1641</v>
      </c>
      <c r="F344">
        <v>1</v>
      </c>
    </row>
    <row r="345" spans="2:6" x14ac:dyDescent="0.35">
      <c r="B345" t="str">
        <v>Shawn Carter</v>
      </c>
      <c r="C345">
        <v>1</v>
      </c>
      <c r="E345" t="s">
        <v>1642</v>
      </c>
      <c r="F345">
        <v>1</v>
      </c>
    </row>
    <row r="346" spans="2:6" x14ac:dyDescent="0.35">
      <c r="B346" t="str">
        <v>Alexis Ohanian</v>
      </c>
      <c r="C346">
        <v>1</v>
      </c>
      <c r="E346" t="s">
        <v>1643</v>
      </c>
      <c r="F346">
        <v>1</v>
      </c>
    </row>
    <row r="347" spans="2:6" x14ac:dyDescent="0.35">
      <c r="B347" t="str">
        <v>The Spaventa Group</v>
      </c>
      <c r="C347">
        <v>1</v>
      </c>
      <c r="E347" t="s">
        <v>1644</v>
      </c>
      <c r="F347">
        <v>1</v>
      </c>
    </row>
    <row r="348" spans="2:6" x14ac:dyDescent="0.35">
      <c r="B348" t="str">
        <v>Bridge Capital Holding</v>
      </c>
      <c r="C348">
        <v>1</v>
      </c>
      <c r="E348" t="s">
        <v>1645</v>
      </c>
      <c r="F348">
        <v>1</v>
      </c>
    </row>
    <row r="349" spans="2:6" x14ac:dyDescent="0.35">
      <c r="B349" t="str">
        <v>Buttonwood Group Advisors</v>
      </c>
      <c r="C349">
        <v>1</v>
      </c>
      <c r="E349" t="s">
        <v>1646</v>
      </c>
      <c r="F349">
        <v>1</v>
      </c>
    </row>
    <row r="350" spans="2:6" x14ac:dyDescent="0.35">
      <c r="B350" t="str">
        <v>Verso Holdings</v>
      </c>
      <c r="C350">
        <v>1</v>
      </c>
      <c r="E350" t="s">
        <v>1647</v>
      </c>
      <c r="F350">
        <v>1</v>
      </c>
    </row>
    <row r="351" spans="2:6" x14ac:dyDescent="0.35">
      <c r="B351" t="str">
        <v>Hivers &amp; Strivers (Rachel Hobert)</v>
      </c>
      <c r="C351">
        <v>1</v>
      </c>
      <c r="E351" t="s">
        <v>1648</v>
      </c>
      <c r="F351">
        <v>1</v>
      </c>
    </row>
    <row r="352" spans="2:6" x14ac:dyDescent="0.35">
      <c r="B352" t="str">
        <v>Smart City' Works - Infrastructure Actuator</v>
      </c>
      <c r="C352">
        <v>1</v>
      </c>
      <c r="E352" t="s">
        <v>1649</v>
      </c>
      <c r="F352">
        <v>1</v>
      </c>
    </row>
    <row r="353" spans="2:6" x14ac:dyDescent="0.35">
      <c r="B353" t="str">
        <v>FM Capital</v>
      </c>
      <c r="C353">
        <v>1</v>
      </c>
      <c r="E353" t="s">
        <v>1650</v>
      </c>
      <c r="F353">
        <v>1</v>
      </c>
    </row>
    <row r="354" spans="2:6" x14ac:dyDescent="0.35">
      <c r="B354" t="str">
        <v>PBJ Capital</v>
      </c>
      <c r="C354">
        <v>1</v>
      </c>
      <c r="E354" t="s">
        <v>1653</v>
      </c>
      <c r="F354">
        <v>1</v>
      </c>
    </row>
    <row r="355" spans="2:6" x14ac:dyDescent="0.35">
      <c r="B355" t="str">
        <v>Hon Hai Precision</v>
      </c>
      <c r="C355">
        <v>1</v>
      </c>
      <c r="E355" t="s">
        <v>1656</v>
      </c>
      <c r="F355">
        <v>1</v>
      </c>
    </row>
    <row r="356" spans="2:6" x14ac:dyDescent="0.35">
      <c r="B356" t="str">
        <v>WillowTree Investments</v>
      </c>
      <c r="C356">
        <v>1</v>
      </c>
      <c r="E356" t="s">
        <v>1658</v>
      </c>
      <c r="F356">
        <v>1</v>
      </c>
    </row>
    <row r="357" spans="2:6" x14ac:dyDescent="0.35">
      <c r="B357" t="str">
        <v>FedEx</v>
      </c>
      <c r="C357">
        <v>1</v>
      </c>
      <c r="E357" t="s">
        <v>1659</v>
      </c>
      <c r="F357">
        <v>1</v>
      </c>
    </row>
    <row r="358" spans="2:6" x14ac:dyDescent="0.35">
      <c r="B358" t="str">
        <v>Liebenthal Ventures</v>
      </c>
      <c r="C358">
        <v>1</v>
      </c>
      <c r="E358" t="s">
        <v>1660</v>
      </c>
      <c r="F358">
        <v>1</v>
      </c>
    </row>
    <row r="359" spans="2:6" x14ac:dyDescent="0.35">
      <c r="B359" t="str">
        <v>PassKey Invest</v>
      </c>
      <c r="C359">
        <v>1</v>
      </c>
      <c r="E359" t="s">
        <v>1661</v>
      </c>
      <c r="F359">
        <v>1</v>
      </c>
    </row>
    <row r="360" spans="2:6" x14ac:dyDescent="0.35">
      <c r="B360" t="str">
        <v>Modern Energy</v>
      </c>
      <c r="C360">
        <v>1</v>
      </c>
      <c r="E360" t="s">
        <v>1662</v>
      </c>
      <c r="F360">
        <v>1</v>
      </c>
    </row>
    <row r="361" spans="2:6" x14ac:dyDescent="0.35">
      <c r="B361" t="str">
        <v>EIG</v>
      </c>
      <c r="C361">
        <v>1</v>
      </c>
      <c r="E361" t="s">
        <v>1663</v>
      </c>
      <c r="F361">
        <v>1</v>
      </c>
    </row>
    <row r="362" spans="2:6" x14ac:dyDescent="0.35">
      <c r="B362" t="str">
        <v>Cottonwood Technology Fund</v>
      </c>
      <c r="C362">
        <v>1</v>
      </c>
      <c r="E362" t="s">
        <v>1664</v>
      </c>
      <c r="F362">
        <v>1</v>
      </c>
    </row>
    <row r="363" spans="2:6" x14ac:dyDescent="0.35">
      <c r="B363" t="str">
        <v>David Palter</v>
      </c>
      <c r="C363">
        <v>1</v>
      </c>
      <c r="E363" t="s">
        <v>1667</v>
      </c>
      <c r="F363">
        <v>1</v>
      </c>
    </row>
    <row r="364" spans="2:6" x14ac:dyDescent="0.35">
      <c r="B364" t="str">
        <v>E8</v>
      </c>
      <c r="C364">
        <v>5</v>
      </c>
      <c r="E364" t="s">
        <v>1668</v>
      </c>
      <c r="F364">
        <v>1</v>
      </c>
    </row>
    <row r="365" spans="2:6" x14ac:dyDescent="0.35">
      <c r="B365" t="str">
        <v>FUND4SE</v>
      </c>
      <c r="C365">
        <v>1</v>
      </c>
      <c r="E365" t="s">
        <v>1669</v>
      </c>
      <c r="F365">
        <v>1</v>
      </c>
    </row>
    <row r="366" spans="2:6" x14ac:dyDescent="0.35">
      <c r="B366" t="str">
        <v>John Paulos</v>
      </c>
      <c r="C366">
        <v>1</v>
      </c>
      <c r="E366" t="s">
        <v>1670</v>
      </c>
      <c r="F366">
        <v>1</v>
      </c>
    </row>
    <row r="367" spans="2:6" x14ac:dyDescent="0.35">
      <c r="B367" t="str">
        <v>Lateral Capital Group</v>
      </c>
      <c r="C367">
        <v>1</v>
      </c>
      <c r="E367" t="s">
        <v>1671</v>
      </c>
      <c r="F367">
        <v>1</v>
      </c>
    </row>
    <row r="368" spans="2:6" x14ac:dyDescent="0.35">
      <c r="B368" t="str">
        <v>Momentum Glass</v>
      </c>
      <c r="C368">
        <v>1</v>
      </c>
      <c r="E368" t="s">
        <v>1672</v>
      </c>
      <c r="F368">
        <v>1</v>
      </c>
    </row>
    <row r="369" spans="2:6" x14ac:dyDescent="0.35">
      <c r="B369" t="str">
        <v>Paulos Holdings</v>
      </c>
      <c r="C369">
        <v>1</v>
      </c>
      <c r="E369" t="s">
        <v>1679</v>
      </c>
      <c r="F369">
        <v>1</v>
      </c>
    </row>
    <row r="370" spans="2:6" x14ac:dyDescent="0.35">
      <c r="B370" t="str">
        <v>R/GA Ventures</v>
      </c>
      <c r="C370">
        <v>1</v>
      </c>
      <c r="E370" t="s">
        <v>1680</v>
      </c>
      <c r="F370">
        <v>1</v>
      </c>
    </row>
    <row r="371" spans="2:6" x14ac:dyDescent="0.35">
      <c r="B371" t="str">
        <v>SIFL</v>
      </c>
      <c r="C371">
        <v>1</v>
      </c>
      <c r="E371" t="s">
        <v>1681</v>
      </c>
      <c r="F371">
        <v>1</v>
      </c>
    </row>
    <row r="372" spans="2:6" x14ac:dyDescent="0.35">
      <c r="B372" t="str">
        <v>SLA Ventures</v>
      </c>
      <c r="C372">
        <v>1</v>
      </c>
      <c r="E372" t="s">
        <v>1682</v>
      </c>
      <c r="F372">
        <v>1</v>
      </c>
    </row>
    <row r="373" spans="2:6" x14ac:dyDescent="0.35">
      <c r="B373" t="str">
        <v>Technology Credit Union</v>
      </c>
      <c r="C373">
        <v>1</v>
      </c>
      <c r="E373" t="s">
        <v>1683</v>
      </c>
      <c r="F373">
        <v>1</v>
      </c>
    </row>
    <row r="374" spans="2:6" x14ac:dyDescent="0.35">
      <c r="B374" t="str">
        <v>VCFuel</v>
      </c>
      <c r="C374">
        <v>1</v>
      </c>
      <c r="E374" t="s">
        <v>1684</v>
      </c>
      <c r="F374">
        <v>1</v>
      </c>
    </row>
    <row r="375" spans="2:6" x14ac:dyDescent="0.35">
      <c r="B375" t="str">
        <v>Saint-Gobain NOVA</v>
      </c>
      <c r="C375">
        <v>1</v>
      </c>
      <c r="E375" t="s">
        <v>1685</v>
      </c>
      <c r="F375">
        <v>1</v>
      </c>
    </row>
    <row r="376" spans="2:6" x14ac:dyDescent="0.35">
      <c r="B376" t="str">
        <v>TEDCO</v>
      </c>
      <c r="C376">
        <v>1</v>
      </c>
      <c r="E376" t="s">
        <v>1686</v>
      </c>
      <c r="F376">
        <v>1</v>
      </c>
    </row>
    <row r="377" spans="2:6" x14ac:dyDescent="0.35">
      <c r="B377" t="str">
        <v>Genesis Park</v>
      </c>
      <c r="C377">
        <v>1</v>
      </c>
      <c r="E377" t="s">
        <v>482</v>
      </c>
      <c r="F377">
        <v>1</v>
      </c>
    </row>
    <row r="378" spans="2:6" x14ac:dyDescent="0.35">
      <c r="B378" t="str">
        <v>E8</v>
      </c>
      <c r="C378">
        <v>5</v>
      </c>
      <c r="E378" t="s">
        <v>1687</v>
      </c>
      <c r="F378">
        <v>1</v>
      </c>
    </row>
    <row r="379" spans="2:6" x14ac:dyDescent="0.35">
      <c r="B379" t="str">
        <v>Keiretsu Capital</v>
      </c>
      <c r="C379">
        <v>2</v>
      </c>
      <c r="E379" t="s">
        <v>1688</v>
      </c>
      <c r="F379">
        <v>1</v>
      </c>
    </row>
    <row r="380" spans="2:6" x14ac:dyDescent="0.35">
      <c r="B380" t="str">
        <v>Balcor Commercial</v>
      </c>
      <c r="C380">
        <v>1</v>
      </c>
      <c r="E380" t="s">
        <v>1689</v>
      </c>
      <c r="F380">
        <v>1</v>
      </c>
    </row>
    <row r="381" spans="2:6" x14ac:dyDescent="0.35">
      <c r="B381" t="str">
        <v>Hasatano Capital</v>
      </c>
      <c r="C381">
        <v>1</v>
      </c>
      <c r="E381" t="s">
        <v>1690</v>
      </c>
      <c r="F381">
        <v>1</v>
      </c>
    </row>
    <row r="382" spans="2:6" x14ac:dyDescent="0.35">
      <c r="B382" t="str">
        <v>0</v>
      </c>
      <c r="C382">
        <v>40</v>
      </c>
      <c r="E382" t="s">
        <v>1693</v>
      </c>
      <c r="F382">
        <v>1</v>
      </c>
    </row>
    <row r="383" spans="2:6" x14ac:dyDescent="0.35">
      <c r="B383" t="str">
        <v>Impact Assets</v>
      </c>
      <c r="C383">
        <v>3</v>
      </c>
      <c r="E383" t="s">
        <v>1694</v>
      </c>
      <c r="F383">
        <v>1</v>
      </c>
    </row>
    <row r="384" spans="2:6" x14ac:dyDescent="0.35">
      <c r="B384" t="str">
        <v>301</v>
      </c>
      <c r="C384">
        <v>1</v>
      </c>
      <c r="E384" t="s">
        <v>1695</v>
      </c>
      <c r="F384">
        <v>1</v>
      </c>
    </row>
    <row r="385" spans="2:6" x14ac:dyDescent="0.35">
      <c r="B385" t="str">
        <v>CAVU Consumer Partners</v>
      </c>
      <c r="C385">
        <v>1</v>
      </c>
      <c r="E385" t="s">
        <v>1696</v>
      </c>
      <c r="F385">
        <v>1</v>
      </c>
    </row>
    <row r="386" spans="2:6" x14ac:dyDescent="0.35">
      <c r="B386" t="str">
        <v>General Mills M13</v>
      </c>
      <c r="C386">
        <v>1</v>
      </c>
      <c r="E386" t="s">
        <v>1698</v>
      </c>
      <c r="F386">
        <v>1</v>
      </c>
    </row>
    <row r="387" spans="2:6" x14ac:dyDescent="0.35">
      <c r="B387" t="str">
        <v>Stray Dog Capital</v>
      </c>
      <c r="C387">
        <v>2</v>
      </c>
      <c r="E387" t="s">
        <v>1699</v>
      </c>
      <c r="F387">
        <v>1</v>
      </c>
    </row>
    <row r="388" spans="2:6" x14ac:dyDescent="0.35">
      <c r="B388" t="str">
        <v>Hatch Blue</v>
      </c>
      <c r="C388">
        <v>1</v>
      </c>
      <c r="E388" t="s">
        <v>1700</v>
      </c>
      <c r="F388">
        <v>1</v>
      </c>
    </row>
    <row r="389" spans="2:6" x14ac:dyDescent="0.35">
      <c r="B389" t="str">
        <v>Moodoos Investments</v>
      </c>
      <c r="C389">
        <v>1</v>
      </c>
      <c r="E389" t="s">
        <v>1701</v>
      </c>
      <c r="F389">
        <v>1</v>
      </c>
    </row>
    <row r="390" spans="2:6" x14ac:dyDescent="0.35">
      <c r="B390" t="str">
        <v>0</v>
      </c>
      <c r="C390">
        <v>40</v>
      </c>
      <c r="E390" t="s">
        <v>1702</v>
      </c>
      <c r="F390">
        <v>1</v>
      </c>
    </row>
    <row r="391" spans="2:6" x14ac:dyDescent="0.35">
      <c r="B391" t="str">
        <v>Fenix Equity Group</v>
      </c>
      <c r="C391">
        <v>1</v>
      </c>
      <c r="E391" t="s">
        <v>1703</v>
      </c>
      <c r="F391">
        <v>1</v>
      </c>
    </row>
    <row r="392" spans="2:6" x14ac:dyDescent="0.35">
      <c r="B392" t="str">
        <v>Ancora Holdings Group</v>
      </c>
      <c r="C392">
        <v>1</v>
      </c>
      <c r="E392" t="s">
        <v>1692</v>
      </c>
      <c r="F392">
        <v>1</v>
      </c>
    </row>
    <row r="393" spans="2:6" x14ac:dyDescent="0.35">
      <c r="B393" t="str">
        <v>Nottingham Unlimited Ventures</v>
      </c>
      <c r="C393">
        <v>1</v>
      </c>
      <c r="E393" t="s">
        <v>1704</v>
      </c>
      <c r="F393">
        <v>1</v>
      </c>
    </row>
    <row r="394" spans="2:6" x14ac:dyDescent="0.35">
      <c r="B394" t="str">
        <v>Cresta Fund Management</v>
      </c>
      <c r="C394">
        <v>1</v>
      </c>
      <c r="E394" t="s">
        <v>1435</v>
      </c>
      <c r="F394">
        <v>1</v>
      </c>
    </row>
    <row r="395" spans="2:6" x14ac:dyDescent="0.35">
      <c r="B395" t="str">
        <v>Philippa Gawley</v>
      </c>
      <c r="C395">
        <v>1</v>
      </c>
      <c r="E395" t="s">
        <v>1705</v>
      </c>
      <c r="F395">
        <v>1</v>
      </c>
    </row>
    <row r="396" spans="2:6" x14ac:dyDescent="0.35">
      <c r="B396" t="str">
        <v>E8</v>
      </c>
      <c r="C396">
        <v>5</v>
      </c>
      <c r="E396" t="s">
        <v>483</v>
      </c>
      <c r="F396">
        <v>1</v>
      </c>
    </row>
    <row r="397" spans="2:6" x14ac:dyDescent="0.35">
      <c r="B397" t="str">
        <v>Harbor Street Ventures</v>
      </c>
      <c r="C397">
        <v>1</v>
      </c>
      <c r="E397" t="s">
        <v>1706</v>
      </c>
      <c r="F397">
        <v>1</v>
      </c>
    </row>
    <row r="398" spans="2:6" x14ac:dyDescent="0.35">
      <c r="B398" t="str">
        <v>Tribeca Early Stage Partners</v>
      </c>
      <c r="C398">
        <v>1</v>
      </c>
      <c r="E398" t="s">
        <v>1710</v>
      </c>
      <c r="F398">
        <v>1</v>
      </c>
    </row>
    <row r="399" spans="2:6" x14ac:dyDescent="0.35">
      <c r="B399" t="str">
        <v>Cantos Ventures</v>
      </c>
      <c r="C399">
        <v>1</v>
      </c>
      <c r="E399" t="s">
        <v>1713</v>
      </c>
      <c r="F399">
        <v>1</v>
      </c>
    </row>
    <row r="400" spans="2:6" x14ac:dyDescent="0.35">
      <c r="B400" t="str">
        <v>Cibersons</v>
      </c>
      <c r="C400">
        <v>1</v>
      </c>
      <c r="E400" t="s">
        <v>1715</v>
      </c>
      <c r="F400">
        <v>1</v>
      </c>
    </row>
    <row r="401" spans="2:6" x14ac:dyDescent="0.35">
      <c r="B401" t="str">
        <v>Collaborative Fund</v>
      </c>
      <c r="C401">
        <v>6</v>
      </c>
      <c r="E401" t="s">
        <v>1716</v>
      </c>
      <c r="F401">
        <v>1</v>
      </c>
    </row>
    <row r="402" spans="2:6" x14ac:dyDescent="0.35">
      <c r="B402" t="str">
        <v>Incite Ventures</v>
      </c>
      <c r="C402">
        <v>2</v>
      </c>
      <c r="E402" t="s">
        <v>1717</v>
      </c>
      <c r="F402">
        <v>1</v>
      </c>
    </row>
    <row r="403" spans="2:6" x14ac:dyDescent="0.35">
      <c r="B403" t="str">
        <v>Social Impact Capital</v>
      </c>
      <c r="C403">
        <v>2</v>
      </c>
      <c r="E403" t="s">
        <v>1718</v>
      </c>
      <c r="F403">
        <v>1</v>
      </c>
    </row>
    <row r="404" spans="2:6" x14ac:dyDescent="0.35">
      <c r="B404" t="str">
        <v>Voyager</v>
      </c>
      <c r="C404">
        <v>1</v>
      </c>
      <c r="E404" t="s">
        <v>1719</v>
      </c>
      <c r="F404">
        <v>1</v>
      </c>
    </row>
    <row r="405" spans="2:6" x14ac:dyDescent="0.35">
      <c r="B405" t="str">
        <v>Impact Science Ventures</v>
      </c>
      <c r="C405">
        <v>2</v>
      </c>
      <c r="E405" t="s">
        <v>1720</v>
      </c>
      <c r="F405">
        <v>1</v>
      </c>
    </row>
    <row r="406" spans="2:6" x14ac:dyDescent="0.35">
      <c r="B406" t="str">
        <v>Khosla Ventures</v>
      </c>
      <c r="C406">
        <v>1</v>
      </c>
      <c r="E406" t="s">
        <v>1721</v>
      </c>
      <c r="F406">
        <v>1</v>
      </c>
    </row>
    <row r="407" spans="2:6" x14ac:dyDescent="0.35">
      <c r="B407" t="str">
        <v>Clean Energy Venture Group</v>
      </c>
      <c r="C407">
        <v>2</v>
      </c>
      <c r="E407" t="s">
        <v>1723</v>
      </c>
      <c r="F407">
        <v>1</v>
      </c>
    </row>
    <row r="408" spans="2:6" x14ac:dyDescent="0.35">
      <c r="B408" t="str">
        <v>Clean Energy Ventures</v>
      </c>
      <c r="C408">
        <v>2</v>
      </c>
      <c r="E408" t="s">
        <v>490</v>
      </c>
      <c r="F408">
        <v>1</v>
      </c>
    </row>
    <row r="409" spans="2:6" x14ac:dyDescent="0.35">
      <c r="B409" t="str">
        <v>Greentown Labs</v>
      </c>
      <c r="C409">
        <v>1</v>
      </c>
      <c r="E409" t="s">
        <v>1724</v>
      </c>
      <c r="F409">
        <v>1</v>
      </c>
    </row>
    <row r="410" spans="2:6" x14ac:dyDescent="0.35">
      <c r="B410" t="str">
        <v>Lighthouse</v>
      </c>
      <c r="C410">
        <v>1</v>
      </c>
      <c r="E410" t="s">
        <v>580</v>
      </c>
      <c r="F410">
        <v>1</v>
      </c>
    </row>
    <row r="411" spans="2:6" x14ac:dyDescent="0.35">
      <c r="B411" t="str">
        <v>Apex Companies</v>
      </c>
      <c r="C411">
        <v>1</v>
      </c>
      <c r="E411" t="s">
        <v>1725</v>
      </c>
      <c r="F411">
        <v>1</v>
      </c>
    </row>
    <row r="412" spans="2:6" x14ac:dyDescent="0.35">
      <c r="B412" t="str">
        <v>Magic Hour (New York)</v>
      </c>
      <c r="C412">
        <v>1</v>
      </c>
      <c r="E412" t="s">
        <v>1726</v>
      </c>
      <c r="F412">
        <v>1</v>
      </c>
    </row>
    <row r="413" spans="2:6" x14ac:dyDescent="0.35">
      <c r="B413" t="str">
        <v>Alumni Ventures</v>
      </c>
      <c r="C413">
        <v>2</v>
      </c>
      <c r="E413" t="s">
        <v>1727</v>
      </c>
      <c r="F413">
        <v>1</v>
      </c>
    </row>
    <row r="414" spans="2:6" x14ac:dyDescent="0.35">
      <c r="B414" t="str">
        <v>Ehukai Investments</v>
      </c>
      <c r="C414">
        <v>1</v>
      </c>
      <c r="E414" t="s">
        <v>1728</v>
      </c>
      <c r="F414">
        <v>1</v>
      </c>
    </row>
    <row r="415" spans="2:6" x14ac:dyDescent="0.35">
      <c r="B415" t="str">
        <v>Trent Orr</v>
      </c>
      <c r="C415">
        <v>1</v>
      </c>
      <c r="E415" t="s">
        <v>1729</v>
      </c>
      <c r="F415">
        <v>1</v>
      </c>
    </row>
    <row r="416" spans="2:6" x14ac:dyDescent="0.35">
      <c r="B416" t="str">
        <v>Elizabeth S. Heavener</v>
      </c>
      <c r="C416">
        <v>1</v>
      </c>
      <c r="E416" t="s">
        <v>1733</v>
      </c>
      <c r="F416">
        <v>1</v>
      </c>
    </row>
    <row r="417" spans="2:6" x14ac:dyDescent="0.35">
      <c r="B417" t="str">
        <v>Serena Woodward</v>
      </c>
      <c r="C417">
        <v>1</v>
      </c>
      <c r="E417" t="s">
        <v>1734</v>
      </c>
      <c r="F417">
        <v>1</v>
      </c>
    </row>
    <row r="418" spans="2:6" x14ac:dyDescent="0.35">
      <c r="B418" t="str">
        <v>Clayton A. Rockefeller</v>
      </c>
      <c r="C418">
        <v>1</v>
      </c>
      <c r="E418" t="s">
        <v>1735</v>
      </c>
      <c r="F418">
        <v>1</v>
      </c>
    </row>
    <row r="419" spans="2:6" x14ac:dyDescent="0.35">
      <c r="B419" t="str">
        <v>Nathan G. Walworth</v>
      </c>
      <c r="C419">
        <v>1</v>
      </c>
      <c r="E419" t="s">
        <v>1736</v>
      </c>
      <c r="F419">
        <v>1</v>
      </c>
    </row>
    <row r="420" spans="2:6" x14ac:dyDescent="0.35">
      <c r="B420" t="str">
        <v>Brian Henry</v>
      </c>
      <c r="C420">
        <v>1</v>
      </c>
      <c r="E420" t="s">
        <v>1738</v>
      </c>
      <c r="F420">
        <v>1</v>
      </c>
    </row>
    <row r="421" spans="2:6" x14ac:dyDescent="0.35">
      <c r="B421" t="str">
        <v>Austin Henry</v>
      </c>
      <c r="C421">
        <v>1</v>
      </c>
      <c r="E421" t="s">
        <v>1742</v>
      </c>
      <c r="F421">
        <v>1</v>
      </c>
    </row>
    <row r="422" spans="2:6" x14ac:dyDescent="0.35">
      <c r="B422" t="str">
        <v>German Property Group</v>
      </c>
      <c r="C422">
        <v>2</v>
      </c>
      <c r="E422" t="s">
        <v>1743</v>
      </c>
      <c r="F422">
        <v>1</v>
      </c>
    </row>
    <row r="423" spans="2:6" x14ac:dyDescent="0.35">
      <c r="B423" t="str">
        <v>Ten Eighty Capital</v>
      </c>
      <c r="C423">
        <v>1</v>
      </c>
      <c r="E423" t="s">
        <v>1744</v>
      </c>
      <c r="F423">
        <v>1</v>
      </c>
    </row>
    <row r="424" spans="2:6" x14ac:dyDescent="0.35">
      <c r="B424" t="str">
        <v>Tuna Investments</v>
      </c>
      <c r="C424">
        <v>1</v>
      </c>
      <c r="E424" t="s">
        <v>1746</v>
      </c>
      <c r="F424">
        <v>1</v>
      </c>
    </row>
    <row r="425" spans="2:6" x14ac:dyDescent="0.35">
      <c r="B425" t="str">
        <v>K2X</v>
      </c>
      <c r="C425">
        <v>1</v>
      </c>
      <c r="E425" t="s">
        <v>1747</v>
      </c>
      <c r="F425">
        <v>1</v>
      </c>
    </row>
    <row r="426" spans="2:6" x14ac:dyDescent="0.35">
      <c r="B426" t="str">
        <v>Anthropocene Ventures</v>
      </c>
      <c r="C426">
        <v>3</v>
      </c>
      <c r="E426" t="s">
        <v>1748</v>
      </c>
      <c r="F426">
        <v>1</v>
      </c>
    </row>
    <row r="427" spans="2:6" x14ac:dyDescent="0.35">
      <c r="B427" t="str">
        <v>Engage Venture Partners</v>
      </c>
      <c r="C427">
        <v>1</v>
      </c>
      <c r="E427" t="s">
        <v>1751</v>
      </c>
      <c r="F427">
        <v>1</v>
      </c>
    </row>
    <row r="428" spans="2:6" x14ac:dyDescent="0.35">
      <c r="B428" t="str">
        <v>Joseph L Stornelli</v>
      </c>
      <c r="C428">
        <v>1</v>
      </c>
      <c r="E428" t="s">
        <v>1752</v>
      </c>
      <c r="F428">
        <v>1</v>
      </c>
    </row>
    <row r="429" spans="2:6" x14ac:dyDescent="0.35">
      <c r="B429" t="str">
        <v>Andrew J Kabatch</v>
      </c>
      <c r="C429">
        <v>1</v>
      </c>
      <c r="E429" t="s">
        <v>1753</v>
      </c>
      <c r="F429">
        <v>1</v>
      </c>
    </row>
    <row r="430" spans="2:6" x14ac:dyDescent="0.35">
      <c r="B430" t="str">
        <v>R. Brent Alderfer</v>
      </c>
      <c r="C430">
        <v>1</v>
      </c>
      <c r="E430" t="s">
        <v>1754</v>
      </c>
      <c r="F430">
        <v>1</v>
      </c>
    </row>
    <row r="431" spans="2:6" x14ac:dyDescent="0.35">
      <c r="B431" t="str">
        <v>Sachin S Joshi</v>
      </c>
      <c r="C431">
        <v>1</v>
      </c>
      <c r="E431" t="s">
        <v>1756</v>
      </c>
      <c r="F431">
        <v>1</v>
      </c>
    </row>
    <row r="432" spans="2:6" x14ac:dyDescent="0.35">
      <c r="B432" t="str">
        <v>John M. Bianchi</v>
      </c>
      <c r="C432">
        <v>1</v>
      </c>
      <c r="E432" t="s">
        <v>1758</v>
      </c>
      <c r="F432">
        <v>1</v>
      </c>
    </row>
    <row r="433" spans="2:6" x14ac:dyDescent="0.35">
      <c r="B433" t="str">
        <v>Robert Durr</v>
      </c>
      <c r="C433">
        <v>1</v>
      </c>
      <c r="E433" t="s">
        <v>1759</v>
      </c>
      <c r="F433">
        <v>1</v>
      </c>
    </row>
    <row r="434" spans="2:6" x14ac:dyDescent="0.35">
      <c r="B434" t="str">
        <v>German Property Group</v>
      </c>
      <c r="C434">
        <v>2</v>
      </c>
      <c r="E434" t="s">
        <v>1760</v>
      </c>
      <c r="F434">
        <v>1</v>
      </c>
    </row>
    <row r="435" spans="2:6" x14ac:dyDescent="0.35">
      <c r="B435" t="str">
        <v>Kilara Capital</v>
      </c>
      <c r="C435">
        <v>1</v>
      </c>
      <c r="E435" t="s">
        <v>1761</v>
      </c>
      <c r="F435">
        <v>1</v>
      </c>
    </row>
    <row r="436" spans="2:6" x14ac:dyDescent="0.35">
      <c r="B436" t="str">
        <v>Kingswood Capital Partners</v>
      </c>
      <c r="C436">
        <v>1</v>
      </c>
      <c r="E436" t="s">
        <v>1763</v>
      </c>
      <c r="F436">
        <v>1</v>
      </c>
    </row>
    <row r="437" spans="2:6" x14ac:dyDescent="0.35">
      <c r="B437" t="str">
        <v>KRG Capital Partners</v>
      </c>
      <c r="C437">
        <v>1</v>
      </c>
      <c r="E437" t="s">
        <v>1764</v>
      </c>
      <c r="F437">
        <v>1</v>
      </c>
    </row>
    <row r="438" spans="2:6" x14ac:dyDescent="0.35">
      <c r="B438" t="str">
        <v>Closed Loop Partners</v>
      </c>
      <c r="C438">
        <v>1</v>
      </c>
      <c r="E438" t="s">
        <v>1765</v>
      </c>
      <c r="F438">
        <v>1</v>
      </c>
    </row>
    <row r="439" spans="2:6" x14ac:dyDescent="0.35">
      <c r="B439" t="str">
        <v>For Good Ventures</v>
      </c>
      <c r="C439">
        <v>2</v>
      </c>
      <c r="E439" t="s">
        <v>1443</v>
      </c>
      <c r="F439">
        <v>1</v>
      </c>
    </row>
    <row r="440" spans="2:6" x14ac:dyDescent="0.35">
      <c r="B440" t="str">
        <v>TWB Investment</v>
      </c>
      <c r="C440">
        <v>1</v>
      </c>
      <c r="E440" t="s">
        <v>1766</v>
      </c>
      <c r="F440">
        <v>1</v>
      </c>
    </row>
    <row r="441" spans="2:6" x14ac:dyDescent="0.35">
      <c r="B441" t="str">
        <v>Gratitude Railroad</v>
      </c>
      <c r="C441">
        <v>2</v>
      </c>
      <c r="E441" t="s">
        <v>1768</v>
      </c>
      <c r="F441">
        <v>1</v>
      </c>
    </row>
    <row r="442" spans="2:6" x14ac:dyDescent="0.35">
      <c r="B442" t="str">
        <v>Sunset Ventures</v>
      </c>
      <c r="C442">
        <v>1</v>
      </c>
      <c r="E442" t="s">
        <v>1769</v>
      </c>
      <c r="F442">
        <v>1</v>
      </c>
    </row>
    <row r="443" spans="2:6" x14ac:dyDescent="0.35">
      <c r="B443" t="str">
        <v>Geekdom Fund</v>
      </c>
      <c r="C443">
        <v>1</v>
      </c>
      <c r="E443" t="s">
        <v>1770</v>
      </c>
      <c r="F443">
        <v>1</v>
      </c>
    </row>
    <row r="444" spans="2:6" x14ac:dyDescent="0.35">
      <c r="B444" t="str">
        <v>Alan Chung</v>
      </c>
      <c r="C444">
        <v>1</v>
      </c>
      <c r="E444" t="s">
        <v>638</v>
      </c>
      <c r="F444">
        <v>1</v>
      </c>
    </row>
    <row r="445" spans="2:6" x14ac:dyDescent="0.35">
      <c r="B445" t="str">
        <v>Gisele Brisson</v>
      </c>
      <c r="C445">
        <v>1</v>
      </c>
      <c r="E445" t="s">
        <v>1771</v>
      </c>
      <c r="F445">
        <v>1</v>
      </c>
    </row>
    <row r="446" spans="2:6" x14ac:dyDescent="0.35">
      <c r="B446" t="str">
        <v>Beth S. Horowitz</v>
      </c>
      <c r="C446">
        <v>1</v>
      </c>
      <c r="E446" t="s">
        <v>1772</v>
      </c>
      <c r="F446">
        <v>1</v>
      </c>
    </row>
    <row r="447" spans="2:6" x14ac:dyDescent="0.35">
      <c r="B447" t="str">
        <v>Margaret Segal</v>
      </c>
      <c r="C447">
        <v>1</v>
      </c>
      <c r="E447" t="s">
        <v>1420</v>
      </c>
      <c r="F447">
        <v>1</v>
      </c>
    </row>
    <row r="448" spans="2:6" x14ac:dyDescent="0.35">
      <c r="B448" t="str">
        <v>Howard Levine</v>
      </c>
      <c r="C448">
        <v>1</v>
      </c>
      <c r="E448" t="s">
        <v>1773</v>
      </c>
      <c r="F448">
        <v>1</v>
      </c>
    </row>
    <row r="449" spans="2:6" x14ac:dyDescent="0.35">
      <c r="B449" t="str">
        <v>Peter Libby</v>
      </c>
      <c r="C449">
        <v>1</v>
      </c>
      <c r="E449" t="s">
        <v>1774</v>
      </c>
      <c r="F449">
        <v>1</v>
      </c>
    </row>
    <row r="450" spans="2:6" x14ac:dyDescent="0.35">
      <c r="B450" t="str">
        <v>Seabird Ventures</v>
      </c>
      <c r="C450">
        <v>2</v>
      </c>
      <c r="E450" t="s">
        <v>1775</v>
      </c>
      <c r="F450">
        <v>1</v>
      </c>
    </row>
    <row r="451" spans="2:6" x14ac:dyDescent="0.35">
      <c r="B451" t="str">
        <v>Impact Assets</v>
      </c>
      <c r="C451">
        <v>3</v>
      </c>
      <c r="E451" t="s">
        <v>1776</v>
      </c>
      <c r="F451">
        <v>1</v>
      </c>
    </row>
    <row r="452" spans="2:6" x14ac:dyDescent="0.35">
      <c r="B452" t="str">
        <v>NaHCO3 and Empire State Developmen</v>
      </c>
      <c r="C452">
        <v>1</v>
      </c>
      <c r="E452" t="s">
        <v>1777</v>
      </c>
      <c r="F452">
        <v>1</v>
      </c>
    </row>
    <row r="453" spans="2:6" x14ac:dyDescent="0.35">
      <c r="B453" t="str">
        <v>Agility Ventures</v>
      </c>
      <c r="C453">
        <v>1</v>
      </c>
      <c r="E453" t="s">
        <v>1778</v>
      </c>
      <c r="F453">
        <v>1</v>
      </c>
    </row>
    <row r="454" spans="2:6" x14ac:dyDescent="0.35">
      <c r="B454" t="str">
        <v>Fifth Wall</v>
      </c>
      <c r="C454">
        <v>1</v>
      </c>
      <c r="E454" t="s">
        <v>1779</v>
      </c>
      <c r="F454">
        <v>1</v>
      </c>
    </row>
    <row r="455" spans="2:6" x14ac:dyDescent="0.35">
      <c r="B455" t="str">
        <v>Keystone National Group</v>
      </c>
      <c r="C455">
        <v>1</v>
      </c>
      <c r="E455" t="s">
        <v>1780</v>
      </c>
      <c r="F455">
        <v>1</v>
      </c>
    </row>
    <row r="456" spans="2:6" x14ac:dyDescent="0.35">
      <c r="B456" t="str">
        <v>Kalyan Vepuri</v>
      </c>
      <c r="C456">
        <v>1</v>
      </c>
      <c r="E456" t="s">
        <v>1781</v>
      </c>
      <c r="F456">
        <v>1</v>
      </c>
    </row>
    <row r="457" spans="2:6" x14ac:dyDescent="0.35">
      <c r="B457" t="str">
        <v>LG Technology Ventures</v>
      </c>
      <c r="C457">
        <v>1</v>
      </c>
      <c r="E457" t="s">
        <v>1782</v>
      </c>
      <c r="F457">
        <v>1</v>
      </c>
    </row>
    <row r="458" spans="2:6" x14ac:dyDescent="0.35">
      <c r="B458" t="str">
        <v>Stonepeak Partners</v>
      </c>
      <c r="C458">
        <v>1</v>
      </c>
      <c r="E458" t="s">
        <v>1783</v>
      </c>
      <c r="F458">
        <v>1</v>
      </c>
    </row>
    <row r="459" spans="2:6" x14ac:dyDescent="0.35">
      <c r="B459" t="str">
        <v>EGI Capital</v>
      </c>
      <c r="C459">
        <v>1</v>
      </c>
      <c r="E459" t="s">
        <v>1434</v>
      </c>
      <c r="F459">
        <v>1</v>
      </c>
    </row>
    <row r="460" spans="2:6" x14ac:dyDescent="0.35">
      <c r="B460" t="str">
        <v>Taihill Venture</v>
      </c>
      <c r="C460">
        <v>1</v>
      </c>
      <c r="E460" t="s">
        <v>1784</v>
      </c>
      <c r="F460">
        <v>1</v>
      </c>
    </row>
    <row r="461" spans="2:6" x14ac:dyDescent="0.35">
      <c r="B461" t="str">
        <v>Ecolab</v>
      </c>
      <c r="C461">
        <v>1</v>
      </c>
      <c r="E461" t="s">
        <v>1785</v>
      </c>
      <c r="F461">
        <v>1</v>
      </c>
    </row>
    <row r="462" spans="2:6" x14ac:dyDescent="0.35">
      <c r="B462" t="str">
        <v>Lam Research</v>
      </c>
      <c r="C462">
        <v>1</v>
      </c>
      <c r="E462" t="s">
        <v>1786</v>
      </c>
      <c r="F462">
        <v>1</v>
      </c>
    </row>
    <row r="463" spans="2:6" x14ac:dyDescent="0.35">
      <c r="B463" t="str">
        <v>New York Angels</v>
      </c>
      <c r="C463">
        <v>1</v>
      </c>
      <c r="E463" t="s">
        <v>1788</v>
      </c>
      <c r="F463">
        <v>1</v>
      </c>
    </row>
    <row r="464" spans="2:6" x14ac:dyDescent="0.35">
      <c r="B464" t="str">
        <v>Pangaea Ventures</v>
      </c>
      <c r="C464">
        <v>1</v>
      </c>
      <c r="E464" t="s">
        <v>1790</v>
      </c>
      <c r="F464">
        <v>1</v>
      </c>
    </row>
    <row r="465" spans="2:6" x14ac:dyDescent="0.35">
      <c r="B465" t="str">
        <v>PuraTerra Ventures</v>
      </c>
      <c r="C465">
        <v>1</v>
      </c>
      <c r="E465" t="s">
        <v>1791</v>
      </c>
      <c r="F465">
        <v>1</v>
      </c>
    </row>
    <row r="466" spans="2:6" x14ac:dyDescent="0.35">
      <c r="B466" t="str">
        <v>W.L. Gore &amp; Associates</v>
      </c>
      <c r="C466">
        <v>1</v>
      </c>
      <c r="E466" t="s">
        <v>1432</v>
      </c>
      <c r="F466">
        <v>1</v>
      </c>
    </row>
    <row r="467" spans="2:6" x14ac:dyDescent="0.35">
      <c r="B467" t="str">
        <v>NextCorps Luminate</v>
      </c>
      <c r="C467">
        <v>1</v>
      </c>
      <c r="E467" t="s">
        <v>488</v>
      </c>
      <c r="F467">
        <v>1</v>
      </c>
    </row>
    <row r="468" spans="2:6" x14ac:dyDescent="0.35">
      <c r="B468" t="str">
        <v>Bidra Innovation Ventures</v>
      </c>
      <c r="C468">
        <v>1</v>
      </c>
      <c r="E468" t="s">
        <v>1792</v>
      </c>
      <c r="F468">
        <v>1</v>
      </c>
    </row>
    <row r="469" spans="2:6" x14ac:dyDescent="0.35">
      <c r="B469" t="str">
        <v>L&amp;F</v>
      </c>
      <c r="C469">
        <v>1</v>
      </c>
      <c r="E469" t="s">
        <v>1793</v>
      </c>
      <c r="F469">
        <v>1</v>
      </c>
    </row>
    <row r="470" spans="2:6" x14ac:dyDescent="0.35">
      <c r="B470" t="str">
        <v>Lane VC</v>
      </c>
      <c r="C470">
        <v>1</v>
      </c>
      <c r="E470" t="s">
        <v>1795</v>
      </c>
      <c r="F470">
        <v>1</v>
      </c>
    </row>
    <row r="471" spans="2:6" x14ac:dyDescent="0.35">
      <c r="B471" t="str">
        <v>Global Emerging Markets</v>
      </c>
      <c r="C471">
        <v>2</v>
      </c>
      <c r="E471" t="s">
        <v>1797</v>
      </c>
      <c r="F471">
        <v>1</v>
      </c>
    </row>
    <row r="472" spans="2:6" x14ac:dyDescent="0.35">
      <c r="B472" t="str">
        <v>Krypton</v>
      </c>
      <c r="C472">
        <v>1</v>
      </c>
      <c r="E472" t="s">
        <v>1798</v>
      </c>
      <c r="F472">
        <v>1</v>
      </c>
    </row>
    <row r="473" spans="2:6" x14ac:dyDescent="0.35">
      <c r="B473" t="str">
        <v>At One Ventures</v>
      </c>
      <c r="C473">
        <v>3</v>
      </c>
      <c r="E473" t="s">
        <v>1799</v>
      </c>
      <c r="F473">
        <v>1</v>
      </c>
    </row>
    <row r="474" spans="2:6" x14ac:dyDescent="0.35">
      <c r="B474" t="str">
        <v>Metaplanet Holdings</v>
      </c>
      <c r="C474">
        <v>2</v>
      </c>
      <c r="E474" t="s">
        <v>1802</v>
      </c>
      <c r="F474">
        <v>1</v>
      </c>
    </row>
    <row r="475" spans="2:6" x14ac:dyDescent="0.35">
      <c r="B475" t="str">
        <v>William Gates</v>
      </c>
      <c r="C475">
        <v>2</v>
      </c>
      <c r="E475" t="s">
        <v>1805</v>
      </c>
      <c r="F475">
        <v>1</v>
      </c>
    </row>
    <row r="476" spans="2:6" x14ac:dyDescent="0.35">
      <c r="B476" t="str">
        <v>Gates Frontier</v>
      </c>
      <c r="C476">
        <v>2</v>
      </c>
      <c r="E476" t="s">
        <v>1806</v>
      </c>
      <c r="F476">
        <v>1</v>
      </c>
    </row>
    <row r="477" spans="2:6" x14ac:dyDescent="0.35">
      <c r="B477" t="str">
        <v>Miura Partners</v>
      </c>
      <c r="C477">
        <v>1</v>
      </c>
      <c r="E477" t="s">
        <v>1807</v>
      </c>
      <c r="F477">
        <v>1</v>
      </c>
    </row>
    <row r="478" spans="2:6" x14ac:dyDescent="0.35">
      <c r="B478" t="str">
        <v>National Grid Partners</v>
      </c>
      <c r="C478">
        <v>1</v>
      </c>
      <c r="E478" t="s">
        <v>1808</v>
      </c>
      <c r="F478">
        <v>1</v>
      </c>
    </row>
    <row r="479" spans="2:6" x14ac:dyDescent="0.35">
      <c r="B479" t="str">
        <v>NextEra Energy</v>
      </c>
      <c r="C479">
        <v>2</v>
      </c>
      <c r="E479" t="s">
        <v>1809</v>
      </c>
      <c r="F479">
        <v>1</v>
      </c>
    </row>
    <row r="480" spans="2:6" x14ac:dyDescent="0.35">
      <c r="B480" t="str">
        <v>Towards Net Zero</v>
      </c>
      <c r="C480">
        <v>1</v>
      </c>
      <c r="E480" t="s">
        <v>1810</v>
      </c>
      <c r="F480">
        <v>1</v>
      </c>
    </row>
    <row r="481" spans="2:6" x14ac:dyDescent="0.35">
      <c r="B481" t="str">
        <v>Unreasonable Impact</v>
      </c>
      <c r="C481">
        <v>2</v>
      </c>
      <c r="E481" t="s">
        <v>1811</v>
      </c>
      <c r="F481">
        <v>1</v>
      </c>
    </row>
    <row r="482" spans="2:6" x14ac:dyDescent="0.35">
      <c r="B482" t="str">
        <v>Freestone Sponsors</v>
      </c>
      <c r="C482">
        <v>1</v>
      </c>
      <c r="E482" t="s">
        <v>1812</v>
      </c>
      <c r="F482">
        <v>1</v>
      </c>
    </row>
    <row r="483" spans="2:6" x14ac:dyDescent="0.35">
      <c r="B483" t="str">
        <v>Warburg Pincus</v>
      </c>
      <c r="C483">
        <v>2</v>
      </c>
      <c r="E483" t="s">
        <v>1813</v>
      </c>
      <c r="F483">
        <v>1</v>
      </c>
    </row>
    <row r="484" spans="2:6" x14ac:dyDescent="0.35">
      <c r="B484" t="str">
        <v>Accelr8</v>
      </c>
      <c r="C484">
        <v>1</v>
      </c>
      <c r="E484" t="s">
        <v>1814</v>
      </c>
      <c r="F484">
        <v>1</v>
      </c>
    </row>
    <row r="485" spans="2:6" x14ac:dyDescent="0.35">
      <c r="B485" t="str">
        <v>Collaborative Fund</v>
      </c>
      <c r="C485">
        <v>6</v>
      </c>
      <c r="E485" t="s">
        <v>1815</v>
      </c>
      <c r="F485">
        <v>1</v>
      </c>
    </row>
    <row r="486" spans="2:6" x14ac:dyDescent="0.35">
      <c r="B486" t="str">
        <v>DNS Capital</v>
      </c>
      <c r="C486">
        <v>1</v>
      </c>
      <c r="E486" t="s">
        <v>1816</v>
      </c>
      <c r="F486">
        <v>1</v>
      </c>
    </row>
    <row r="487" spans="2:6" x14ac:dyDescent="0.35">
      <c r="B487" t="str">
        <v>For Good Ventures</v>
      </c>
      <c r="C487">
        <v>2</v>
      </c>
      <c r="E487" t="s">
        <v>1817</v>
      </c>
      <c r="F487">
        <v>1</v>
      </c>
    </row>
    <row r="488" spans="2:6" x14ac:dyDescent="0.35">
      <c r="B488" t="str">
        <v>Plug &amp; Play Tech Center</v>
      </c>
      <c r="C488">
        <v>2</v>
      </c>
      <c r="E488" t="s">
        <v>1818</v>
      </c>
      <c r="F488">
        <v>1</v>
      </c>
    </row>
    <row r="489" spans="2:6" x14ac:dyDescent="0.35">
      <c r="B489" t="str">
        <v>Thia Ventures</v>
      </c>
      <c r="C489">
        <v>1</v>
      </c>
      <c r="E489" t="s">
        <v>1819</v>
      </c>
      <c r="F489">
        <v>1</v>
      </c>
    </row>
    <row r="490" spans="2:6" x14ac:dyDescent="0.35">
      <c r="B490" t="str">
        <v>Toba Capital</v>
      </c>
      <c r="C490">
        <v>1</v>
      </c>
      <c r="E490" t="s">
        <v>1820</v>
      </c>
      <c r="F490">
        <v>1</v>
      </c>
    </row>
    <row r="491" spans="2:6" x14ac:dyDescent="0.35">
      <c r="B491" t="str">
        <v>0</v>
      </c>
      <c r="C491">
        <v>40</v>
      </c>
      <c r="E491" t="s">
        <v>1821</v>
      </c>
      <c r="F491">
        <v>1</v>
      </c>
    </row>
    <row r="492" spans="2:6" x14ac:dyDescent="0.35">
      <c r="B492" t="str">
        <v>ENEOS Holdings</v>
      </c>
      <c r="C492">
        <v>1</v>
      </c>
      <c r="E492" t="s">
        <v>1822</v>
      </c>
      <c r="F492">
        <v>1</v>
      </c>
    </row>
    <row r="493" spans="2:6" x14ac:dyDescent="0.35">
      <c r="B493" t="str">
        <v>4WARD.vc</v>
      </c>
      <c r="C493">
        <v>1</v>
      </c>
      <c r="E493" t="s">
        <v>1823</v>
      </c>
      <c r="F493">
        <v>1</v>
      </c>
    </row>
    <row r="494" spans="2:6" x14ac:dyDescent="0.35">
      <c r="B494" t="str">
        <v>Alumni Ventures</v>
      </c>
      <c r="C494">
        <v>2</v>
      </c>
      <c r="E494" t="s">
        <v>1824</v>
      </c>
      <c r="F494">
        <v>1</v>
      </c>
    </row>
    <row r="495" spans="2:6" x14ac:dyDescent="0.35">
      <c r="B495" t="str">
        <v>Anthropocene Ventures</v>
      </c>
      <c r="C495">
        <v>3</v>
      </c>
      <c r="E495" t="s">
        <v>1829</v>
      </c>
      <c r="F495">
        <v>1</v>
      </c>
    </row>
    <row r="496" spans="2:6" x14ac:dyDescent="0.35">
      <c r="B496" t="str">
        <v>Lofty Ventures</v>
      </c>
      <c r="C496">
        <v>1</v>
      </c>
      <c r="E496" t="s">
        <v>1830</v>
      </c>
      <c r="F496">
        <v>1</v>
      </c>
    </row>
    <row r="497" spans="2:6" x14ac:dyDescent="0.35">
      <c r="B497" t="str">
        <v>Right Side Capital Management</v>
      </c>
      <c r="C497">
        <v>1</v>
      </c>
      <c r="E497" t="s">
        <v>1831</v>
      </c>
      <c r="F497">
        <v>1</v>
      </c>
    </row>
    <row r="498" spans="2:6" x14ac:dyDescent="0.35">
      <c r="B498" t="str">
        <v>Service Provider Capital</v>
      </c>
      <c r="C498">
        <v>1</v>
      </c>
      <c r="E498" t="s">
        <v>1832</v>
      </c>
      <c r="F498">
        <v>1</v>
      </c>
    </row>
    <row r="499" spans="2:6" x14ac:dyDescent="0.35">
      <c r="B499" t="str">
        <v>TELUS Global Ventures</v>
      </c>
      <c r="C499">
        <v>1</v>
      </c>
      <c r="E499" t="s">
        <v>1833</v>
      </c>
      <c r="F499">
        <v>1</v>
      </c>
    </row>
    <row r="500" spans="2:6" x14ac:dyDescent="0.35">
      <c r="B500" t="str">
        <v>0</v>
      </c>
      <c r="C500">
        <v>40</v>
      </c>
      <c r="E500" t="s">
        <v>1834</v>
      </c>
      <c r="F500">
        <v>1</v>
      </c>
    </row>
    <row r="501" spans="2:6" x14ac:dyDescent="0.35">
      <c r="B501" t="str">
        <v>Global Cleantech Capital</v>
      </c>
      <c r="C501">
        <v>1</v>
      </c>
      <c r="E501" t="s">
        <v>1835</v>
      </c>
      <c r="F501">
        <v>1</v>
      </c>
    </row>
    <row r="502" spans="2:6" x14ac:dyDescent="0.35">
      <c r="B502" t="str">
        <v>Ajax Strategies</v>
      </c>
      <c r="C502">
        <v>1</v>
      </c>
      <c r="E502" t="s">
        <v>1836</v>
      </c>
      <c r="F502">
        <v>1</v>
      </c>
    </row>
    <row r="503" spans="2:6" x14ac:dyDescent="0.35">
      <c r="B503" t="str">
        <v>Breakthrough Energy</v>
      </c>
      <c r="C503">
        <v>3</v>
      </c>
      <c r="E503" t="s">
        <v>1837</v>
      </c>
      <c r="F503">
        <v>1</v>
      </c>
    </row>
    <row r="504" spans="2:6" x14ac:dyDescent="0.35">
      <c r="B504" t="str">
        <v>Emerson Collective</v>
      </c>
      <c r="C504">
        <v>1</v>
      </c>
      <c r="E504" t="s">
        <v>1838</v>
      </c>
      <c r="F504">
        <v>1</v>
      </c>
    </row>
    <row r="505" spans="2:6" x14ac:dyDescent="0.35">
      <c r="B505" t="str">
        <v>mTerra Ventures</v>
      </c>
      <c r="C505">
        <v>1</v>
      </c>
      <c r="E505" t="s">
        <v>1839</v>
      </c>
      <c r="F505">
        <v>1</v>
      </c>
    </row>
    <row r="506" spans="2:6" x14ac:dyDescent="0.35">
      <c r="B506" t="str">
        <v>Schneider Electric</v>
      </c>
      <c r="C506">
        <v>1</v>
      </c>
      <c r="E506" t="s">
        <v>1841</v>
      </c>
      <c r="F506">
        <v>1</v>
      </c>
    </row>
    <row r="507" spans="2:6" x14ac:dyDescent="0.35">
      <c r="B507" t="str">
        <v>SE Ventures</v>
      </c>
      <c r="C507">
        <v>1</v>
      </c>
      <c r="E507" t="s">
        <v>1842</v>
      </c>
      <c r="F507">
        <v>1</v>
      </c>
    </row>
    <row r="508" spans="2:6" x14ac:dyDescent="0.35">
      <c r="B508" t="str">
        <v>Chevron Technology Ventures</v>
      </c>
      <c r="C508">
        <v>2</v>
      </c>
      <c r="E508" t="s">
        <v>781</v>
      </c>
      <c r="F508">
        <v>1</v>
      </c>
    </row>
    <row r="509" spans="2:6" x14ac:dyDescent="0.35">
      <c r="B509" t="str">
        <v>Prithvi Ventures</v>
      </c>
      <c r="C509">
        <v>1</v>
      </c>
      <c r="E509" t="s">
        <v>1843</v>
      </c>
      <c r="F509">
        <v>1</v>
      </c>
    </row>
    <row r="510" spans="2:6" x14ac:dyDescent="0.35">
      <c r="B510" t="str">
        <v>0</v>
      </c>
      <c r="C510">
        <v>40</v>
      </c>
      <c r="E510" t="s">
        <v>1844</v>
      </c>
      <c r="F510">
        <v>1</v>
      </c>
    </row>
    <row r="511" spans="2:6" x14ac:dyDescent="0.35">
      <c r="B511" t="str">
        <v>Enechange</v>
      </c>
      <c r="C511">
        <v>1</v>
      </c>
      <c r="E511" t="s">
        <v>1846</v>
      </c>
      <c r="F511">
        <v>1</v>
      </c>
    </row>
    <row r="512" spans="2:6" x14ac:dyDescent="0.35">
      <c r="B512" t="str">
        <v>Japan Energy Fund</v>
      </c>
      <c r="C512">
        <v>1</v>
      </c>
      <c r="E512" t="s">
        <v>1848</v>
      </c>
      <c r="F512">
        <v>1</v>
      </c>
    </row>
    <row r="513" spans="2:6" x14ac:dyDescent="0.35">
      <c r="B513" t="str">
        <v>New Luna Ventures</v>
      </c>
      <c r="C513">
        <v>1</v>
      </c>
      <c r="E513" t="s">
        <v>1849</v>
      </c>
      <c r="F513">
        <v>1</v>
      </c>
    </row>
    <row r="514" spans="2:6" x14ac:dyDescent="0.35">
      <c r="B514" t="str">
        <v>Schneider Electric USA Common Trust</v>
      </c>
      <c r="C514">
        <v>1</v>
      </c>
      <c r="E514" t="s">
        <v>1850</v>
      </c>
      <c r="F514">
        <v>1</v>
      </c>
    </row>
    <row r="515" spans="2:6" x14ac:dyDescent="0.35">
      <c r="B515" t="str">
        <v>Leonardo DiCaprio</v>
      </c>
      <c r="C515">
        <v>2</v>
      </c>
      <c r="E515" t="s">
        <v>1851</v>
      </c>
      <c r="F515">
        <v>1</v>
      </c>
    </row>
    <row r="516" spans="2:6" x14ac:dyDescent="0.35">
      <c r="B516" t="str">
        <v>Next Act Fund</v>
      </c>
      <c r="C516">
        <v>1</v>
      </c>
      <c r="E516" t="s">
        <v>1852</v>
      </c>
      <c r="F516">
        <v>1</v>
      </c>
    </row>
    <row r="517" spans="2:6" x14ac:dyDescent="0.35">
      <c r="B517" t="str">
        <v>Portfolia</v>
      </c>
      <c r="C517">
        <v>2</v>
      </c>
      <c r="E517" t="s">
        <v>1853</v>
      </c>
      <c r="F517">
        <v>1</v>
      </c>
    </row>
    <row r="518" spans="2:6" x14ac:dyDescent="0.35">
      <c r="B518" t="str">
        <v>Regeneration VC</v>
      </c>
      <c r="C518">
        <v>1</v>
      </c>
      <c r="E518" t="s">
        <v>1854</v>
      </c>
      <c r="F518">
        <v>1</v>
      </c>
    </row>
    <row r="519" spans="2:6" x14ac:dyDescent="0.35">
      <c r="B519" t="str">
        <v>The 22 Fund</v>
      </c>
      <c r="C519">
        <v>1</v>
      </c>
      <c r="E519" t="s">
        <v>1855</v>
      </c>
      <c r="F519">
        <v>1</v>
      </c>
    </row>
    <row r="520" spans="2:6" x14ac:dyDescent="0.35">
      <c r="B520" t="str">
        <v>Genoa Ventures</v>
      </c>
      <c r="C520">
        <v>1</v>
      </c>
      <c r="E520" t="s">
        <v>1856</v>
      </c>
      <c r="F520">
        <v>1</v>
      </c>
    </row>
    <row r="521" spans="2:6" x14ac:dyDescent="0.35">
      <c r="B521" t="str">
        <v>Schreiber Ventures</v>
      </c>
      <c r="C521">
        <v>1</v>
      </c>
      <c r="E521" t="s">
        <v>1857</v>
      </c>
      <c r="F521">
        <v>1</v>
      </c>
    </row>
    <row r="522" spans="2:6" x14ac:dyDescent="0.35">
      <c r="B522" t="str">
        <v>Synthesis Capital</v>
      </c>
      <c r="C522">
        <v>1</v>
      </c>
      <c r="E522" t="s">
        <v>1438</v>
      </c>
      <c r="F522">
        <v>1</v>
      </c>
    </row>
    <row r="523" spans="2:6" x14ac:dyDescent="0.35">
      <c r="B523" t="str">
        <v>Greenbacker Capital Management</v>
      </c>
      <c r="C523">
        <v>2</v>
      </c>
      <c r="E523" t="s">
        <v>1858</v>
      </c>
      <c r="F523">
        <v>1</v>
      </c>
    </row>
    <row r="524" spans="2:6" x14ac:dyDescent="0.35">
      <c r="B524" t="str">
        <v>Arsenal Growth</v>
      </c>
      <c r="C524">
        <v>1</v>
      </c>
      <c r="E524" t="s">
        <v>1859</v>
      </c>
      <c r="F524">
        <v>1</v>
      </c>
    </row>
    <row r="525" spans="2:6" x14ac:dyDescent="0.35">
      <c r="B525" t="str">
        <v>0</v>
      </c>
      <c r="C525">
        <v>40</v>
      </c>
      <c r="E525" t="s">
        <v>654</v>
      </c>
      <c r="F525">
        <v>1</v>
      </c>
    </row>
    <row r="526" spans="2:6" x14ac:dyDescent="0.35">
      <c r="B526" t="str">
        <v>0</v>
      </c>
      <c r="C526">
        <v>40</v>
      </c>
      <c r="E526" t="s">
        <v>498</v>
      </c>
      <c r="F526">
        <v>1</v>
      </c>
    </row>
    <row r="527" spans="2:6" x14ac:dyDescent="0.35">
      <c r="B527" t="str">
        <v>Blue Horizon Corporation</v>
      </c>
      <c r="C527">
        <v>1</v>
      </c>
      <c r="E527" t="s">
        <v>1861</v>
      </c>
      <c r="F527">
        <v>1</v>
      </c>
    </row>
    <row r="528" spans="2:6" x14ac:dyDescent="0.35">
      <c r="B528" t="str">
        <v>Leaps by Bayer</v>
      </c>
      <c r="C528">
        <v>1</v>
      </c>
      <c r="E528" t="s">
        <v>1862</v>
      </c>
      <c r="F528">
        <v>1</v>
      </c>
    </row>
    <row r="529" spans="2:6" x14ac:dyDescent="0.35">
      <c r="B529" t="str">
        <v>Lever VC</v>
      </c>
      <c r="C529">
        <v>1</v>
      </c>
      <c r="E529" t="s">
        <v>1863</v>
      </c>
      <c r="F529">
        <v>1</v>
      </c>
    </row>
    <row r="530" spans="2:6" x14ac:dyDescent="0.35">
      <c r="B530" t="str">
        <v>Lifely VC</v>
      </c>
      <c r="C530">
        <v>1</v>
      </c>
      <c r="E530" t="s">
        <v>1865</v>
      </c>
      <c r="F530">
        <v>1</v>
      </c>
    </row>
    <row r="531" spans="2:6" x14ac:dyDescent="0.35">
      <c r="B531" t="str">
        <v>Mudcake</v>
      </c>
      <c r="C531">
        <v>1</v>
      </c>
      <c r="E531" t="s">
        <v>1866</v>
      </c>
      <c r="F531">
        <v>1</v>
      </c>
    </row>
    <row r="532" spans="2:6" x14ac:dyDescent="0.35">
      <c r="B532" t="str">
        <v>The House Fund</v>
      </c>
      <c r="C532">
        <v>1</v>
      </c>
      <c r="E532" t="s">
        <v>1867</v>
      </c>
      <c r="F532">
        <v>1</v>
      </c>
    </row>
    <row r="533" spans="2:6" x14ac:dyDescent="0.35">
      <c r="B533" t="str">
        <v>0</v>
      </c>
      <c r="C533">
        <v>40</v>
      </c>
      <c r="E533" t="s">
        <v>1868</v>
      </c>
      <c r="F533">
        <v>1</v>
      </c>
    </row>
    <row r="534" spans="2:6" x14ac:dyDescent="0.35">
      <c r="B534" t="str">
        <v>Netcapital</v>
      </c>
      <c r="C534">
        <v>1</v>
      </c>
      <c r="E534" t="s">
        <v>1869</v>
      </c>
      <c r="F534">
        <v>1</v>
      </c>
    </row>
    <row r="535" spans="2:6" x14ac:dyDescent="0.35">
      <c r="B535" t="str">
        <v>Canadian Shield Capital</v>
      </c>
      <c r="C535">
        <v>1</v>
      </c>
      <c r="E535" t="s">
        <v>1870</v>
      </c>
      <c r="F535">
        <v>1</v>
      </c>
    </row>
    <row r="536" spans="2:6" x14ac:dyDescent="0.35">
      <c r="B536" t="str">
        <v>Hatch</v>
      </c>
      <c r="C536">
        <v>1</v>
      </c>
      <c r="E536" t="s">
        <v>1871</v>
      </c>
      <c r="F536">
        <v>1</v>
      </c>
    </row>
    <row r="537" spans="2:6" x14ac:dyDescent="0.35">
      <c r="B537" t="str">
        <v>Red Devil Investors</v>
      </c>
      <c r="C537">
        <v>1</v>
      </c>
      <c r="E537" t="s">
        <v>1872</v>
      </c>
      <c r="F537">
        <v>1</v>
      </c>
    </row>
    <row r="538" spans="2:6" x14ac:dyDescent="0.35">
      <c r="B538" t="str">
        <v>0</v>
      </c>
      <c r="C538">
        <v>40</v>
      </c>
      <c r="E538" t="s">
        <v>1873</v>
      </c>
      <c r="F538">
        <v>1</v>
      </c>
    </row>
    <row r="539" spans="2:6" x14ac:dyDescent="0.35">
      <c r="B539" t="str">
        <v>Khasma Capital</v>
      </c>
      <c r="C539">
        <v>1</v>
      </c>
      <c r="E539" t="s">
        <v>1874</v>
      </c>
      <c r="F539">
        <v>1</v>
      </c>
    </row>
    <row r="540" spans="2:6" x14ac:dyDescent="0.35">
      <c r="B540" t="str">
        <v>Chamaeleon</v>
      </c>
      <c r="C540">
        <v>1</v>
      </c>
      <c r="E540" t="s">
        <v>1875</v>
      </c>
      <c r="F540">
        <v>1</v>
      </c>
    </row>
    <row r="541" spans="2:6" x14ac:dyDescent="0.35">
      <c r="B541" t="str">
        <v>Eric Lamb</v>
      </c>
      <c r="C541">
        <v>1</v>
      </c>
      <c r="E541" t="s">
        <v>1876</v>
      </c>
      <c r="F541">
        <v>1</v>
      </c>
    </row>
    <row r="542" spans="2:6" x14ac:dyDescent="0.35">
      <c r="B542" t="str">
        <v>Frederic Luddy</v>
      </c>
      <c r="C542">
        <v>1</v>
      </c>
      <c r="E542" t="s">
        <v>475</v>
      </c>
      <c r="F542">
        <v>1</v>
      </c>
    </row>
    <row r="543" spans="2:6" x14ac:dyDescent="0.35">
      <c r="B543" t="str">
        <v>KBW Ventures</v>
      </c>
      <c r="C543">
        <v>2</v>
      </c>
      <c r="E543" t="s">
        <v>1880</v>
      </c>
      <c r="F543">
        <v>1</v>
      </c>
    </row>
    <row r="544" spans="2:6" x14ac:dyDescent="0.35">
      <c r="B544" t="str">
        <v>Kenneth Birdwell</v>
      </c>
      <c r="C544">
        <v>1</v>
      </c>
      <c r="E544" t="s">
        <v>1882</v>
      </c>
      <c r="F544">
        <v>1</v>
      </c>
    </row>
    <row r="545" spans="2:6" x14ac:dyDescent="0.35">
      <c r="B545" t="str">
        <v>Michael Heffernanl Novak Djokovic</v>
      </c>
      <c r="C545">
        <v>1</v>
      </c>
      <c r="E545" t="s">
        <v>1883</v>
      </c>
      <c r="F545">
        <v>1</v>
      </c>
    </row>
    <row r="546" spans="2:6" x14ac:dyDescent="0.35">
      <c r="B546" t="str">
        <v>Southland Industries</v>
      </c>
      <c r="C546">
        <v>1</v>
      </c>
      <c r="E546" t="s">
        <v>1887</v>
      </c>
      <c r="F546">
        <v>1</v>
      </c>
    </row>
    <row r="547" spans="2:6" x14ac:dyDescent="0.35">
      <c r="B547" t="str">
        <v>Steve Chen</v>
      </c>
      <c r="C547">
        <v>1</v>
      </c>
      <c r="E547" t="s">
        <v>1891</v>
      </c>
      <c r="F547">
        <v>1</v>
      </c>
    </row>
    <row r="548" spans="2:6" x14ac:dyDescent="0.35">
      <c r="B548" t="str">
        <v>Western Technology Investment</v>
      </c>
      <c r="C548">
        <v>1</v>
      </c>
      <c r="E548" t="s">
        <v>1892</v>
      </c>
      <c r="F548">
        <v>1</v>
      </c>
    </row>
    <row r="549" spans="2:6" x14ac:dyDescent="0.35">
      <c r="B549" t="str">
        <v>Ecovyst</v>
      </c>
      <c r="C549">
        <v>1</v>
      </c>
      <c r="E549" t="s">
        <v>1893</v>
      </c>
      <c r="F549">
        <v>1</v>
      </c>
    </row>
    <row r="550" spans="2:6" x14ac:dyDescent="0.35">
      <c r="B550" t="str">
        <v>Kia</v>
      </c>
      <c r="C550">
        <v>1</v>
      </c>
      <c r="E550" t="s">
        <v>1894</v>
      </c>
      <c r="F550">
        <v>1</v>
      </c>
    </row>
    <row r="551" spans="2:6" x14ac:dyDescent="0.35">
      <c r="B551" t="str">
        <v>Fortistar (Nadeem Nisar)</v>
      </c>
      <c r="C551">
        <v>1</v>
      </c>
      <c r="E551" t="s">
        <v>1895</v>
      </c>
      <c r="F551">
        <v>1</v>
      </c>
    </row>
    <row r="552" spans="2:6" x14ac:dyDescent="0.35">
      <c r="B552" t="str">
        <v>Elevate Ventures</v>
      </c>
      <c r="C552">
        <v>2</v>
      </c>
      <c r="E552" t="s">
        <v>1896</v>
      </c>
      <c r="F552">
        <v>1</v>
      </c>
    </row>
    <row r="553" spans="2:6" x14ac:dyDescent="0.35">
      <c r="B553" t="str">
        <v>Conti Ventures</v>
      </c>
      <c r="C553">
        <v>4</v>
      </c>
      <c r="E553" t="s">
        <v>1897</v>
      </c>
      <c r="F553">
        <v>1</v>
      </c>
    </row>
    <row r="554" spans="2:6" x14ac:dyDescent="0.35">
      <c r="B554" t="str">
        <v>Five Seasons Ventures</v>
      </c>
      <c r="C554">
        <v>3</v>
      </c>
      <c r="E554" t="s">
        <v>1898</v>
      </c>
      <c r="F554">
        <v>1</v>
      </c>
    </row>
    <row r="555" spans="2:6" x14ac:dyDescent="0.35">
      <c r="B555" t="str">
        <v>ICONIQ Growth</v>
      </c>
      <c r="C555">
        <v>1</v>
      </c>
      <c r="E555" t="s">
        <v>1902</v>
      </c>
      <c r="F555">
        <v>1</v>
      </c>
    </row>
    <row r="556" spans="2:6" x14ac:dyDescent="0.35">
      <c r="B556" t="str">
        <v>Lion Ventures</v>
      </c>
      <c r="C556">
        <v>1</v>
      </c>
      <c r="E556" t="s">
        <v>1903</v>
      </c>
      <c r="F556">
        <v>1</v>
      </c>
    </row>
    <row r="557" spans="2:6" x14ac:dyDescent="0.35">
      <c r="B557" t="str">
        <v>Temasek Holdings</v>
      </c>
      <c r="C557">
        <v>8</v>
      </c>
      <c r="E557" t="s">
        <v>1904</v>
      </c>
      <c r="F557">
        <v>1</v>
      </c>
    </row>
    <row r="558" spans="2:6" x14ac:dyDescent="0.35">
      <c r="B558" t="str">
        <v>Verus International</v>
      </c>
      <c r="C558">
        <v>1</v>
      </c>
      <c r="E558" t="s">
        <v>1906</v>
      </c>
      <c r="F558">
        <v>1</v>
      </c>
    </row>
    <row r="559" spans="2:6" x14ac:dyDescent="0.35">
      <c r="B559" t="str">
        <v>B37 Ventures</v>
      </c>
      <c r="C559">
        <v>1</v>
      </c>
      <c r="E559" t="s">
        <v>1907</v>
      </c>
      <c r="F559">
        <v>1</v>
      </c>
    </row>
    <row r="560" spans="2:6" x14ac:dyDescent="0.35">
      <c r="B560" t="str">
        <v>Sonny Vu</v>
      </c>
      <c r="C560">
        <v>1</v>
      </c>
      <c r="E560" t="s">
        <v>1908</v>
      </c>
      <c r="F560">
        <v>1</v>
      </c>
    </row>
    <row r="561" spans="2:6" x14ac:dyDescent="0.35">
      <c r="B561" t="str">
        <v>Emerald Technology Ventures</v>
      </c>
      <c r="C561">
        <v>1</v>
      </c>
      <c r="E561" t="s">
        <v>1909</v>
      </c>
      <c r="F561">
        <v>1</v>
      </c>
    </row>
    <row r="562" spans="2:6" x14ac:dyDescent="0.35">
      <c r="B562" t="str">
        <v>Pegasus Capital Advisors</v>
      </c>
      <c r="C562">
        <v>1</v>
      </c>
      <c r="E562" t="s">
        <v>1910</v>
      </c>
      <c r="F562">
        <v>1</v>
      </c>
    </row>
    <row r="563" spans="2:6" x14ac:dyDescent="0.35">
      <c r="B563" t="str">
        <v>Third Prime</v>
      </c>
      <c r="C563">
        <v>1</v>
      </c>
      <c r="E563" t="s">
        <v>1911</v>
      </c>
      <c r="F563">
        <v>1</v>
      </c>
    </row>
    <row r="564" spans="2:6" x14ac:dyDescent="0.35">
      <c r="B564" t="str">
        <v>Decathlon Capital Partners</v>
      </c>
      <c r="C564">
        <v>1</v>
      </c>
      <c r="E564" t="s">
        <v>1912</v>
      </c>
      <c r="F564">
        <v>1</v>
      </c>
    </row>
    <row r="565" spans="2:6" x14ac:dyDescent="0.35">
      <c r="B565" t="str">
        <v>Nexter Ventures</v>
      </c>
      <c r="C565">
        <v>1</v>
      </c>
      <c r="E565" t="s">
        <v>1913</v>
      </c>
      <c r="F565">
        <v>1</v>
      </c>
    </row>
    <row r="566" spans="2:6" x14ac:dyDescent="0.35">
      <c r="B566" t="str">
        <v>0</v>
      </c>
      <c r="C566">
        <v>40</v>
      </c>
      <c r="E566" t="s">
        <v>1914</v>
      </c>
      <c r="F566">
        <v>1</v>
      </c>
    </row>
    <row r="567" spans="2:6" x14ac:dyDescent="0.35">
      <c r="B567" t="str">
        <v>Asymmetry Ventures</v>
      </c>
      <c r="C567">
        <v>2</v>
      </c>
      <c r="E567" t="s">
        <v>1885</v>
      </c>
      <c r="F567">
        <v>1</v>
      </c>
    </row>
    <row r="568" spans="2:6" x14ac:dyDescent="0.35">
      <c r="B568" t="str">
        <v>Climate Capital</v>
      </c>
      <c r="C568">
        <v>7</v>
      </c>
      <c r="E568" t="s">
        <v>1884</v>
      </c>
      <c r="F568">
        <v>1</v>
      </c>
    </row>
    <row r="569" spans="2:6" x14ac:dyDescent="0.35">
      <c r="B569" t="str">
        <v>Collaborative Fund</v>
      </c>
      <c r="C569">
        <v>6</v>
      </c>
      <c r="E569" t="s">
        <v>1916</v>
      </c>
      <c r="F569">
        <v>1</v>
      </c>
    </row>
    <row r="570" spans="2:6" x14ac:dyDescent="0.35">
      <c r="B570" t="str">
        <v>Ecosphere Ventures</v>
      </c>
      <c r="C570">
        <v>2</v>
      </c>
      <c r="E570" t="s">
        <v>1917</v>
      </c>
      <c r="F570">
        <v>1</v>
      </c>
    </row>
    <row r="571" spans="2:6" x14ac:dyDescent="0.35">
      <c r="B571" t="str">
        <v>Leap Forward Ventures</v>
      </c>
      <c r="C571">
        <v>1</v>
      </c>
      <c r="E571" t="s">
        <v>1888</v>
      </c>
      <c r="F571">
        <v>1</v>
      </c>
    </row>
    <row r="572" spans="2:6" x14ac:dyDescent="0.35">
      <c r="B572" t="str">
        <v>Liquid 2 Ventures</v>
      </c>
      <c r="C572">
        <v>1</v>
      </c>
      <c r="E572" t="s">
        <v>1919</v>
      </c>
      <c r="F572">
        <v>1</v>
      </c>
    </row>
    <row r="573" spans="2:6" x14ac:dyDescent="0.35">
      <c r="B573" t="str">
        <v>Shared Future Fund</v>
      </c>
      <c r="C573">
        <v>1</v>
      </c>
      <c r="E573" t="s">
        <v>1920</v>
      </c>
      <c r="F573">
        <v>1</v>
      </c>
    </row>
    <row r="574" spans="2:6" x14ac:dyDescent="0.35">
      <c r="B574" t="str">
        <v>Soma Capital</v>
      </c>
      <c r="C574">
        <v>1</v>
      </c>
      <c r="E574" t="s">
        <v>1921</v>
      </c>
      <c r="F574">
        <v>1</v>
      </c>
    </row>
    <row r="575" spans="2:6" x14ac:dyDescent="0.35">
      <c r="B575" t="str">
        <v>Advantage Capital</v>
      </c>
      <c r="C575">
        <v>1</v>
      </c>
      <c r="E575" t="s">
        <v>1922</v>
      </c>
      <c r="F575">
        <v>1</v>
      </c>
    </row>
    <row r="576" spans="2:6" x14ac:dyDescent="0.35">
      <c r="B576" t="str">
        <v>H/L Ventures</v>
      </c>
      <c r="C576">
        <v>1</v>
      </c>
      <c r="E576" t="s">
        <v>1923</v>
      </c>
      <c r="F576">
        <v>1</v>
      </c>
    </row>
    <row r="577" spans="2:6" x14ac:dyDescent="0.35">
      <c r="B577" t="str">
        <v>Keytrade</v>
      </c>
      <c r="C577">
        <v>1</v>
      </c>
      <c r="E577" t="s">
        <v>1924</v>
      </c>
      <c r="F577">
        <v>1</v>
      </c>
    </row>
    <row r="578" spans="2:6" x14ac:dyDescent="0.35">
      <c r="B578" t="str">
        <v>Ospraie Ag Science</v>
      </c>
      <c r="C578">
        <v>1</v>
      </c>
      <c r="E578" t="s">
        <v>1925</v>
      </c>
      <c r="F578">
        <v>1</v>
      </c>
    </row>
    <row r="579" spans="2:6" x14ac:dyDescent="0.35">
      <c r="B579" t="str">
        <v>Asymmetry Ventures</v>
      </c>
      <c r="C579">
        <v>2</v>
      </c>
      <c r="E579" t="s">
        <v>1926</v>
      </c>
      <c r="F579">
        <v>1</v>
      </c>
    </row>
    <row r="580" spans="2:6" x14ac:dyDescent="0.35">
      <c r="B580" t="str">
        <v>Beni Venture Capital</v>
      </c>
      <c r="C580">
        <v>3</v>
      </c>
      <c r="E580" t="s">
        <v>1927</v>
      </c>
      <c r="F580">
        <v>1</v>
      </c>
    </row>
    <row r="581" spans="2:6" x14ac:dyDescent="0.35">
      <c r="B581" t="str">
        <v>Climate Capital</v>
      </c>
      <c r="C581">
        <v>7</v>
      </c>
      <c r="E581" t="s">
        <v>1928</v>
      </c>
      <c r="F581">
        <v>1</v>
      </c>
    </row>
    <row r="582" spans="2:6" x14ac:dyDescent="0.35">
      <c r="B582" t="str">
        <v>Collaborative Fund</v>
      </c>
      <c r="C582">
        <v>6</v>
      </c>
      <c r="E582" t="s">
        <v>1929</v>
      </c>
      <c r="F582">
        <v>1</v>
      </c>
    </row>
    <row r="583" spans="2:6" x14ac:dyDescent="0.35">
      <c r="B583" t="str">
        <v>Deloitte</v>
      </c>
      <c r="C583">
        <v>1</v>
      </c>
      <c r="E583" t="s">
        <v>1930</v>
      </c>
      <c r="F583">
        <v>1</v>
      </c>
    </row>
    <row r="584" spans="2:6" x14ac:dyDescent="0.35">
      <c r="B584" t="str">
        <v>Global Founders Capital</v>
      </c>
      <c r="C584">
        <v>1</v>
      </c>
      <c r="E584" t="s">
        <v>1931</v>
      </c>
      <c r="F584">
        <v>1</v>
      </c>
    </row>
    <row r="585" spans="2:6" x14ac:dyDescent="0.35">
      <c r="B585" t="str">
        <v>Hat-trick Capital</v>
      </c>
      <c r="C585">
        <v>1</v>
      </c>
      <c r="E585" t="s">
        <v>1932</v>
      </c>
      <c r="F585">
        <v>1</v>
      </c>
    </row>
    <row r="586" spans="2:6" x14ac:dyDescent="0.35">
      <c r="B586" t="str">
        <v>Helium-3 Ventures</v>
      </c>
      <c r="C586">
        <v>2</v>
      </c>
      <c r="E586" t="s">
        <v>1933</v>
      </c>
      <c r="F586">
        <v>1</v>
      </c>
    </row>
    <row r="587" spans="2:6" x14ac:dyDescent="0.35">
      <c r="B587" t="str">
        <v>Metaplanet Holdings</v>
      </c>
      <c r="C587">
        <v>2</v>
      </c>
      <c r="E587" t="s">
        <v>1934</v>
      </c>
      <c r="F587">
        <v>1</v>
      </c>
    </row>
    <row r="588" spans="2:6" x14ac:dyDescent="0.35">
      <c r="B588" t="str">
        <v>Outbound Capital</v>
      </c>
      <c r="C588">
        <v>1</v>
      </c>
      <c r="E588" t="s">
        <v>1937</v>
      </c>
      <c r="F588">
        <v>1</v>
      </c>
    </row>
    <row r="589" spans="2:6" x14ac:dyDescent="0.35">
      <c r="B589" t="str">
        <v>Pegasus Tech Ventures</v>
      </c>
      <c r="C589">
        <v>1</v>
      </c>
      <c r="E589" t="s">
        <v>1938</v>
      </c>
      <c r="F589">
        <v>1</v>
      </c>
    </row>
    <row r="590" spans="2:6" x14ac:dyDescent="0.35">
      <c r="B590" t="str">
        <v>Shenzen Capital Group</v>
      </c>
      <c r="C590">
        <v>1</v>
      </c>
      <c r="E590" t="s">
        <v>1939</v>
      </c>
      <c r="F590">
        <v>1</v>
      </c>
    </row>
    <row r="591" spans="2:6" x14ac:dyDescent="0.35">
      <c r="B591" t="str">
        <v>Starling Ventures</v>
      </c>
      <c r="C591">
        <v>1</v>
      </c>
      <c r="E591" t="s">
        <v>1940</v>
      </c>
      <c r="F591">
        <v>1</v>
      </c>
    </row>
    <row r="592" spans="2:6" x14ac:dyDescent="0.35">
      <c r="B592" t="str">
        <v>The Atlas Capital</v>
      </c>
      <c r="C592">
        <v>2</v>
      </c>
      <c r="E592" t="s">
        <v>1941</v>
      </c>
      <c r="F592">
        <v>1</v>
      </c>
    </row>
    <row r="593" spans="2:6" x14ac:dyDescent="0.35">
      <c r="B593" t="str">
        <v>Tim Seears</v>
      </c>
      <c r="C593">
        <v>1</v>
      </c>
      <c r="E593" t="s">
        <v>502</v>
      </c>
      <c r="F593">
        <v>1</v>
      </c>
    </row>
    <row r="594" spans="2:6" x14ac:dyDescent="0.35">
      <c r="B594" t="str">
        <v>UpHonest Capital</v>
      </c>
      <c r="C594">
        <v>1</v>
      </c>
      <c r="E594" t="s">
        <v>1942</v>
      </c>
      <c r="F594">
        <v>1</v>
      </c>
    </row>
    <row r="595" spans="2:6" x14ac:dyDescent="0.35">
      <c r="B595" t="str">
        <v>World Economic Forum</v>
      </c>
      <c r="C595">
        <v>1</v>
      </c>
      <c r="E595" t="s">
        <v>1943</v>
      </c>
      <c r="F595">
        <v>1</v>
      </c>
    </row>
    <row r="596" spans="2:6" x14ac:dyDescent="0.35">
      <c r="B596" t="str">
        <v>WorldQuant Ventures</v>
      </c>
      <c r="C596">
        <v>1</v>
      </c>
      <c r="E596" t="s">
        <v>1944</v>
      </c>
      <c r="F596">
        <v>1</v>
      </c>
    </row>
    <row r="597" spans="2:6" x14ac:dyDescent="0.35">
      <c r="B597" t="str">
        <v>Y Combinatot</v>
      </c>
      <c r="C597">
        <v>1</v>
      </c>
      <c r="E597" t="s">
        <v>1945</v>
      </c>
      <c r="F597">
        <v>1</v>
      </c>
    </row>
    <row r="598" spans="2:6" x14ac:dyDescent="0.35">
      <c r="B598" t="str">
        <v>Climate Capital</v>
      </c>
      <c r="C598">
        <v>7</v>
      </c>
      <c r="E598" t="s">
        <v>1948</v>
      </c>
      <c r="F598">
        <v>1</v>
      </c>
    </row>
    <row r="599" spans="2:6" x14ac:dyDescent="0.35">
      <c r="B599" t="str">
        <v>Course Correction Capital</v>
      </c>
      <c r="C599">
        <v>2</v>
      </c>
      <c r="E599" t="s">
        <v>1949</v>
      </c>
      <c r="F599">
        <v>1</v>
      </c>
    </row>
    <row r="600" spans="2:6" x14ac:dyDescent="0.35">
      <c r="B600" t="str">
        <v>GS Futures</v>
      </c>
      <c r="C600">
        <v>2</v>
      </c>
      <c r="E600" t="s">
        <v>1950</v>
      </c>
      <c r="F600">
        <v>1</v>
      </c>
    </row>
    <row r="601" spans="2:6" x14ac:dyDescent="0.35">
      <c r="B601" t="str">
        <v>Helium-3 Ventures</v>
      </c>
      <c r="C601">
        <v>2</v>
      </c>
      <c r="E601" t="s">
        <v>1952</v>
      </c>
      <c r="F601">
        <v>1</v>
      </c>
    </row>
    <row r="602" spans="2:6" x14ac:dyDescent="0.35">
      <c r="B602" t="str">
        <v>Honda Motor</v>
      </c>
      <c r="C602">
        <v>1</v>
      </c>
      <c r="E602" t="s">
        <v>1954</v>
      </c>
      <c r="F602">
        <v>1</v>
      </c>
    </row>
    <row r="603" spans="2:6" x14ac:dyDescent="0.35">
      <c r="B603" t="str">
        <v>LKQ</v>
      </c>
      <c r="C603">
        <v>1</v>
      </c>
      <c r="E603" t="s">
        <v>1956</v>
      </c>
      <c r="F603">
        <v>1</v>
      </c>
    </row>
    <row r="604" spans="2:6" x14ac:dyDescent="0.35">
      <c r="B604" t="str">
        <v>Samsung Venture Investment</v>
      </c>
      <c r="C604">
        <v>2</v>
      </c>
      <c r="E604" t="s">
        <v>1957</v>
      </c>
      <c r="F604">
        <v>1</v>
      </c>
    </row>
    <row r="605" spans="2:6" x14ac:dyDescent="0.35">
      <c r="B605" t="str">
        <v>SCG Chemicals</v>
      </c>
      <c r="C605">
        <v>1</v>
      </c>
      <c r="E605" t="s">
        <v>1958</v>
      </c>
      <c r="F605">
        <v>1</v>
      </c>
    </row>
    <row r="606" spans="2:6" x14ac:dyDescent="0.35">
      <c r="B606" t="str">
        <v>Tech Council Ventures</v>
      </c>
      <c r="C606">
        <v>1</v>
      </c>
      <c r="E606" t="s">
        <v>1427</v>
      </c>
      <c r="F606">
        <v>1</v>
      </c>
    </row>
    <row r="607" spans="2:6" x14ac:dyDescent="0.35">
      <c r="B607" t="str">
        <v>Traxys</v>
      </c>
      <c r="C607">
        <v>1</v>
      </c>
      <c r="E607" t="s">
        <v>1959</v>
      </c>
      <c r="F607">
        <v>1</v>
      </c>
    </row>
    <row r="608" spans="2:6" x14ac:dyDescent="0.35">
      <c r="B608" t="str">
        <v>Wistron Medical Technology</v>
      </c>
      <c r="C608">
        <v>1</v>
      </c>
      <c r="E608" t="s">
        <v>1960</v>
      </c>
      <c r="F608">
        <v>1</v>
      </c>
    </row>
    <row r="609" spans="2:6" x14ac:dyDescent="0.35">
      <c r="B609" t="str">
        <v>Ceres Partners</v>
      </c>
      <c r="C609">
        <v>1</v>
      </c>
      <c r="E609" t="s">
        <v>1961</v>
      </c>
      <c r="F609">
        <v>1</v>
      </c>
    </row>
    <row r="610" spans="2:6" x14ac:dyDescent="0.35">
      <c r="B610" t="str">
        <v>Arosa Capital Management</v>
      </c>
      <c r="C610">
        <v>1</v>
      </c>
      <c r="E610" t="s">
        <v>1962</v>
      </c>
      <c r="F610">
        <v>1</v>
      </c>
    </row>
    <row r="611" spans="2:6" x14ac:dyDescent="0.35">
      <c r="B611" t="str">
        <v>BrightStar Wisconsin Foundation</v>
      </c>
      <c r="C611">
        <v>1</v>
      </c>
      <c r="E611" t="s">
        <v>1963</v>
      </c>
      <c r="F611">
        <v>1</v>
      </c>
    </row>
    <row r="612" spans="2:6" x14ac:dyDescent="0.35">
      <c r="B612" t="str">
        <v>WARF Ventures</v>
      </c>
      <c r="C612">
        <v>1</v>
      </c>
      <c r="E612" t="s">
        <v>1966</v>
      </c>
      <c r="F612">
        <v>1</v>
      </c>
    </row>
    <row r="613" spans="2:6" x14ac:dyDescent="0.35">
      <c r="B613" t="str">
        <v>Milano Investment Partners</v>
      </c>
      <c r="C613">
        <v>1</v>
      </c>
      <c r="E613" t="s">
        <v>1967</v>
      </c>
      <c r="F613">
        <v>1</v>
      </c>
    </row>
    <row r="614" spans="2:6" x14ac:dyDescent="0.35">
      <c r="B614" t="str">
        <v>Mintz</v>
      </c>
      <c r="C614">
        <v>2</v>
      </c>
      <c r="E614" t="s">
        <v>1665</v>
      </c>
      <c r="F614">
        <v>1</v>
      </c>
    </row>
    <row r="615" spans="2:6" x14ac:dyDescent="0.35">
      <c r="B615" t="str">
        <v>Mitsubishi</v>
      </c>
      <c r="C615">
        <v>1</v>
      </c>
      <c r="E615" t="s">
        <v>1968</v>
      </c>
      <c r="F615">
        <v>1</v>
      </c>
    </row>
    <row r="616" spans="2:6" x14ac:dyDescent="0.35">
      <c r="B616" t="str">
        <v>Standard Investments</v>
      </c>
      <c r="C616">
        <v>1</v>
      </c>
      <c r="E616" t="s">
        <v>1431</v>
      </c>
      <c r="F616">
        <v>1</v>
      </c>
    </row>
    <row r="617" spans="2:6" x14ac:dyDescent="0.35">
      <c r="B617" t="str">
        <v>Cowles Ventures</v>
      </c>
      <c r="C617">
        <v>1</v>
      </c>
      <c r="E617" t="s">
        <v>1969</v>
      </c>
      <c r="F617">
        <v>1</v>
      </c>
    </row>
    <row r="618" spans="2:6" x14ac:dyDescent="0.35">
      <c r="B618" t="str">
        <v>Keiretsu Capital</v>
      </c>
      <c r="C618">
        <v>2</v>
      </c>
      <c r="E618" t="s">
        <v>1970</v>
      </c>
      <c r="F618">
        <v>1</v>
      </c>
    </row>
    <row r="619" spans="2:6" x14ac:dyDescent="0.35">
      <c r="B619" t="str">
        <v>0</v>
      </c>
      <c r="C619">
        <v>40</v>
      </c>
      <c r="E619" t="s">
        <v>1971</v>
      </c>
      <c r="F619">
        <v>1</v>
      </c>
    </row>
    <row r="620" spans="2:6" x14ac:dyDescent="0.35">
      <c r="B620" t="str">
        <v>Volkswagen Group</v>
      </c>
      <c r="C620">
        <v>1</v>
      </c>
      <c r="E620" t="s">
        <v>1972</v>
      </c>
      <c r="F620">
        <v>1</v>
      </c>
    </row>
    <row r="621" spans="2:6" x14ac:dyDescent="0.35">
      <c r="B621" t="str">
        <v>Ascent Funds</v>
      </c>
      <c r="C621">
        <v>2</v>
      </c>
      <c r="E621" t="s">
        <v>1973</v>
      </c>
      <c r="F621">
        <v>1</v>
      </c>
    </row>
    <row r="622" spans="2:6" x14ac:dyDescent="0.35">
      <c r="B622" t="str">
        <v>Ascent Funds</v>
      </c>
      <c r="C622">
        <v>2</v>
      </c>
      <c r="E622" t="s">
        <v>1974</v>
      </c>
      <c r="F622">
        <v>1</v>
      </c>
    </row>
    <row r="623" spans="2:6" x14ac:dyDescent="0.35">
      <c r="B623" t="str">
        <v>Chevron</v>
      </c>
      <c r="C623">
        <v>1</v>
      </c>
      <c r="E623" t="s">
        <v>1975</v>
      </c>
      <c r="F623">
        <v>1</v>
      </c>
    </row>
    <row r="624" spans="2:6" x14ac:dyDescent="0.35">
      <c r="B624" t="str">
        <v>Hyzon Fuel Cell</v>
      </c>
      <c r="C624">
        <v>1</v>
      </c>
      <c r="E624" t="s">
        <v>1977</v>
      </c>
      <c r="F624">
        <v>1</v>
      </c>
    </row>
    <row r="625" spans="2:6" x14ac:dyDescent="0.35">
      <c r="B625" t="str">
        <v>Itochu</v>
      </c>
      <c r="C625">
        <v>1</v>
      </c>
      <c r="E625" t="s">
        <v>1978</v>
      </c>
      <c r="F625">
        <v>1</v>
      </c>
    </row>
    <row r="626" spans="2:6" x14ac:dyDescent="0.35">
      <c r="B626" t="str">
        <v>Samsung Venture Investment</v>
      </c>
      <c r="C626">
        <v>2</v>
      </c>
      <c r="E626" t="s">
        <v>1980</v>
      </c>
      <c r="F626">
        <v>1</v>
      </c>
    </row>
    <row r="627" spans="2:6" x14ac:dyDescent="0.35">
      <c r="B627" t="str">
        <v>The RockCreek Group</v>
      </c>
      <c r="C627">
        <v>1</v>
      </c>
      <c r="E627" t="s">
        <v>1985</v>
      </c>
      <c r="F627">
        <v>1</v>
      </c>
    </row>
    <row r="628" spans="2:6" x14ac:dyDescent="0.35">
      <c r="B628" t="str">
        <v>D3 Jubilee partners</v>
      </c>
      <c r="C628">
        <v>1</v>
      </c>
      <c r="E628" t="s">
        <v>1986</v>
      </c>
      <c r="F628">
        <v>1</v>
      </c>
    </row>
    <row r="629" spans="2:6" x14ac:dyDescent="0.35">
      <c r="B629" t="str">
        <v>GS Holdings</v>
      </c>
      <c r="C629">
        <v>1</v>
      </c>
      <c r="E629" t="s">
        <v>1987</v>
      </c>
      <c r="F629">
        <v>1</v>
      </c>
    </row>
    <row r="630" spans="2:6" x14ac:dyDescent="0.35">
      <c r="B630" t="str">
        <v>POSCO Holdings</v>
      </c>
      <c r="C630">
        <v>1</v>
      </c>
      <c r="E630" t="s">
        <v>1988</v>
      </c>
      <c r="F630">
        <v>1</v>
      </c>
    </row>
    <row r="631" spans="2:6" x14ac:dyDescent="0.35">
      <c r="B631" t="str">
        <v>Novare</v>
      </c>
      <c r="C631">
        <v>1</v>
      </c>
      <c r="E631" t="s">
        <v>1989</v>
      </c>
      <c r="F631">
        <v>1</v>
      </c>
    </row>
    <row r="632" spans="2:6" x14ac:dyDescent="0.35">
      <c r="B632" t="str">
        <v>AiiM Partners</v>
      </c>
      <c r="C632">
        <v>2</v>
      </c>
      <c r="E632" t="s">
        <v>1990</v>
      </c>
      <c r="F632">
        <v>1</v>
      </c>
    </row>
    <row r="633" spans="2:6" x14ac:dyDescent="0.35">
      <c r="B633" t="str">
        <v>Breakthrough Energy</v>
      </c>
      <c r="C633">
        <v>3</v>
      </c>
      <c r="E633" t="s">
        <v>1991</v>
      </c>
      <c r="F633">
        <v>1</v>
      </c>
    </row>
    <row r="634" spans="2:6" x14ac:dyDescent="0.35">
      <c r="B634" t="str">
        <v>Darco Capital</v>
      </c>
      <c r="C634">
        <v>1</v>
      </c>
      <c r="E634" t="s">
        <v>1992</v>
      </c>
      <c r="F634">
        <v>1</v>
      </c>
    </row>
    <row r="635" spans="2:6" x14ac:dyDescent="0.35">
      <c r="B635" t="str">
        <v>Aramco Ventures</v>
      </c>
      <c r="C635">
        <v>1</v>
      </c>
      <c r="E635" t="s">
        <v>1993</v>
      </c>
      <c r="F635">
        <v>1</v>
      </c>
    </row>
    <row r="636" spans="2:6" x14ac:dyDescent="0.35">
      <c r="B636" t="str">
        <v>John Doerr</v>
      </c>
      <c r="C636">
        <v>1</v>
      </c>
      <c r="E636" t="s">
        <v>1994</v>
      </c>
      <c r="F636">
        <v>1</v>
      </c>
    </row>
    <row r="637" spans="2:6" x14ac:dyDescent="0.35">
      <c r="B637" t="str">
        <v>Microsoft Climate Fund</v>
      </c>
      <c r="C637">
        <v>2</v>
      </c>
      <c r="E637" t="s">
        <v>1995</v>
      </c>
      <c r="F637">
        <v>1</v>
      </c>
    </row>
    <row r="638" spans="2:6" x14ac:dyDescent="0.35">
      <c r="B638" t="str">
        <v>Rio Tinto</v>
      </c>
      <c r="C638">
        <v>2</v>
      </c>
      <c r="E638" t="s">
        <v>1996</v>
      </c>
      <c r="F638">
        <v>1</v>
      </c>
    </row>
    <row r="639" spans="2:6" x14ac:dyDescent="0.35">
      <c r="B639" t="str">
        <v>Saudi Basic Industries</v>
      </c>
      <c r="C639">
        <v>1</v>
      </c>
      <c r="E639" t="s">
        <v>504</v>
      </c>
      <c r="F639">
        <v>1</v>
      </c>
    </row>
    <row r="640" spans="2:6" x14ac:dyDescent="0.35">
      <c r="B640" t="str">
        <v>SDCL Efficiency Income Trust</v>
      </c>
      <c r="C640">
        <v>1</v>
      </c>
      <c r="E640" t="s">
        <v>1997</v>
      </c>
      <c r="F640">
        <v>1</v>
      </c>
    </row>
    <row r="641" spans="2:6" x14ac:dyDescent="0.35">
      <c r="B641" t="str">
        <v>Siam Cement Public Company</v>
      </c>
      <c r="C641">
        <v>1</v>
      </c>
      <c r="E641" t="s">
        <v>1998</v>
      </c>
      <c r="F641">
        <v>1</v>
      </c>
    </row>
    <row r="642" spans="2:6" x14ac:dyDescent="0.35">
      <c r="B642" t="str">
        <v>Newlight Partners</v>
      </c>
      <c r="C642">
        <v>2</v>
      </c>
      <c r="E642" t="s">
        <v>1999</v>
      </c>
      <c r="F642">
        <v>1</v>
      </c>
    </row>
    <row r="643" spans="2:6" x14ac:dyDescent="0.35">
      <c r="B643" t="str">
        <v>Ridgevale Enterprises</v>
      </c>
      <c r="C643">
        <v>1</v>
      </c>
      <c r="E643" t="s">
        <v>2000</v>
      </c>
      <c r="F643">
        <v>1</v>
      </c>
    </row>
    <row r="644" spans="2:6" x14ac:dyDescent="0.35">
      <c r="B644" t="str">
        <v>Vickers Venture Partners</v>
      </c>
      <c r="C644">
        <v>1</v>
      </c>
      <c r="E644" t="s">
        <v>2002</v>
      </c>
      <c r="F644">
        <v>1</v>
      </c>
    </row>
    <row r="645" spans="2:6" x14ac:dyDescent="0.35">
      <c r="B645" t="str">
        <v>WI Harper Group</v>
      </c>
      <c r="C645">
        <v>1</v>
      </c>
      <c r="E645" t="s">
        <v>2003</v>
      </c>
      <c r="F645">
        <v>1</v>
      </c>
    </row>
    <row r="646" spans="2:6" x14ac:dyDescent="0.35">
      <c r="B646" t="str">
        <v>Eversource Retirement Plan Master Trust</v>
      </c>
      <c r="C646">
        <v>1</v>
      </c>
      <c r="E646" t="s">
        <v>2004</v>
      </c>
      <c r="F646">
        <v>1</v>
      </c>
    </row>
    <row r="647" spans="2:6" x14ac:dyDescent="0.35">
      <c r="B647" t="str">
        <v>CPV/CAP Pensionskasse Coop</v>
      </c>
      <c r="C647">
        <v>1</v>
      </c>
      <c r="E647" t="s">
        <v>2005</v>
      </c>
      <c r="F647">
        <v>1</v>
      </c>
    </row>
    <row r="648" spans="2:6" x14ac:dyDescent="0.35">
      <c r="B648" t="str">
        <v>Optimas Capital Partners</v>
      </c>
      <c r="C648">
        <v>1</v>
      </c>
      <c r="E648" t="s">
        <v>2006</v>
      </c>
      <c r="F648">
        <v>1</v>
      </c>
    </row>
    <row r="649" spans="2:6" x14ac:dyDescent="0.35">
      <c r="B649" t="str">
        <v>Temasek Holdings</v>
      </c>
      <c r="C649">
        <v>8</v>
      </c>
      <c r="E649" t="s">
        <v>2007</v>
      </c>
      <c r="F649">
        <v>1</v>
      </c>
    </row>
    <row r="650" spans="2:6" x14ac:dyDescent="0.35">
      <c r="B650" t="str">
        <v>Warburg Pincus</v>
      </c>
      <c r="C650">
        <v>2</v>
      </c>
      <c r="E650" t="s">
        <v>2009</v>
      </c>
      <c r="F650">
        <v>1</v>
      </c>
    </row>
    <row r="651" spans="2:6" x14ac:dyDescent="0.35">
      <c r="B651" t="str">
        <v>Anthropocene Ventures</v>
      </c>
      <c r="C651">
        <v>3</v>
      </c>
      <c r="E651" t="s">
        <v>2011</v>
      </c>
      <c r="F651">
        <v>1</v>
      </c>
    </row>
    <row r="652" spans="2:6" x14ac:dyDescent="0.35">
      <c r="B652" t="str">
        <v>E8</v>
      </c>
      <c r="C652">
        <v>5</v>
      </c>
      <c r="E652" t="s">
        <v>2012</v>
      </c>
      <c r="F652">
        <v>1</v>
      </c>
    </row>
    <row r="653" spans="2:6" x14ac:dyDescent="0.35">
      <c r="B653" t="str">
        <v>Five Two Five</v>
      </c>
      <c r="C653">
        <v>1</v>
      </c>
      <c r="E653" t="s">
        <v>2013</v>
      </c>
      <c r="F653">
        <v>1</v>
      </c>
    </row>
    <row r="654" spans="2:6" x14ac:dyDescent="0.35">
      <c r="B654" t="str">
        <v>Aditya Mathur</v>
      </c>
      <c r="C654">
        <v>1</v>
      </c>
      <c r="E654" t="s">
        <v>2014</v>
      </c>
      <c r="F654">
        <v>1</v>
      </c>
    </row>
    <row r="655" spans="2:6" x14ac:dyDescent="0.35">
      <c r="B655" t="str">
        <v>Arsat Industries</v>
      </c>
      <c r="C655">
        <v>1</v>
      </c>
      <c r="E655" t="s">
        <v>2015</v>
      </c>
      <c r="F655">
        <v>1</v>
      </c>
    </row>
    <row r="656" spans="2:6" x14ac:dyDescent="0.35">
      <c r="B656" t="str">
        <v>Bhavya Khanna</v>
      </c>
      <c r="C656">
        <v>1</v>
      </c>
      <c r="E656" t="s">
        <v>2016</v>
      </c>
      <c r="F656">
        <v>1</v>
      </c>
    </row>
    <row r="657" spans="2:6" x14ac:dyDescent="0.35">
      <c r="B657" t="str">
        <v>Elev8.vc</v>
      </c>
      <c r="C657">
        <v>1</v>
      </c>
      <c r="E657" t="s">
        <v>2017</v>
      </c>
      <c r="F657">
        <v>1</v>
      </c>
    </row>
    <row r="658" spans="2:6" x14ac:dyDescent="0.35">
      <c r="B658" t="str">
        <v>Elevate Ventures</v>
      </c>
      <c r="C658">
        <v>2</v>
      </c>
      <c r="E658" t="s">
        <v>2018</v>
      </c>
      <c r="F658">
        <v>1</v>
      </c>
    </row>
    <row r="659" spans="2:6" x14ac:dyDescent="0.35">
      <c r="B659" t="str">
        <v>Sai Anurag</v>
      </c>
      <c r="C659">
        <v>1</v>
      </c>
      <c r="E659" t="s">
        <v>2019</v>
      </c>
      <c r="F659">
        <v>1</v>
      </c>
    </row>
    <row r="660" spans="2:6" x14ac:dyDescent="0.35">
      <c r="B660" t="str">
        <v>SM Ventures</v>
      </c>
      <c r="C660">
        <v>1</v>
      </c>
      <c r="E660" t="s">
        <v>2020</v>
      </c>
      <c r="F660">
        <v>1</v>
      </c>
    </row>
    <row r="661" spans="2:6" x14ac:dyDescent="0.35">
      <c r="B661" t="str">
        <v>Global Emerging Markets</v>
      </c>
      <c r="C661">
        <v>2</v>
      </c>
      <c r="E661" t="s">
        <v>2021</v>
      </c>
      <c r="F661">
        <v>1</v>
      </c>
    </row>
    <row r="662" spans="2:6" x14ac:dyDescent="0.35">
      <c r="B662" t="str">
        <v>0</v>
      </c>
      <c r="C662">
        <v>40</v>
      </c>
      <c r="E662" t="s">
        <v>2024</v>
      </c>
      <c r="F662">
        <v>1</v>
      </c>
    </row>
    <row r="663" spans="2:6" x14ac:dyDescent="0.35">
      <c r="B663" t="str">
        <v>Eagle Private Capital</v>
      </c>
      <c r="C663">
        <v>1</v>
      </c>
      <c r="E663" t="s">
        <v>2025</v>
      </c>
      <c r="F663">
        <v>1</v>
      </c>
    </row>
    <row r="664" spans="2:6" x14ac:dyDescent="0.35">
      <c r="B664" t="str">
        <v>Cornell University</v>
      </c>
      <c r="C664">
        <v>1</v>
      </c>
      <c r="E664" t="s">
        <v>2026</v>
      </c>
      <c r="F664">
        <v>1</v>
      </c>
    </row>
    <row r="665" spans="2:6" x14ac:dyDescent="0.35">
      <c r="B665" t="str">
        <v>Coulometrics</v>
      </c>
      <c r="C665">
        <v>1</v>
      </c>
      <c r="E665" t="s">
        <v>2027</v>
      </c>
      <c r="F665">
        <v>1</v>
      </c>
    </row>
    <row r="666" spans="2:6" x14ac:dyDescent="0.35">
      <c r="B666" t="str">
        <v>In-Q-Tel</v>
      </c>
      <c r="C666">
        <v>1</v>
      </c>
      <c r="E666" t="s">
        <v>2028</v>
      </c>
      <c r="F666">
        <v>1</v>
      </c>
    </row>
    <row r="667" spans="2:6" x14ac:dyDescent="0.35">
      <c r="B667" t="str">
        <v>New York Ventures</v>
      </c>
      <c r="C667">
        <v>1</v>
      </c>
      <c r="E667" t="s">
        <v>1881</v>
      </c>
      <c r="F667">
        <v>1</v>
      </c>
    </row>
    <row r="668" spans="2:6" x14ac:dyDescent="0.35">
      <c r="B668" t="str">
        <v>Phoenix Venture Partners</v>
      </c>
      <c r="C668">
        <v>1</v>
      </c>
      <c r="E668" t="s">
        <v>2031</v>
      </c>
      <c r="F668">
        <v>1</v>
      </c>
    </row>
    <row r="669" spans="2:6" x14ac:dyDescent="0.35">
      <c r="B669" t="str">
        <v>Rochester Institute of Technology Venture Fund</v>
      </c>
      <c r="C669">
        <v>1</v>
      </c>
      <c r="E669" t="s">
        <v>2033</v>
      </c>
      <c r="F669">
        <v>1</v>
      </c>
    </row>
    <row r="670" spans="2:6" x14ac:dyDescent="0.35">
      <c r="B670" t="str">
        <v>Syensqo Ventures</v>
      </c>
      <c r="C670">
        <v>1</v>
      </c>
      <c r="E670" t="s">
        <v>2036</v>
      </c>
      <c r="F670">
        <v>1</v>
      </c>
    </row>
    <row r="671" spans="2:6" x14ac:dyDescent="0.35">
      <c r="B671" t="str">
        <v>University of Colorado</v>
      </c>
      <c r="C671">
        <v>1</v>
      </c>
      <c r="E671" t="s">
        <v>2037</v>
      </c>
      <c r="F671">
        <v>1</v>
      </c>
    </row>
    <row r="672" spans="2:6" x14ac:dyDescent="0.35">
      <c r="B672" t="str">
        <v>0</v>
      </c>
      <c r="C672">
        <v>40</v>
      </c>
      <c r="E672" t="s">
        <v>2038</v>
      </c>
      <c r="F672">
        <v>1</v>
      </c>
    </row>
    <row r="673" spans="2:6" x14ac:dyDescent="0.35">
      <c r="B673" t="str">
        <v>BP Energy Partners</v>
      </c>
      <c r="C673">
        <v>1</v>
      </c>
      <c r="E673" t="s">
        <v>2040</v>
      </c>
      <c r="F673">
        <v>1</v>
      </c>
    </row>
    <row r="674" spans="2:6" x14ac:dyDescent="0.35">
      <c r="B674" t="str">
        <v>Equinor Ventures</v>
      </c>
      <c r="C674">
        <v>1</v>
      </c>
      <c r="E674" t="s">
        <v>2041</v>
      </c>
      <c r="F674">
        <v>1</v>
      </c>
    </row>
    <row r="675" spans="2:6" x14ac:dyDescent="0.35">
      <c r="B675" t="str">
        <v>Techstars</v>
      </c>
      <c r="C675">
        <v>1</v>
      </c>
      <c r="E675" t="s">
        <v>2042</v>
      </c>
      <c r="F675">
        <v>1</v>
      </c>
    </row>
    <row r="676" spans="2:6" x14ac:dyDescent="0.35">
      <c r="B676" t="str">
        <v>Innova Capital Partners</v>
      </c>
      <c r="C676">
        <v>2</v>
      </c>
      <c r="E676" t="s">
        <v>2043</v>
      </c>
      <c r="F676">
        <v>1</v>
      </c>
    </row>
    <row r="677" spans="2:6" x14ac:dyDescent="0.35">
      <c r="B677" t="str">
        <v>Flight Ventures</v>
      </c>
      <c r="C677">
        <v>1</v>
      </c>
      <c r="E677" t="s">
        <v>2045</v>
      </c>
      <c r="F677">
        <v>1</v>
      </c>
    </row>
    <row r="678" spans="2:6" x14ac:dyDescent="0.35">
      <c r="B678" t="str">
        <v>Ford Street Ventures</v>
      </c>
      <c r="C678">
        <v>1</v>
      </c>
      <c r="E678" t="s">
        <v>2046</v>
      </c>
      <c r="F678">
        <v>1</v>
      </c>
    </row>
    <row r="679" spans="2:6" x14ac:dyDescent="0.35">
      <c r="B679" t="str">
        <v>Harpoon VC</v>
      </c>
      <c r="C679">
        <v>1</v>
      </c>
      <c r="E679" t="s">
        <v>2047</v>
      </c>
      <c r="F679">
        <v>1</v>
      </c>
    </row>
    <row r="680" spans="2:6" x14ac:dyDescent="0.35">
      <c r="B680" t="str">
        <v>Jonathan Hung</v>
      </c>
      <c r="C680">
        <v>1</v>
      </c>
      <c r="E680" t="s">
        <v>2048</v>
      </c>
      <c r="F680">
        <v>1</v>
      </c>
    </row>
    <row r="681" spans="2:6" x14ac:dyDescent="0.35">
      <c r="B681" t="str">
        <v>Lowercarbon Capital</v>
      </c>
      <c r="C681">
        <v>6</v>
      </c>
      <c r="E681" t="s">
        <v>2049</v>
      </c>
      <c r="F681">
        <v>1</v>
      </c>
    </row>
    <row r="682" spans="2:6" x14ac:dyDescent="0.35">
      <c r="B682" t="str">
        <v>McWin Partners</v>
      </c>
      <c r="C682">
        <v>2</v>
      </c>
      <c r="E682" t="s">
        <v>2051</v>
      </c>
      <c r="F682">
        <v>1</v>
      </c>
    </row>
    <row r="683" spans="2:6" x14ac:dyDescent="0.35">
      <c r="B683" t="str">
        <v>Meron Capital</v>
      </c>
      <c r="C683">
        <v>1</v>
      </c>
      <c r="E683" t="s">
        <v>2052</v>
      </c>
      <c r="F683">
        <v>1</v>
      </c>
    </row>
    <row r="684" spans="2:6" x14ac:dyDescent="0.35">
      <c r="B684" t="str">
        <v>Next Play Capital</v>
      </c>
      <c r="C684">
        <v>1</v>
      </c>
      <c r="E684" t="s">
        <v>2053</v>
      </c>
      <c r="F684">
        <v>1</v>
      </c>
    </row>
    <row r="685" spans="2:6" x14ac:dyDescent="0.35">
      <c r="B685" t="str">
        <v>Reform Ventures</v>
      </c>
      <c r="C685">
        <v>1</v>
      </c>
      <c r="E685" t="s">
        <v>2054</v>
      </c>
      <c r="F685">
        <v>1</v>
      </c>
    </row>
    <row r="686" spans="2:6" x14ac:dyDescent="0.35">
      <c r="B686" t="str">
        <v>Tjucholmen Ventures</v>
      </c>
      <c r="C686">
        <v>1</v>
      </c>
      <c r="E686" t="s">
        <v>2055</v>
      </c>
      <c r="F686">
        <v>1</v>
      </c>
    </row>
    <row r="687" spans="2:6" x14ac:dyDescent="0.35">
      <c r="B687" t="str">
        <v>Unicorn Venture Partners</v>
      </c>
      <c r="C687">
        <v>1</v>
      </c>
      <c r="E687" t="s">
        <v>2056</v>
      </c>
      <c r="F687">
        <v>1</v>
      </c>
    </row>
    <row r="688" spans="2:6" x14ac:dyDescent="0.35">
      <c r="B688" t="str">
        <v>Social Venture Circle</v>
      </c>
      <c r="C688">
        <v>1</v>
      </c>
      <c r="E688" t="s">
        <v>2057</v>
      </c>
      <c r="F688">
        <v>1</v>
      </c>
    </row>
    <row r="689" spans="2:6" x14ac:dyDescent="0.35">
      <c r="B689" t="str">
        <v>Solidarity Capital Group</v>
      </c>
      <c r="C689">
        <v>1</v>
      </c>
      <c r="E689" t="s">
        <v>2058</v>
      </c>
      <c r="F689">
        <v>1</v>
      </c>
    </row>
    <row r="690" spans="2:6" x14ac:dyDescent="0.35">
      <c r="B690" t="str">
        <v>0</v>
      </c>
      <c r="C690">
        <v>40</v>
      </c>
      <c r="E690" t="s">
        <v>2059</v>
      </c>
      <c r="F690">
        <v>1</v>
      </c>
    </row>
    <row r="691" spans="2:6" x14ac:dyDescent="0.35">
      <c r="B691" t="str">
        <v>Orion Infrastructure Capital</v>
      </c>
      <c r="C691">
        <v>1</v>
      </c>
      <c r="E691" t="s">
        <v>2060</v>
      </c>
      <c r="F691">
        <v>1</v>
      </c>
    </row>
    <row r="692" spans="2:6" x14ac:dyDescent="0.35">
      <c r="B692" t="str">
        <v>MB Energy Partners</v>
      </c>
      <c r="C692">
        <v>1</v>
      </c>
      <c r="E692" t="s">
        <v>2061</v>
      </c>
      <c r="F692">
        <v>1</v>
      </c>
    </row>
    <row r="693" spans="2:6" x14ac:dyDescent="0.35">
      <c r="B693" t="str">
        <v>MMA Capital Holdings (Robert Hopper)</v>
      </c>
      <c r="C693">
        <v>1</v>
      </c>
      <c r="E693" t="s">
        <v>1433</v>
      </c>
      <c r="F693">
        <v>1</v>
      </c>
    </row>
    <row r="694" spans="2:6" x14ac:dyDescent="0.35">
      <c r="B694" t="str">
        <v>Climate Capital</v>
      </c>
      <c r="C694">
        <v>7</v>
      </c>
      <c r="E694" t="s">
        <v>1965</v>
      </c>
      <c r="F694">
        <v>1</v>
      </c>
    </row>
    <row r="695" spans="2:6" x14ac:dyDescent="0.35">
      <c r="B695" t="str">
        <v>Grant Hummer</v>
      </c>
      <c r="C695">
        <v>1</v>
      </c>
      <c r="E695" t="s">
        <v>582</v>
      </c>
      <c r="F695">
        <v>1</v>
      </c>
    </row>
    <row r="696" spans="2:6" x14ac:dyDescent="0.35">
      <c r="B696" t="str">
        <v>Jack Fuchs</v>
      </c>
      <c r="C696">
        <v>1</v>
      </c>
      <c r="E696" t="s">
        <v>1442</v>
      </c>
      <c r="F696">
        <v>1</v>
      </c>
    </row>
    <row r="697" spans="2:6" x14ac:dyDescent="0.35">
      <c r="B697" t="str">
        <v>James Fickel lame</v>
      </c>
      <c r="C697">
        <v>1</v>
      </c>
      <c r="E697" t="s">
        <v>1424</v>
      </c>
      <c r="F697">
        <v>1</v>
      </c>
    </row>
    <row r="698" spans="2:6" x14ac:dyDescent="0.35">
      <c r="B698" t="str">
        <v>Kelly Lei</v>
      </c>
      <c r="C698">
        <v>1</v>
      </c>
      <c r="E698" t="s">
        <v>2063</v>
      </c>
      <c r="F698">
        <v>1</v>
      </c>
    </row>
    <row r="699" spans="2:6" x14ac:dyDescent="0.35">
      <c r="B699" t="str">
        <v>Sierra Peterson</v>
      </c>
      <c r="C699">
        <v>1</v>
      </c>
      <c r="E699" t="s">
        <v>2064</v>
      </c>
      <c r="F699">
        <v>1</v>
      </c>
    </row>
    <row r="700" spans="2:6" x14ac:dyDescent="0.35">
      <c r="B700" t="str">
        <v>Sytse Sijbrandij</v>
      </c>
      <c r="C700">
        <v>1</v>
      </c>
      <c r="E700" t="s">
        <v>2065</v>
      </c>
      <c r="F700">
        <v>1</v>
      </c>
    </row>
    <row r="701" spans="2:6" x14ac:dyDescent="0.35">
      <c r="B701" t="str">
        <v>Vitalik Buterin</v>
      </c>
      <c r="C701">
        <v>1</v>
      </c>
      <c r="E701" t="s">
        <v>2067</v>
      </c>
      <c r="F701">
        <v>1</v>
      </c>
    </row>
    <row r="702" spans="2:6" x14ac:dyDescent="0.35">
      <c r="B702" t="str">
        <v>Seedlnvest</v>
      </c>
      <c r="C702">
        <v>1</v>
      </c>
      <c r="E702" t="s">
        <v>2068</v>
      </c>
      <c r="F702">
        <v>1</v>
      </c>
    </row>
    <row r="703" spans="2:6" x14ac:dyDescent="0.35">
      <c r="B703" t="str">
        <v>Sunmeet Jolly</v>
      </c>
      <c r="C703">
        <v>1</v>
      </c>
      <c r="E703" t="s">
        <v>1439</v>
      </c>
      <c r="F703">
        <v>1</v>
      </c>
    </row>
    <row r="704" spans="2:6" x14ac:dyDescent="0.35">
      <c r="B704" t="str">
        <v>G Ventures</v>
      </c>
      <c r="C704">
        <v>1</v>
      </c>
      <c r="E704" t="s">
        <v>505</v>
      </c>
      <c r="F704">
        <v>1</v>
      </c>
    </row>
    <row r="705" spans="2:6" x14ac:dyDescent="0.35">
      <c r="B705" t="str">
        <v>Mukul Agapwal</v>
      </c>
      <c r="C705">
        <v>1</v>
      </c>
      <c r="E705" t="s">
        <v>2069</v>
      </c>
      <c r="F705">
        <v>1</v>
      </c>
    </row>
    <row r="706" spans="2:6" x14ac:dyDescent="0.35">
      <c r="B706" t="str">
        <v>Nonlinear Capital</v>
      </c>
      <c r="C706">
        <v>1</v>
      </c>
      <c r="E706" t="s">
        <v>1426</v>
      </c>
      <c r="F706">
        <v>1</v>
      </c>
    </row>
    <row r="707" spans="2:6" x14ac:dyDescent="0.35">
      <c r="B707" t="str">
        <v>Amplify Capital</v>
      </c>
      <c r="C707">
        <v>1</v>
      </c>
      <c r="E707" t="s">
        <v>2070</v>
      </c>
      <c r="F707">
        <v>1</v>
      </c>
    </row>
    <row r="708" spans="2:6" x14ac:dyDescent="0.35">
      <c r="B708" t="str">
        <v>Bruce Rubin</v>
      </c>
      <c r="C708">
        <v>1</v>
      </c>
      <c r="E708" t="s">
        <v>1436</v>
      </c>
      <c r="F708">
        <v>1</v>
      </c>
    </row>
    <row r="709" spans="2:6" x14ac:dyDescent="0.35">
      <c r="B709" t="str">
        <v>Kathy Salmanowitz</v>
      </c>
      <c r="C709">
        <v>1</v>
      </c>
      <c r="E709" t="s">
        <v>2072</v>
      </c>
      <c r="F709">
        <v>1</v>
      </c>
    </row>
    <row r="710" spans="2:6" x14ac:dyDescent="0.35">
      <c r="B710" t="str">
        <v>One World</v>
      </c>
      <c r="C710">
        <v>1</v>
      </c>
      <c r="E710" t="s">
        <v>2073</v>
      </c>
      <c r="F710">
        <v>1</v>
      </c>
    </row>
    <row r="711" spans="2:6" x14ac:dyDescent="0.35">
      <c r="B711" t="str">
        <v>Scott Saslow</v>
      </c>
      <c r="C711">
        <v>1</v>
      </c>
      <c r="E711" t="s">
        <v>2075</v>
      </c>
      <c r="F711">
        <v>1</v>
      </c>
    </row>
    <row r="712" spans="2:6" x14ac:dyDescent="0.35">
      <c r="B712" t="str">
        <v>Steve Rosard</v>
      </c>
      <c r="C712">
        <v>1</v>
      </c>
      <c r="E712" t="s">
        <v>2076</v>
      </c>
      <c r="F712">
        <v>1</v>
      </c>
    </row>
    <row r="713" spans="2:6" x14ac:dyDescent="0.35">
      <c r="B713" t="str">
        <v>SXU Investment</v>
      </c>
      <c r="C713">
        <v>1</v>
      </c>
      <c r="E713" t="s">
        <v>2077</v>
      </c>
      <c r="F713">
        <v>1</v>
      </c>
    </row>
    <row r="714" spans="2:6" x14ac:dyDescent="0.35">
      <c r="B714" t="str">
        <v>Volo Earth Ventures</v>
      </c>
      <c r="C714">
        <v>1</v>
      </c>
      <c r="E714" t="s">
        <v>2078</v>
      </c>
      <c r="F714">
        <v>1</v>
      </c>
    </row>
    <row r="715" spans="2:6" x14ac:dyDescent="0.35">
      <c r="B715" t="str">
        <v>Zygote Ventures</v>
      </c>
      <c r="C715">
        <v>1</v>
      </c>
      <c r="E715" t="s">
        <v>2079</v>
      </c>
      <c r="F715">
        <v>1</v>
      </c>
    </row>
    <row r="716" spans="2:6" x14ac:dyDescent="0.35">
      <c r="B716" t="str">
        <v>Tupras Ventures</v>
      </c>
      <c r="C716">
        <v>1</v>
      </c>
      <c r="E716" t="s">
        <v>2080</v>
      </c>
      <c r="F716">
        <v>1</v>
      </c>
    </row>
    <row r="717" spans="2:6" x14ac:dyDescent="0.35">
      <c r="B717" t="str">
        <v>Constellation Technology Ventures</v>
      </c>
      <c r="C717">
        <v>2</v>
      </c>
      <c r="E717" t="s">
        <v>2081</v>
      </c>
      <c r="F717">
        <v>1</v>
      </c>
    </row>
    <row r="718" spans="2:6" x14ac:dyDescent="0.35">
      <c r="B718" t="str">
        <v>Planetary Technologies</v>
      </c>
      <c r="C718">
        <v>1</v>
      </c>
      <c r="E718" t="s">
        <v>2082</v>
      </c>
      <c r="F718">
        <v>1</v>
      </c>
    </row>
    <row r="719" spans="2:6" x14ac:dyDescent="0.35">
      <c r="B719" t="str">
        <v>Thomas Werner</v>
      </c>
      <c r="C719">
        <v>1</v>
      </c>
      <c r="E719" t="s">
        <v>2083</v>
      </c>
      <c r="F719">
        <v>1</v>
      </c>
    </row>
    <row r="720" spans="2:6" x14ac:dyDescent="0.35">
      <c r="B720" t="str">
        <v>Uncorrelated Ventures</v>
      </c>
      <c r="C720">
        <v>1</v>
      </c>
      <c r="E720" t="s">
        <v>2084</v>
      </c>
      <c r="F720">
        <v>1</v>
      </c>
    </row>
    <row r="721" spans="2:6" x14ac:dyDescent="0.35">
      <c r="B721" t="str">
        <v>Climate Capital</v>
      </c>
      <c r="C721">
        <v>7</v>
      </c>
      <c r="E721" t="s">
        <v>2085</v>
      </c>
      <c r="F721">
        <v>1</v>
      </c>
    </row>
    <row r="722" spans="2:6" x14ac:dyDescent="0.35">
      <c r="B722" t="str">
        <v>Hacker Capital</v>
      </c>
      <c r="C722">
        <v>1</v>
      </c>
      <c r="E722" t="s">
        <v>2086</v>
      </c>
      <c r="F722">
        <v>1</v>
      </c>
    </row>
    <row r="723" spans="2:6" x14ac:dyDescent="0.35">
      <c r="B723" t="str">
        <v>Kanca Ventures</v>
      </c>
      <c r="C723">
        <v>1</v>
      </c>
      <c r="E723" t="s">
        <v>2087</v>
      </c>
      <c r="F723">
        <v>1</v>
      </c>
    </row>
    <row r="724" spans="2:6" x14ac:dyDescent="0.35">
      <c r="B724" t="str">
        <v>10X Capital</v>
      </c>
      <c r="C724">
        <v>1</v>
      </c>
      <c r="E724" t="s">
        <v>2088</v>
      </c>
      <c r="F724">
        <v>1</v>
      </c>
    </row>
    <row r="725" spans="2:6" x14ac:dyDescent="0.35">
      <c r="B725" t="str">
        <v>Ajay Yadav</v>
      </c>
      <c r="C725">
        <v>1</v>
      </c>
      <c r="E725" t="s">
        <v>2089</v>
      </c>
      <c r="F725">
        <v>1</v>
      </c>
    </row>
    <row r="726" spans="2:6" x14ac:dyDescent="0.35">
      <c r="B726" t="str">
        <v>C2 Ventures</v>
      </c>
      <c r="C726">
        <v>1</v>
      </c>
      <c r="E726" t="s">
        <v>2090</v>
      </c>
      <c r="F726">
        <v>1</v>
      </c>
    </row>
    <row r="727" spans="2:6" x14ac:dyDescent="0.35">
      <c r="B727" t="str">
        <v>Camwood Ventures</v>
      </c>
      <c r="C727">
        <v>1</v>
      </c>
      <c r="E727" t="s">
        <v>2091</v>
      </c>
      <c r="F727">
        <v>1</v>
      </c>
    </row>
    <row r="728" spans="2:6" x14ac:dyDescent="0.35">
      <c r="B728" t="str">
        <v>Riverside Ventures</v>
      </c>
      <c r="C728">
        <v>1</v>
      </c>
      <c r="E728" t="s">
        <v>576</v>
      </c>
      <c r="F728">
        <v>1</v>
      </c>
    </row>
    <row r="729" spans="2:6" x14ac:dyDescent="0.35">
      <c r="B729" t="str">
        <v>Spacestation</v>
      </c>
      <c r="C729">
        <v>1</v>
      </c>
      <c r="E729" t="s">
        <v>2092</v>
      </c>
      <c r="F729">
        <v>1</v>
      </c>
    </row>
    <row r="730" spans="2:6" x14ac:dyDescent="0.35">
      <c r="B730" t="str">
        <v>Aliment Capital</v>
      </c>
      <c r="C730">
        <v>1</v>
      </c>
      <c r="E730" t="s">
        <v>2093</v>
      </c>
      <c r="F730">
        <v>1</v>
      </c>
    </row>
    <row r="731" spans="2:6" x14ac:dyDescent="0.35">
      <c r="B731" t="str">
        <v>Alphabet</v>
      </c>
      <c r="C731">
        <v>2</v>
      </c>
      <c r="E731" t="s">
        <v>2094</v>
      </c>
      <c r="F731">
        <v>1</v>
      </c>
    </row>
    <row r="732" spans="2:6" x14ac:dyDescent="0.35">
      <c r="B732" t="str">
        <v>Cisco Foundation</v>
      </c>
      <c r="C732">
        <v>2</v>
      </c>
      <c r="E732" t="s">
        <v>2095</v>
      </c>
      <c r="F732">
        <v>1</v>
      </c>
    </row>
    <row r="733" spans="2:6" x14ac:dyDescent="0.35">
      <c r="B733" t="str">
        <v>Cisco Investments</v>
      </c>
      <c r="C733">
        <v>1</v>
      </c>
      <c r="E733" t="s">
        <v>2096</v>
      </c>
      <c r="F733">
        <v>1</v>
      </c>
    </row>
    <row r="734" spans="2:6" x14ac:dyDescent="0.35">
      <c r="B734" t="str">
        <v>George Roberts</v>
      </c>
      <c r="C734">
        <v>1</v>
      </c>
      <c r="E734" t="s">
        <v>2097</v>
      </c>
      <c r="F734">
        <v>1</v>
      </c>
    </row>
    <row r="735" spans="2:6" x14ac:dyDescent="0.35">
      <c r="B735" t="str">
        <v>Gigascale Capital</v>
      </c>
      <c r="C735">
        <v>2</v>
      </c>
      <c r="E735" t="s">
        <v>2098</v>
      </c>
      <c r="F735">
        <v>1</v>
      </c>
    </row>
    <row r="736" spans="2:6" x14ac:dyDescent="0.35">
      <c r="B736" t="str">
        <v>Kleiner Perkins</v>
      </c>
      <c r="C736">
        <v>1</v>
      </c>
      <c r="E736" t="s">
        <v>2099</v>
      </c>
      <c r="F736">
        <v>1</v>
      </c>
    </row>
    <row r="737" spans="2:6" x14ac:dyDescent="0.35">
      <c r="B737" t="str">
        <v>Kyber Knight Capital</v>
      </c>
      <c r="C737">
        <v>1</v>
      </c>
      <c r="E737" t="s">
        <v>2100</v>
      </c>
      <c r="F737">
        <v>1</v>
      </c>
    </row>
    <row r="738" spans="2:6" x14ac:dyDescent="0.35">
      <c r="B738" t="str">
        <v>Microsoft</v>
      </c>
      <c r="C738">
        <v>1</v>
      </c>
      <c r="E738" t="s">
        <v>2101</v>
      </c>
      <c r="F738">
        <v>1</v>
      </c>
    </row>
    <row r="739" spans="2:6" x14ac:dyDescent="0.35">
      <c r="B739" t="str">
        <v>Sheryl Sandberg</v>
      </c>
      <c r="C739">
        <v>1</v>
      </c>
      <c r="E739" t="s">
        <v>2102</v>
      </c>
      <c r="F739">
        <v>1</v>
      </c>
    </row>
    <row r="740" spans="2:6" x14ac:dyDescent="0.35">
      <c r="B740" t="str">
        <v>Valor Capital Group</v>
      </c>
      <c r="C740">
        <v>1</v>
      </c>
      <c r="E740" t="s">
        <v>2104</v>
      </c>
      <c r="F740">
        <v>1</v>
      </c>
    </row>
    <row r="741" spans="2:6" x14ac:dyDescent="0.35">
      <c r="B741" t="str">
        <v>Calm Ventures</v>
      </c>
      <c r="C741">
        <v>1</v>
      </c>
      <c r="E741" t="s">
        <v>1801</v>
      </c>
      <c r="F741">
        <v>1</v>
      </c>
    </row>
    <row r="742" spans="2:6" x14ac:dyDescent="0.35">
      <c r="B742" t="str">
        <v>Fanjul Capital</v>
      </c>
      <c r="C742">
        <v>1</v>
      </c>
      <c r="E742" t="s">
        <v>2106</v>
      </c>
      <c r="F742">
        <v>1</v>
      </c>
    </row>
    <row r="743" spans="2:6" x14ac:dyDescent="0.35">
      <c r="B743" t="str">
        <v>Gaingels</v>
      </c>
      <c r="C743">
        <v>2</v>
      </c>
      <c r="E743" t="s">
        <v>2108</v>
      </c>
      <c r="F743">
        <v>1</v>
      </c>
    </row>
    <row r="744" spans="2:6" x14ac:dyDescent="0.35">
      <c r="B744" t="str">
        <v>Knockout Capital</v>
      </c>
      <c r="C744">
        <v>1</v>
      </c>
      <c r="E744" t="s">
        <v>2109</v>
      </c>
      <c r="F744">
        <v>1</v>
      </c>
    </row>
    <row r="745" spans="2:6" x14ac:dyDescent="0.35">
      <c r="B745" t="str">
        <v>Lombardstreet Ventures</v>
      </c>
      <c r="C745">
        <v>1</v>
      </c>
      <c r="E745" t="s">
        <v>2110</v>
      </c>
      <c r="F745">
        <v>1</v>
      </c>
    </row>
    <row r="746" spans="2:6" x14ac:dyDescent="0.35">
      <c r="B746" t="str">
        <v>Relumin</v>
      </c>
      <c r="C746">
        <v>1</v>
      </c>
      <c r="E746" t="s">
        <v>2111</v>
      </c>
      <c r="F746">
        <v>1</v>
      </c>
    </row>
    <row r="747" spans="2:6" x14ac:dyDescent="0.35">
      <c r="B747" t="str">
        <v>The Scope Fund</v>
      </c>
      <c r="C747">
        <v>1</v>
      </c>
      <c r="E747" t="s">
        <v>728</v>
      </c>
      <c r="F747">
        <v>1</v>
      </c>
    </row>
    <row r="748" spans="2:6" x14ac:dyDescent="0.35">
      <c r="B748" t="str">
        <v>VISION</v>
      </c>
      <c r="C748">
        <v>1</v>
      </c>
      <c r="E748" t="s">
        <v>2112</v>
      </c>
      <c r="F748">
        <v>1</v>
      </c>
    </row>
    <row r="749" spans="2:6" x14ac:dyDescent="0.35">
      <c r="B749" t="str">
        <v>ArcelorMittal</v>
      </c>
      <c r="C749">
        <v>1</v>
      </c>
      <c r="E749" t="s">
        <v>506</v>
      </c>
      <c r="F749">
        <v>1</v>
      </c>
    </row>
    <row r="750" spans="2:6" x14ac:dyDescent="0.35">
      <c r="B750" t="str">
        <v>Cascade Investment</v>
      </c>
      <c r="C750">
        <v>1</v>
      </c>
      <c r="E750" t="s">
        <v>2114</v>
      </c>
      <c r="F750">
        <v>1</v>
      </c>
    </row>
    <row r="751" spans="2:6" x14ac:dyDescent="0.35">
      <c r="B751" t="str">
        <v>Hedonova</v>
      </c>
      <c r="C751">
        <v>1</v>
      </c>
      <c r="E751" t="s">
        <v>2115</v>
      </c>
      <c r="F751">
        <v>1</v>
      </c>
    </row>
    <row r="752" spans="2:6" x14ac:dyDescent="0.35">
      <c r="B752" t="str">
        <v>Korea Shipbuilding and Offshore Engineering</v>
      </c>
      <c r="C752">
        <v>1</v>
      </c>
      <c r="E752" t="s">
        <v>2116</v>
      </c>
      <c r="F752">
        <v>1</v>
      </c>
    </row>
    <row r="753" spans="2:6" x14ac:dyDescent="0.35">
      <c r="B753" t="str">
        <v>SK Group</v>
      </c>
      <c r="C753">
        <v>1</v>
      </c>
      <c r="E753" t="s">
        <v>2117</v>
      </c>
      <c r="F753">
        <v>1</v>
      </c>
    </row>
    <row r="754" spans="2:6" x14ac:dyDescent="0.35">
      <c r="B754" t="str">
        <v>SK Innovation</v>
      </c>
      <c r="C754">
        <v>1</v>
      </c>
      <c r="E754" t="s">
        <v>2118</v>
      </c>
      <c r="F754">
        <v>1</v>
      </c>
    </row>
    <row r="755" spans="2:6" x14ac:dyDescent="0.35">
      <c r="B755" t="str">
        <v>0</v>
      </c>
      <c r="C755">
        <v>40</v>
      </c>
      <c r="E755" t="s">
        <v>2119</v>
      </c>
      <c r="F755">
        <v>1</v>
      </c>
    </row>
    <row r="756" spans="2:6" x14ac:dyDescent="0.35">
      <c r="B756" t="str">
        <v>Aria Emiko</v>
      </c>
      <c r="C756">
        <v>1</v>
      </c>
      <c r="E756" t="s">
        <v>2120</v>
      </c>
      <c r="F756">
        <v>1</v>
      </c>
    </row>
    <row r="757" spans="2:6" x14ac:dyDescent="0.35">
      <c r="B757" t="str">
        <v>Beck Koss</v>
      </c>
      <c r="C757">
        <v>1</v>
      </c>
      <c r="E757" t="s">
        <v>2121</v>
      </c>
      <c r="F757">
        <v>1</v>
      </c>
    </row>
    <row r="758" spans="2:6" x14ac:dyDescent="0.35">
      <c r="B758" t="str">
        <v>Benjamin Stokes</v>
      </c>
      <c r="C758">
        <v>1</v>
      </c>
      <c r="E758" t="s">
        <v>2122</v>
      </c>
      <c r="F758">
        <v>1</v>
      </c>
    </row>
    <row r="759" spans="2:6" x14ac:dyDescent="0.35">
      <c r="B759" t="str">
        <v>C3 Ventures</v>
      </c>
      <c r="C759">
        <v>1</v>
      </c>
      <c r="E759" t="s">
        <v>2124</v>
      </c>
      <c r="F759">
        <v>1</v>
      </c>
    </row>
    <row r="760" spans="2:6" x14ac:dyDescent="0.35">
      <c r="B760" t="str">
        <v>Carrier-ok</v>
      </c>
      <c r="C760">
        <v>1</v>
      </c>
      <c r="E760" t="s">
        <v>2125</v>
      </c>
      <c r="F760">
        <v>1</v>
      </c>
    </row>
    <row r="761" spans="2:6" x14ac:dyDescent="0.35">
      <c r="B761" t="str">
        <v>Chasing Rainbows</v>
      </c>
      <c r="C761">
        <v>1</v>
      </c>
      <c r="E761" t="s">
        <v>2126</v>
      </c>
      <c r="F761">
        <v>1</v>
      </c>
    </row>
    <row r="762" spans="2:6" x14ac:dyDescent="0.35">
      <c r="B762" t="str">
        <v>Claire England</v>
      </c>
      <c r="C762">
        <v>1</v>
      </c>
      <c r="E762" t="s">
        <v>2127</v>
      </c>
      <c r="F762">
        <v>1</v>
      </c>
    </row>
    <row r="763" spans="2:6" x14ac:dyDescent="0.35">
      <c r="B763" t="str">
        <v>Climate Capital</v>
      </c>
      <c r="C763">
        <v>7</v>
      </c>
      <c r="E763" t="s">
        <v>2128</v>
      </c>
      <c r="F763">
        <v>1</v>
      </c>
    </row>
    <row r="764" spans="2:6" x14ac:dyDescent="0.35">
      <c r="B764" t="str">
        <v>CRCM Ventures</v>
      </c>
      <c r="C764">
        <v>1</v>
      </c>
      <c r="E764" t="s">
        <v>2129</v>
      </c>
      <c r="F764">
        <v>1</v>
      </c>
    </row>
    <row r="765" spans="2:6" x14ac:dyDescent="0.35">
      <c r="B765" t="str">
        <v>Davic Weissman</v>
      </c>
      <c r="C765">
        <v>1</v>
      </c>
      <c r="E765" t="s">
        <v>2130</v>
      </c>
      <c r="F765">
        <v>1</v>
      </c>
    </row>
    <row r="766" spans="2:6" x14ac:dyDescent="0.35">
      <c r="B766" t="str">
        <v>Earth Venture Capital</v>
      </c>
      <c r="C766">
        <v>1</v>
      </c>
      <c r="E766" t="s">
        <v>2131</v>
      </c>
      <c r="F766">
        <v>1</v>
      </c>
    </row>
    <row r="767" spans="2:6" x14ac:dyDescent="0.35">
      <c r="B767" t="str">
        <v>Gaingles</v>
      </c>
      <c r="C767">
        <v>1</v>
      </c>
      <c r="E767" t="s">
        <v>2132</v>
      </c>
      <c r="F767">
        <v>1</v>
      </c>
    </row>
    <row r="768" spans="2:6" x14ac:dyDescent="0.35">
      <c r="B768" t="str">
        <v>Happiness Capital</v>
      </c>
      <c r="C768">
        <v>1</v>
      </c>
      <c r="E768" t="s">
        <v>2133</v>
      </c>
      <c r="F768">
        <v>1</v>
      </c>
    </row>
    <row r="769" spans="2:6" x14ac:dyDescent="0.35">
      <c r="B769" t="str">
        <v>Karan Goel</v>
      </c>
      <c r="C769">
        <v>1</v>
      </c>
      <c r="E769" t="s">
        <v>1564</v>
      </c>
      <c r="F769">
        <v>1</v>
      </c>
    </row>
    <row r="770" spans="2:6" x14ac:dyDescent="0.35">
      <c r="B770" t="str">
        <v>Meliorare Partners</v>
      </c>
      <c r="C770">
        <v>1</v>
      </c>
      <c r="E770" t="s">
        <v>2134</v>
      </c>
      <c r="F770">
        <v>1</v>
      </c>
    </row>
    <row r="771" spans="2:6" x14ac:dyDescent="0.35">
      <c r="B771" t="str">
        <v>MiH Ventures</v>
      </c>
      <c r="C771">
        <v>1</v>
      </c>
      <c r="E771" t="s">
        <v>507</v>
      </c>
      <c r="F771">
        <v>1</v>
      </c>
    </row>
    <row r="772" spans="2:6" x14ac:dyDescent="0.35">
      <c r="B772" t="str">
        <v>Nucleus Adventure Capital</v>
      </c>
      <c r="C772">
        <v>1</v>
      </c>
      <c r="E772" t="s">
        <v>2135</v>
      </c>
      <c r="F772">
        <v>1</v>
      </c>
    </row>
    <row r="773" spans="2:6" x14ac:dyDescent="0.35">
      <c r="B773" t="str">
        <v>Portfolia</v>
      </c>
      <c r="C773">
        <v>2</v>
      </c>
      <c r="E773" t="s">
        <v>2136</v>
      </c>
      <c r="F773">
        <v>1</v>
      </c>
    </row>
    <row r="774" spans="2:6" x14ac:dyDescent="0.35">
      <c r="B774" t="str">
        <v>Raphael Carteni</v>
      </c>
      <c r="C774">
        <v>1</v>
      </c>
      <c r="E774" t="s">
        <v>2137</v>
      </c>
      <c r="F774">
        <v>1</v>
      </c>
    </row>
    <row r="775" spans="2:6" x14ac:dyDescent="0.35">
      <c r="B775" t="str">
        <v>Van Ngo</v>
      </c>
      <c r="C775">
        <v>1</v>
      </c>
      <c r="E775" t="s">
        <v>2138</v>
      </c>
      <c r="F775">
        <v>1</v>
      </c>
    </row>
    <row r="776" spans="2:6" x14ac:dyDescent="0.35">
      <c r="B776" t="str">
        <v>Plug and Play Tech Center</v>
      </c>
      <c r="C776">
        <v>2</v>
      </c>
      <c r="E776" t="s">
        <v>2139</v>
      </c>
      <c r="F776">
        <v>1</v>
      </c>
    </row>
    <row r="777" spans="2:6" x14ac:dyDescent="0.35">
      <c r="B777" t="str">
        <v>0</v>
      </c>
      <c r="C777">
        <v>40</v>
      </c>
      <c r="E777" t="s">
        <v>2140</v>
      </c>
      <c r="F777">
        <v>1</v>
      </c>
    </row>
    <row r="778" spans="2:6" x14ac:dyDescent="0.35">
      <c r="B778" t="str">
        <v>Aera VC</v>
      </c>
      <c r="C778">
        <v>1</v>
      </c>
      <c r="E778" t="s">
        <v>2141</v>
      </c>
      <c r="F778">
        <v>1</v>
      </c>
    </row>
    <row r="779" spans="2:6" x14ac:dyDescent="0.35">
      <c r="B779" t="str">
        <v>Alpha Bridge Ventures</v>
      </c>
      <c r="C779">
        <v>1</v>
      </c>
      <c r="E779" t="s">
        <v>2142</v>
      </c>
      <c r="F779">
        <v>1</v>
      </c>
    </row>
    <row r="780" spans="2:6" x14ac:dyDescent="0.35">
      <c r="B780" t="str">
        <v>Capricorn Investment Group</v>
      </c>
      <c r="C780">
        <v>1</v>
      </c>
      <c r="E780" t="s">
        <v>2143</v>
      </c>
      <c r="F780">
        <v>1</v>
      </c>
    </row>
    <row r="781" spans="2:6" x14ac:dyDescent="0.35">
      <c r="B781" t="str">
        <v>Carbon Direct Capital Management</v>
      </c>
      <c r="C781">
        <v>1</v>
      </c>
      <c r="E781" t="s">
        <v>2144</v>
      </c>
      <c r="F781">
        <v>1</v>
      </c>
    </row>
    <row r="782" spans="2:6" x14ac:dyDescent="0.35">
      <c r="B782" t="str">
        <v>City Hill Ventures</v>
      </c>
      <c r="C782">
        <v>1</v>
      </c>
      <c r="E782" t="s">
        <v>2145</v>
      </c>
      <c r="F782">
        <v>1</v>
      </c>
    </row>
    <row r="783" spans="2:6" x14ac:dyDescent="0.35">
      <c r="B783" t="str">
        <v>Climate Capital</v>
      </c>
      <c r="C783">
        <v>7</v>
      </c>
      <c r="E783" t="s">
        <v>2146</v>
      </c>
      <c r="F783">
        <v>1</v>
      </c>
    </row>
    <row r="784" spans="2:6" x14ac:dyDescent="0.35">
      <c r="B784" t="str">
        <v>GC Venture Fellows</v>
      </c>
      <c r="C784">
        <v>1</v>
      </c>
      <c r="E784" t="s">
        <v>2148</v>
      </c>
      <c r="F784">
        <v>1</v>
      </c>
    </row>
    <row r="785" spans="2:6" x14ac:dyDescent="0.35">
      <c r="B785" t="str">
        <v>Lowercarbon Capital</v>
      </c>
      <c r="C785">
        <v>6</v>
      </c>
      <c r="E785" t="s">
        <v>2150</v>
      </c>
      <c r="F785">
        <v>1</v>
      </c>
    </row>
    <row r="786" spans="2:6" x14ac:dyDescent="0.35">
      <c r="B786" t="str">
        <v>Microsoft Climate Fund</v>
      </c>
      <c r="C786">
        <v>2</v>
      </c>
      <c r="E786" t="s">
        <v>2151</v>
      </c>
      <c r="F786">
        <v>1</v>
      </c>
    </row>
    <row r="787" spans="2:6" x14ac:dyDescent="0.35">
      <c r="B787" t="str">
        <v>Munich Re Ventures</v>
      </c>
      <c r="C787">
        <v>1</v>
      </c>
      <c r="E787" t="s">
        <v>2152</v>
      </c>
      <c r="F787">
        <v>1</v>
      </c>
    </row>
    <row r="788" spans="2:6" x14ac:dyDescent="0.35">
      <c r="B788" t="str">
        <v>Rising Tide Fund</v>
      </c>
      <c r="C788">
        <v>1</v>
      </c>
      <c r="E788" t="s">
        <v>1411</v>
      </c>
      <c r="F788">
        <v>1</v>
      </c>
    </row>
    <row r="789" spans="2:6" x14ac:dyDescent="0.35">
      <c r="B789" t="str">
        <v>Twynam Funds Management</v>
      </c>
      <c r="C789">
        <v>1</v>
      </c>
      <c r="E789" t="s">
        <v>2154</v>
      </c>
      <c r="F789">
        <v>1</v>
      </c>
    </row>
    <row r="790" spans="2:6" x14ac:dyDescent="0.35">
      <c r="B790" t="str">
        <v>Atlas Capital</v>
      </c>
      <c r="C790">
        <v>1</v>
      </c>
      <c r="E790" t="s">
        <v>2156</v>
      </c>
      <c r="F790">
        <v>1</v>
      </c>
    </row>
    <row r="791" spans="2:6" x14ac:dyDescent="0.35">
      <c r="B791" t="str">
        <v>Berg Energy Ventures</v>
      </c>
      <c r="C791">
        <v>1</v>
      </c>
      <c r="E791" t="s">
        <v>2157</v>
      </c>
      <c r="F791">
        <v>1</v>
      </c>
    </row>
    <row r="792" spans="2:6" x14ac:dyDescent="0.35">
      <c r="B792" t="str">
        <v>Collaborative Fund</v>
      </c>
      <c r="C792">
        <v>6</v>
      </c>
      <c r="E792" t="s">
        <v>2158</v>
      </c>
      <c r="F792">
        <v>1</v>
      </c>
    </row>
    <row r="793" spans="2:6" x14ac:dyDescent="0.35">
      <c r="B793" t="str">
        <v>CorDx</v>
      </c>
      <c r="C793">
        <v>1</v>
      </c>
      <c r="E793" t="s">
        <v>2159</v>
      </c>
      <c r="F793">
        <v>1</v>
      </c>
    </row>
    <row r="794" spans="2:6" x14ac:dyDescent="0.35">
      <c r="B794" t="str">
        <v>Gigascale Capital</v>
      </c>
      <c r="C794">
        <v>2</v>
      </c>
      <c r="E794" t="s">
        <v>2160</v>
      </c>
      <c r="F794">
        <v>1</v>
      </c>
    </row>
    <row r="795" spans="2:6" x14ac:dyDescent="0.35">
      <c r="B795" t="str">
        <v>Impact Science Ventures</v>
      </c>
      <c r="C795">
        <v>2</v>
      </c>
      <c r="E795" t="s">
        <v>2161</v>
      </c>
      <c r="F795">
        <v>1</v>
      </c>
    </row>
    <row r="796" spans="2:6" x14ac:dyDescent="0.35">
      <c r="B796" t="str">
        <v>Ryan Orr</v>
      </c>
      <c r="C796">
        <v>1</v>
      </c>
      <c r="E796" t="s">
        <v>2162</v>
      </c>
      <c r="F796">
        <v>1</v>
      </c>
    </row>
    <row r="797" spans="2:6" x14ac:dyDescent="0.35">
      <c r="B797" t="str">
        <v>The Atlas Capital</v>
      </c>
      <c r="C797">
        <v>2</v>
      </c>
      <c r="E797" t="s">
        <v>2163</v>
      </c>
      <c r="F797">
        <v>1</v>
      </c>
    </row>
    <row r="798" spans="2:6" x14ac:dyDescent="0.35">
      <c r="B798" t="str">
        <v>0</v>
      </c>
      <c r="C798">
        <v>40</v>
      </c>
      <c r="E798" t="s">
        <v>1437</v>
      </c>
      <c r="F798">
        <v>1</v>
      </c>
    </row>
    <row r="799" spans="2:6" x14ac:dyDescent="0.35">
      <c r="B799" t="str">
        <v>Arunas Chesonis</v>
      </c>
      <c r="C799">
        <v>1</v>
      </c>
      <c r="E799" t="s">
        <v>2164</v>
      </c>
      <c r="F799">
        <v>1</v>
      </c>
    </row>
    <row r="800" spans="2:6" x14ac:dyDescent="0.35">
      <c r="B800" t="str">
        <v>Eneos Innovation Partners</v>
      </c>
      <c r="C800">
        <v>1</v>
      </c>
      <c r="E800" t="s">
        <v>2165</v>
      </c>
      <c r="F800">
        <v>1</v>
      </c>
    </row>
    <row r="801" spans="2:6" x14ac:dyDescent="0.35">
      <c r="B801" t="str">
        <v>Keith Wilson</v>
      </c>
      <c r="C801">
        <v>2</v>
      </c>
      <c r="E801" t="s">
        <v>2166</v>
      </c>
      <c r="F801">
        <v>1</v>
      </c>
    </row>
    <row r="802" spans="2:6" x14ac:dyDescent="0.35">
      <c r="B802" t="str">
        <v>Safar Partners</v>
      </c>
      <c r="C802">
        <v>3</v>
      </c>
      <c r="E802" t="s">
        <v>2167</v>
      </c>
      <c r="F802">
        <v>1</v>
      </c>
    </row>
    <row r="803" spans="2:6" x14ac:dyDescent="0.35">
      <c r="B803" t="str">
        <v>Keith Wilson</v>
      </c>
      <c r="C803">
        <v>2</v>
      </c>
      <c r="E803" t="s">
        <v>1521</v>
      </c>
      <c r="F803">
        <v>1</v>
      </c>
    </row>
    <row r="804" spans="2:6" x14ac:dyDescent="0.35">
      <c r="B804" t="str">
        <v/>
      </c>
      <c r="C804">
        <v>1</v>
      </c>
      <c r="E804" t="s">
        <v>2168</v>
      </c>
      <c r="F804">
        <v>1</v>
      </c>
    </row>
    <row r="805" spans="2:6" x14ac:dyDescent="0.35">
      <c r="B805" t="str">
        <v>Marathon Capital Management</v>
      </c>
      <c r="C805">
        <v>1</v>
      </c>
      <c r="E805" t="s">
        <v>2169</v>
      </c>
      <c r="F805">
        <v>1</v>
      </c>
    </row>
    <row r="806" spans="2:6" x14ac:dyDescent="0.35">
      <c r="B806" t="str">
        <v>0</v>
      </c>
      <c r="C806">
        <v>40</v>
      </c>
      <c r="E806" t="s">
        <v>2170</v>
      </c>
      <c r="F806">
        <v>1</v>
      </c>
    </row>
    <row r="807" spans="2:6" x14ac:dyDescent="0.35">
      <c r="B807" t="str">
        <v>Fifty Years</v>
      </c>
      <c r="C807">
        <v>1</v>
      </c>
      <c r="E807" t="s">
        <v>2171</v>
      </c>
      <c r="F807">
        <v>1</v>
      </c>
    </row>
    <row r="808" spans="2:6" x14ac:dyDescent="0.35">
      <c r="B808" t="str">
        <v>Stray Dog Capital</v>
      </c>
      <c r="C808">
        <v>2</v>
      </c>
      <c r="E808" t="s">
        <v>2172</v>
      </c>
      <c r="F808">
        <v>1</v>
      </c>
    </row>
    <row r="809" spans="2:6" x14ac:dyDescent="0.35">
      <c r="B809" t="str">
        <v>Unovis Asset Management</v>
      </c>
      <c r="C809">
        <v>1</v>
      </c>
      <c r="E809" t="s">
        <v>2173</v>
      </c>
      <c r="F809">
        <v>1</v>
      </c>
    </row>
    <row r="810" spans="2:6" x14ac:dyDescent="0.35">
      <c r="B810" t="str">
        <v>Atomico</v>
      </c>
      <c r="C810">
        <v>1</v>
      </c>
      <c r="E810" t="s">
        <v>2174</v>
      </c>
      <c r="F810">
        <v>1</v>
      </c>
    </row>
    <row r="811" spans="2:6" x14ac:dyDescent="0.35">
      <c r="B811" t="str">
        <v>Avi Brown</v>
      </c>
      <c r="C811">
        <v>1</v>
      </c>
      <c r="E811" t="s">
        <v>2175</v>
      </c>
      <c r="F811">
        <v>1</v>
      </c>
    </row>
    <row r="812" spans="2:6" x14ac:dyDescent="0.35">
      <c r="B812" t="str">
        <v>Cargill</v>
      </c>
      <c r="C812">
        <v>2</v>
      </c>
      <c r="E812" t="s">
        <v>2176</v>
      </c>
      <c r="F812">
        <v>1</v>
      </c>
    </row>
    <row r="813" spans="2:6" x14ac:dyDescent="0.35">
      <c r="B813" t="str">
        <v>Five Seasons Ventures</v>
      </c>
      <c r="C813">
        <v>3</v>
      </c>
      <c r="E813" t="s">
        <v>2177</v>
      </c>
      <c r="F813">
        <v>1</v>
      </c>
    </row>
    <row r="814" spans="2:6" x14ac:dyDescent="0.35">
      <c r="B814" t="str">
        <v>Gates Ventures</v>
      </c>
      <c r="C814">
        <v>1</v>
      </c>
      <c r="E814" t="s">
        <v>2178</v>
      </c>
      <c r="F814">
        <v>1</v>
      </c>
    </row>
    <row r="815" spans="2:6" x14ac:dyDescent="0.35">
      <c r="B815" t="str">
        <v>Inevitable Ventures</v>
      </c>
      <c r="C815">
        <v>1</v>
      </c>
      <c r="E815" t="s">
        <v>2179</v>
      </c>
      <c r="F815">
        <v>1</v>
      </c>
    </row>
    <row r="816" spans="2:6" x14ac:dyDescent="0.35">
      <c r="B816" t="str">
        <v>John Welch</v>
      </c>
      <c r="C816">
        <v>1</v>
      </c>
      <c r="E816" t="s">
        <v>2180</v>
      </c>
      <c r="F816">
        <v>1</v>
      </c>
    </row>
    <row r="817" spans="2:6" x14ac:dyDescent="0.35">
      <c r="B817" t="str">
        <v>KBW Ventures</v>
      </c>
      <c r="C817">
        <v>2</v>
      </c>
      <c r="E817" t="s">
        <v>2181</v>
      </c>
      <c r="F817">
        <v>1</v>
      </c>
    </row>
    <row r="818" spans="2:6" x14ac:dyDescent="0.35">
      <c r="B818" t="str">
        <v>Kimbal Musk</v>
      </c>
      <c r="C818">
        <v>1</v>
      </c>
      <c r="E818" t="s">
        <v>2182</v>
      </c>
      <c r="F818">
        <v>1</v>
      </c>
    </row>
    <row r="819" spans="2:6" x14ac:dyDescent="0.35">
      <c r="B819" t="str">
        <v>Kyle Vogt</v>
      </c>
      <c r="C819">
        <v>1</v>
      </c>
      <c r="E819" t="s">
        <v>2183</v>
      </c>
      <c r="F819">
        <v>1</v>
      </c>
    </row>
    <row r="820" spans="2:6" x14ac:dyDescent="0.35">
      <c r="B820" t="str">
        <v>Richard Branson</v>
      </c>
      <c r="C820">
        <v>1</v>
      </c>
      <c r="E820" t="s">
        <v>2184</v>
      </c>
      <c r="F820">
        <v>1</v>
      </c>
    </row>
    <row r="821" spans="2:6" x14ac:dyDescent="0.35">
      <c r="B821" t="str">
        <v>Threshold Management</v>
      </c>
      <c r="C821">
        <v>1</v>
      </c>
      <c r="E821" t="s">
        <v>2185</v>
      </c>
      <c r="F821">
        <v>1</v>
      </c>
    </row>
    <row r="822" spans="2:6" x14ac:dyDescent="0.35">
      <c r="B822" t="str">
        <v>SoftBank Investment Advisers</v>
      </c>
      <c r="C822">
        <v>1</v>
      </c>
      <c r="E822" t="s">
        <v>2186</v>
      </c>
      <c r="F822">
        <v>1</v>
      </c>
    </row>
    <row r="823" spans="2:6" x14ac:dyDescent="0.35">
      <c r="B823" t="str">
        <v>Norwest Venture Partners</v>
      </c>
      <c r="C823">
        <v>1</v>
      </c>
      <c r="E823" t="s">
        <v>2187</v>
      </c>
      <c r="F823">
        <v>1</v>
      </c>
    </row>
    <row r="824" spans="2:6" x14ac:dyDescent="0.35">
      <c r="B824" t="str">
        <v>CPT Capital</v>
      </c>
      <c r="C824">
        <v>2</v>
      </c>
      <c r="E824" t="s">
        <v>2189</v>
      </c>
      <c r="F824">
        <v>1</v>
      </c>
    </row>
    <row r="825" spans="2:6" x14ac:dyDescent="0.35">
      <c r="B825" t="str">
        <v>Builders VC</v>
      </c>
      <c r="C825">
        <v>1</v>
      </c>
      <c r="E825" t="s">
        <v>1787</v>
      </c>
      <c r="F825">
        <v>1</v>
      </c>
    </row>
    <row r="826" spans="2:6" x14ac:dyDescent="0.35">
      <c r="B826" t="str">
        <v>Dentsu Ventures</v>
      </c>
      <c r="C826">
        <v>1</v>
      </c>
      <c r="E826" t="s">
        <v>2190</v>
      </c>
      <c r="F826">
        <v>1</v>
      </c>
    </row>
    <row r="827" spans="2:6" x14ac:dyDescent="0.35">
      <c r="B827" t="str">
        <v>Tyson Ventures</v>
      </c>
      <c r="C827">
        <v>1</v>
      </c>
      <c r="E827" t="s">
        <v>2192</v>
      </c>
      <c r="F827">
        <v>1</v>
      </c>
    </row>
    <row r="828" spans="2:6" x14ac:dyDescent="0.35">
      <c r="B828" t="str">
        <v>EDBI</v>
      </c>
      <c r="C828">
        <v>1</v>
      </c>
      <c r="E828" t="s">
        <v>2193</v>
      </c>
      <c r="F828">
        <v>1</v>
      </c>
    </row>
    <row r="829" spans="2:6" x14ac:dyDescent="0.35">
      <c r="B829" t="str">
        <v>Whole Foods Market</v>
      </c>
      <c r="C829">
        <v>1</v>
      </c>
      <c r="E829" t="s">
        <v>2194</v>
      </c>
      <c r="F829">
        <v>1</v>
      </c>
    </row>
    <row r="830" spans="2:6" x14ac:dyDescent="0.35">
      <c r="B830" t="str">
        <v>Conti Ventures</v>
      </c>
      <c r="C830">
        <v>4</v>
      </c>
      <c r="E830" t="s">
        <v>2195</v>
      </c>
      <c r="F830">
        <v>1</v>
      </c>
    </row>
    <row r="831" spans="2:6" x14ac:dyDescent="0.35">
      <c r="B831" t="str">
        <v>McWin Partners</v>
      </c>
      <c r="C831">
        <v>2</v>
      </c>
      <c r="E831" t="s">
        <v>2197</v>
      </c>
      <c r="F831">
        <v>1</v>
      </c>
    </row>
    <row r="832" spans="2:6" x14ac:dyDescent="0.35">
      <c r="B832" t="str">
        <v>Prime Partners</v>
      </c>
      <c r="C832">
        <v>1</v>
      </c>
      <c r="E832" t="s">
        <v>2198</v>
      </c>
      <c r="F832">
        <v>1</v>
      </c>
    </row>
    <row r="833" spans="2:6" x14ac:dyDescent="0.35">
      <c r="B833" t="str">
        <v>Enfini Ventures</v>
      </c>
      <c r="C833">
        <v>1</v>
      </c>
      <c r="E833" t="s">
        <v>2199</v>
      </c>
      <c r="F833">
        <v>1</v>
      </c>
    </row>
    <row r="834" spans="2:6" x14ac:dyDescent="0.35">
      <c r="B834" t="str">
        <v>Advisors.Fund</v>
      </c>
      <c r="C834">
        <v>1</v>
      </c>
      <c r="E834" t="s">
        <v>2200</v>
      </c>
      <c r="F834">
        <v>1</v>
      </c>
    </row>
    <row r="835" spans="2:6" x14ac:dyDescent="0.35">
      <c r="B835" t="str">
        <v>Threshold Ventures</v>
      </c>
      <c r="C835">
        <v>1</v>
      </c>
      <c r="E835" t="s">
        <v>2201</v>
      </c>
      <c r="F835">
        <v>1</v>
      </c>
    </row>
    <row r="836" spans="2:6" x14ac:dyDescent="0.35">
      <c r="B836" t="str">
        <v>BoxGroup</v>
      </c>
      <c r="C836">
        <v>1</v>
      </c>
      <c r="E836" t="s">
        <v>1428</v>
      </c>
      <c r="F836">
        <v>1</v>
      </c>
    </row>
    <row r="837" spans="2:6" x14ac:dyDescent="0.35">
      <c r="B837" t="str">
        <v>Future Ventures</v>
      </c>
      <c r="C837">
        <v>1</v>
      </c>
      <c r="E837" t="s">
        <v>2203</v>
      </c>
      <c r="F837">
        <v>1</v>
      </c>
    </row>
    <row r="838" spans="2:6" x14ac:dyDescent="0.35">
      <c r="B838" t="str">
        <v>Humboldt Fund</v>
      </c>
      <c r="C838">
        <v>1</v>
      </c>
      <c r="E838" t="s">
        <v>2204</v>
      </c>
      <c r="F838">
        <v>1</v>
      </c>
    </row>
    <row r="839" spans="2:6" x14ac:dyDescent="0.35">
      <c r="B839" t="str">
        <v>Baleine &amp; Bjorn Capital</v>
      </c>
      <c r="C839">
        <v>1</v>
      </c>
      <c r="E839" t="s">
        <v>2205</v>
      </c>
      <c r="F839">
        <v>1</v>
      </c>
    </row>
    <row r="840" spans="2:6" x14ac:dyDescent="0.35">
      <c r="B840" t="str">
        <v>Finistere Ventures</v>
      </c>
      <c r="C840">
        <v>1</v>
      </c>
      <c r="E840" t="s">
        <v>784</v>
      </c>
      <c r="F840">
        <v>1</v>
      </c>
    </row>
    <row r="841" spans="2:6" x14ac:dyDescent="0.35">
      <c r="B841" t="str">
        <v>gener8tor</v>
      </c>
      <c r="C841">
        <v>1</v>
      </c>
      <c r="E841" t="s">
        <v>2206</v>
      </c>
      <c r="F841">
        <v>1</v>
      </c>
    </row>
    <row r="842" spans="2:6" x14ac:dyDescent="0.35">
      <c r="B842" t="str">
        <v>Christiana Musk</v>
      </c>
      <c r="C842">
        <v>1</v>
      </c>
      <c r="E842" t="s">
        <v>2207</v>
      </c>
      <c r="F842">
        <v>1</v>
      </c>
    </row>
    <row r="843" spans="2:6" x14ac:dyDescent="0.35">
      <c r="B843" t="str">
        <v>John Mackey</v>
      </c>
      <c r="C843">
        <v>1</v>
      </c>
      <c r="E843" t="s">
        <v>2209</v>
      </c>
      <c r="F843">
        <v>1</v>
      </c>
    </row>
    <row r="844" spans="2:6" x14ac:dyDescent="0.35">
      <c r="B844" t="str">
        <v>William Gates</v>
      </c>
      <c r="C844">
        <v>2</v>
      </c>
      <c r="E844" t="s">
        <v>2210</v>
      </c>
      <c r="F844">
        <v>1</v>
      </c>
    </row>
    <row r="845" spans="2:6" x14ac:dyDescent="0.35">
      <c r="B845" t="str">
        <v>Temasek Holdings</v>
      </c>
      <c r="C845">
        <v>8</v>
      </c>
      <c r="E845" t="s">
        <v>2211</v>
      </c>
      <c r="F845">
        <v>1</v>
      </c>
    </row>
    <row r="846" spans="2:6" x14ac:dyDescent="0.35">
      <c r="B846" t="str">
        <v>and Westcott</v>
      </c>
      <c r="C846">
        <v>1</v>
      </c>
      <c r="E846" t="s">
        <v>2212</v>
      </c>
      <c r="F846">
        <v>1</v>
      </c>
    </row>
    <row r="847" spans="2:6" x14ac:dyDescent="0.35">
      <c r="B847" t="str">
        <v>0</v>
      </c>
      <c r="C847">
        <v>40</v>
      </c>
      <c r="E847" t="s">
        <v>2213</v>
      </c>
      <c r="F847">
        <v>1</v>
      </c>
    </row>
    <row r="848" spans="2:6" x14ac:dyDescent="0.35">
      <c r="B848" t="str">
        <v>Appian Capital Advisory</v>
      </c>
      <c r="C848">
        <v>1</v>
      </c>
      <c r="E848" t="s">
        <v>2214</v>
      </c>
      <c r="F848">
        <v>1</v>
      </c>
    </row>
    <row r="849" spans="2:6" x14ac:dyDescent="0.35">
      <c r="B849" t="str">
        <v>Mickey Swortzel</v>
      </c>
      <c r="C849">
        <v>1</v>
      </c>
      <c r="E849" t="s">
        <v>2215</v>
      </c>
      <c r="F849">
        <v>1</v>
      </c>
    </row>
    <row r="850" spans="2:6" x14ac:dyDescent="0.35">
      <c r="B850" t="str">
        <v>Texas Halo Fund</v>
      </c>
      <c r="C850">
        <v>1</v>
      </c>
      <c r="E850" t="s">
        <v>2216</v>
      </c>
      <c r="F850">
        <v>1</v>
      </c>
    </row>
    <row r="851" spans="2:6" x14ac:dyDescent="0.35">
      <c r="B851" t="str">
        <v>Autodesk Foundation</v>
      </c>
      <c r="C851">
        <v>1</v>
      </c>
      <c r="E851" t="s">
        <v>2217</v>
      </c>
      <c r="F851">
        <v>1</v>
      </c>
    </row>
    <row r="852" spans="2:6" x14ac:dyDescent="0.35">
      <c r="B852" t="str">
        <v>Denver Ventures</v>
      </c>
      <c r="C852">
        <v>1</v>
      </c>
      <c r="E852" t="s">
        <v>2218</v>
      </c>
      <c r="F852">
        <v>1</v>
      </c>
    </row>
    <row r="853" spans="2:6" x14ac:dyDescent="0.35">
      <c r="B853" t="str">
        <v>Monfort</v>
      </c>
      <c r="C853">
        <v>1</v>
      </c>
      <c r="E853" t="s">
        <v>2219</v>
      </c>
      <c r="F853">
        <v>1</v>
      </c>
    </row>
    <row r="854" spans="2:6" x14ac:dyDescent="0.35">
      <c r="B854" t="str">
        <v>Seed I Pod</v>
      </c>
      <c r="C854">
        <v>1</v>
      </c>
      <c r="E854" t="s">
        <v>2220</v>
      </c>
      <c r="F854">
        <v>1</v>
      </c>
    </row>
    <row r="855" spans="2:6" x14ac:dyDescent="0.35">
      <c r="B855" t="str">
        <v>Breakthrough Energy</v>
      </c>
      <c r="C855">
        <v>3</v>
      </c>
      <c r="E855" t="s">
        <v>2221</v>
      </c>
      <c r="F855">
        <v>1</v>
      </c>
    </row>
    <row r="856" spans="2:6" x14ac:dyDescent="0.35">
      <c r="B856" t="str">
        <v>Congruent Ventures</v>
      </c>
      <c r="C856">
        <v>1</v>
      </c>
      <c r="E856" t="s">
        <v>2222</v>
      </c>
      <c r="F856">
        <v>1</v>
      </c>
    </row>
    <row r="857" spans="2:6" x14ac:dyDescent="0.35">
      <c r="B857" t="str">
        <v>Engine Ventures</v>
      </c>
      <c r="C857">
        <v>1</v>
      </c>
      <c r="E857" t="s">
        <v>2223</v>
      </c>
      <c r="F857">
        <v>1</v>
      </c>
    </row>
    <row r="858" spans="2:6" x14ac:dyDescent="0.35">
      <c r="B858" t="str">
        <v>F-Prime Capital</v>
      </c>
      <c r="C858">
        <v>2</v>
      </c>
      <c r="E858" t="s">
        <v>2224</v>
      </c>
      <c r="F858">
        <v>1</v>
      </c>
    </row>
    <row r="859" spans="2:6" x14ac:dyDescent="0.35">
      <c r="B859" t="str">
        <v>Galvanize Climate Solutions</v>
      </c>
      <c r="C859">
        <v>1</v>
      </c>
      <c r="E859" t="s">
        <v>2225</v>
      </c>
      <c r="F859">
        <v>1</v>
      </c>
    </row>
    <row r="860" spans="2:6" x14ac:dyDescent="0.35">
      <c r="B860" t="str">
        <v>VXI Capital Management</v>
      </c>
      <c r="C860">
        <v>1</v>
      </c>
      <c r="E860" t="s">
        <v>2226</v>
      </c>
      <c r="F860">
        <v>1</v>
      </c>
    </row>
    <row r="861" spans="2:6" x14ac:dyDescent="0.35">
      <c r="B861" t="str">
        <v>0</v>
      </c>
      <c r="C861">
        <v>40</v>
      </c>
      <c r="E861" t="s">
        <v>2227</v>
      </c>
      <c r="F861">
        <v>1</v>
      </c>
    </row>
    <row r="862" spans="2:6" x14ac:dyDescent="0.35">
      <c r="B862" t="str">
        <v>0</v>
      </c>
      <c r="C862">
        <v>40</v>
      </c>
      <c r="E862" t="s">
        <v>1654</v>
      </c>
      <c r="F862">
        <v>1</v>
      </c>
    </row>
    <row r="863" spans="2:6" x14ac:dyDescent="0.35">
      <c r="B863" t="str">
        <v>0</v>
      </c>
      <c r="C863">
        <v>40</v>
      </c>
      <c r="E863" t="s">
        <v>2228</v>
      </c>
      <c r="F863">
        <v>1</v>
      </c>
    </row>
    <row r="864" spans="2:6" x14ac:dyDescent="0.35">
      <c r="B864" t="str">
        <v>Cavallo Ventures</v>
      </c>
      <c r="C864">
        <v>1</v>
      </c>
      <c r="E864" t="s">
        <v>2229</v>
      </c>
      <c r="F864">
        <v>1</v>
      </c>
    </row>
    <row r="865" spans="2:6" x14ac:dyDescent="0.35">
      <c r="B865" t="str">
        <v>Conti Ventures</v>
      </c>
      <c r="C865">
        <v>4</v>
      </c>
      <c r="E865" t="s">
        <v>2230</v>
      </c>
      <c r="F865">
        <v>1</v>
      </c>
    </row>
    <row r="866" spans="2:6" x14ac:dyDescent="0.35">
      <c r="B866" t="str">
        <v>Northpond Ventures</v>
      </c>
      <c r="C866">
        <v>1</v>
      </c>
      <c r="E866" t="s">
        <v>2231</v>
      </c>
      <c r="F866">
        <v>1</v>
      </c>
    </row>
    <row r="867" spans="2:6" x14ac:dyDescent="0.35">
      <c r="B867" t="str">
        <v>Syngenta Group Ventures</v>
      </c>
      <c r="C867">
        <v>1</v>
      </c>
      <c r="E867" t="s">
        <v>2232</v>
      </c>
      <c r="F867">
        <v>1</v>
      </c>
    </row>
    <row r="868" spans="2:6" x14ac:dyDescent="0.35">
      <c r="B868" t="str">
        <v>Cagan McAfee Capital Partners</v>
      </c>
      <c r="C868">
        <v>1</v>
      </c>
      <c r="E868" t="s">
        <v>2233</v>
      </c>
      <c r="F868">
        <v>1</v>
      </c>
    </row>
    <row r="869" spans="2:6" x14ac:dyDescent="0.35">
      <c r="B869" t="str">
        <v>Q 3 Financial</v>
      </c>
      <c r="C869">
        <v>1</v>
      </c>
      <c r="E869" t="s">
        <v>2234</v>
      </c>
      <c r="F869">
        <v>1</v>
      </c>
    </row>
    <row r="870" spans="2:6" x14ac:dyDescent="0.35">
      <c r="B870" t="str">
        <v>DeltaCap</v>
      </c>
      <c r="C870">
        <v>1</v>
      </c>
      <c r="E870" t="s">
        <v>2235</v>
      </c>
      <c r="F870">
        <v>1</v>
      </c>
    </row>
    <row r="871" spans="2:6" x14ac:dyDescent="0.35">
      <c r="B871" t="str">
        <v>Clean Energy Venture Group</v>
      </c>
      <c r="C871">
        <v>2</v>
      </c>
      <c r="E871" t="s">
        <v>2236</v>
      </c>
      <c r="F871">
        <v>1</v>
      </c>
    </row>
    <row r="872" spans="2:6" x14ac:dyDescent="0.35">
      <c r="B872" t="str">
        <v>Clean Energy Ventures</v>
      </c>
      <c r="C872">
        <v>2</v>
      </c>
      <c r="E872" t="s">
        <v>2237</v>
      </c>
      <c r="F872">
        <v>1</v>
      </c>
    </row>
    <row r="873" spans="2:6" x14ac:dyDescent="0.35">
      <c r="B873" t="str">
        <v>E8</v>
      </c>
      <c r="C873">
        <v>5</v>
      </c>
      <c r="E873" t="s">
        <v>2238</v>
      </c>
      <c r="F873">
        <v>1</v>
      </c>
    </row>
    <row r="874" spans="2:6" x14ac:dyDescent="0.35">
      <c r="B874" t="str">
        <v>Earth Foundry Management</v>
      </c>
      <c r="C874">
        <v>1</v>
      </c>
      <c r="E874" t="s">
        <v>2239</v>
      </c>
      <c r="F874">
        <v>1</v>
      </c>
    </row>
    <row r="875" spans="2:6" x14ac:dyDescent="0.35">
      <c r="B875" t="str">
        <v>1789 Capital</v>
      </c>
      <c r="C875">
        <v>1</v>
      </c>
      <c r="E875" t="s">
        <v>2242</v>
      </c>
      <c r="F875">
        <v>1</v>
      </c>
    </row>
    <row r="876" spans="2:6" x14ac:dyDescent="0.35">
      <c r="B876" t="str">
        <v>Altimeter Capital Management</v>
      </c>
      <c r="C876">
        <v>1</v>
      </c>
      <c r="E876" t="s">
        <v>2243</v>
      </c>
      <c r="F876">
        <v>1</v>
      </c>
    </row>
    <row r="877" spans="2:6" x14ac:dyDescent="0.35">
      <c r="B877" t="str">
        <v>One Investment Management</v>
      </c>
      <c r="C877">
        <v>1</v>
      </c>
      <c r="E877" t="s">
        <v>1708</v>
      </c>
      <c r="F877">
        <v>1</v>
      </c>
    </row>
    <row r="878" spans="2:6" x14ac:dyDescent="0.35">
      <c r="B878" t="str">
        <v>Washington Harbour</v>
      </c>
      <c r="C878">
        <v>1</v>
      </c>
      <c r="E878" t="s">
        <v>1508</v>
      </c>
      <c r="F878">
        <v>1</v>
      </c>
    </row>
    <row r="879" spans="2:6" x14ac:dyDescent="0.35">
      <c r="B879" t="str">
        <v>Climate Investment</v>
      </c>
      <c r="C879">
        <v>1</v>
      </c>
      <c r="E879" t="s">
        <v>2245</v>
      </c>
      <c r="F879">
        <v>1</v>
      </c>
    </row>
    <row r="880" spans="2:6" x14ac:dyDescent="0.35">
      <c r="B880" t="str">
        <v>Anthropocene Capital Management</v>
      </c>
      <c r="C880">
        <v>1</v>
      </c>
      <c r="E880" t="s">
        <v>2246</v>
      </c>
      <c r="F880">
        <v>1</v>
      </c>
    </row>
    <row r="881" spans="2:6" x14ac:dyDescent="0.35">
      <c r="B881" t="str">
        <v>Christian Thirion</v>
      </c>
      <c r="C881">
        <v>1</v>
      </c>
      <c r="E881" t="s">
        <v>2247</v>
      </c>
      <c r="F881">
        <v>1</v>
      </c>
    </row>
    <row r="882" spans="2:6" x14ac:dyDescent="0.35">
      <c r="B882" t="str">
        <v>Mitsui Mining and Smelting</v>
      </c>
      <c r="C882">
        <v>1</v>
      </c>
      <c r="E882" t="s">
        <v>2248</v>
      </c>
      <c r="F882">
        <v>1</v>
      </c>
    </row>
    <row r="883" spans="2:6" x14ac:dyDescent="0.35">
      <c r="B883" t="str">
        <v>Collaborative Fund</v>
      </c>
      <c r="C883">
        <v>6</v>
      </c>
      <c r="E883" t="s">
        <v>2249</v>
      </c>
      <c r="F883">
        <v>1</v>
      </c>
    </row>
    <row r="884" spans="2:6" x14ac:dyDescent="0.35">
      <c r="B884" t="str">
        <v>Cool Climate Collective</v>
      </c>
      <c r="C884">
        <v>1</v>
      </c>
      <c r="E884" t="s">
        <v>2250</v>
      </c>
      <c r="F884">
        <v>1</v>
      </c>
    </row>
    <row r="885" spans="2:6" x14ac:dyDescent="0.35">
      <c r="B885" t="str">
        <v>Day One Ventures</v>
      </c>
      <c r="C885">
        <v>1</v>
      </c>
      <c r="E885" t="s">
        <v>2251</v>
      </c>
      <c r="F885">
        <v>1</v>
      </c>
    </row>
    <row r="886" spans="2:6" x14ac:dyDescent="0.35">
      <c r="B886" t="str">
        <v>Divergent Capital</v>
      </c>
      <c r="C886">
        <v>2</v>
      </c>
      <c r="E886" t="s">
        <v>511</v>
      </c>
      <c r="F886">
        <v>1</v>
      </c>
    </row>
    <row r="887" spans="2:6" x14ac:dyDescent="0.35">
      <c r="B887" t="str">
        <v>Divergent Capital</v>
      </c>
      <c r="C887">
        <v>2</v>
      </c>
      <c r="E887" t="s">
        <v>2252</v>
      </c>
      <c r="F887">
        <v>1</v>
      </c>
    </row>
    <row r="888" spans="2:6" x14ac:dyDescent="0.35">
      <c r="B888" t="str">
        <v>Freshtracks Capital</v>
      </c>
      <c r="C888">
        <v>1</v>
      </c>
      <c r="E888" t="s">
        <v>2253</v>
      </c>
      <c r="F888">
        <v>1</v>
      </c>
    </row>
    <row r="889" spans="2:6" x14ac:dyDescent="0.35">
      <c r="B889" t="str">
        <v>Gratitude Railroad</v>
      </c>
      <c r="C889">
        <v>2</v>
      </c>
      <c r="E889" t="s">
        <v>2254</v>
      </c>
      <c r="F889">
        <v>1</v>
      </c>
    </row>
    <row r="890" spans="2:6" x14ac:dyDescent="0.35">
      <c r="B890" t="str">
        <v>Highstreet Insurance Partners</v>
      </c>
      <c r="C890">
        <v>1</v>
      </c>
      <c r="E890" t="s">
        <v>2255</v>
      </c>
      <c r="F890">
        <v>1</v>
      </c>
    </row>
    <row r="891" spans="2:6" x14ac:dyDescent="0.35">
      <c r="B891" t="str">
        <v>Magnuson Center for Entrepreneurship</v>
      </c>
      <c r="C891">
        <v>1</v>
      </c>
      <c r="E891" t="s">
        <v>2256</v>
      </c>
      <c r="F891">
        <v>1</v>
      </c>
    </row>
    <row r="892" spans="2:6" x14ac:dyDescent="0.35">
      <c r="B892" t="str">
        <v>Pure Ventures</v>
      </c>
      <c r="C892">
        <v>1</v>
      </c>
      <c r="E892" t="s">
        <v>2257</v>
      </c>
      <c r="F892">
        <v>1</v>
      </c>
    </row>
    <row r="893" spans="2:6" x14ac:dyDescent="0.35">
      <c r="B893" t="str">
        <v>Riverstyx Foundation</v>
      </c>
      <c r="C893">
        <v>1</v>
      </c>
      <c r="E893" t="s">
        <v>2258</v>
      </c>
      <c r="F893">
        <v>1</v>
      </c>
    </row>
    <row r="894" spans="2:6" x14ac:dyDescent="0.35">
      <c r="B894" t="str">
        <v>Silence VC</v>
      </c>
      <c r="C894">
        <v>1</v>
      </c>
      <c r="E894" t="s">
        <v>2260</v>
      </c>
      <c r="F894">
        <v>1</v>
      </c>
    </row>
    <row r="895" spans="2:6" x14ac:dyDescent="0.35">
      <c r="B895" t="str">
        <v>Susquehanna Foundation</v>
      </c>
      <c r="C895">
        <v>1</v>
      </c>
      <c r="E895" t="s">
        <v>2262</v>
      </c>
      <c r="F895">
        <v>1</v>
      </c>
    </row>
    <row r="896" spans="2:6" x14ac:dyDescent="0.35">
      <c r="B896" t="str">
        <v>Third Sphere</v>
      </c>
      <c r="C896">
        <v>1</v>
      </c>
      <c r="E896" t="s">
        <v>2263</v>
      </c>
      <c r="F896">
        <v>1</v>
      </c>
    </row>
    <row r="897" spans="2:6" x14ac:dyDescent="0.35">
      <c r="B897" t="str">
        <v>Tuck Social Venture Fund</v>
      </c>
      <c r="C897">
        <v>1</v>
      </c>
      <c r="E897" t="s">
        <v>2264</v>
      </c>
      <c r="F897">
        <v>1</v>
      </c>
    </row>
    <row r="898" spans="2:6" x14ac:dyDescent="0.35">
      <c r="B898" t="str">
        <v>0</v>
      </c>
      <c r="C898">
        <v>40</v>
      </c>
      <c r="E898" t="s">
        <v>2266</v>
      </c>
      <c r="F898">
        <v>1</v>
      </c>
    </row>
    <row r="899" spans="2:6" x14ac:dyDescent="0.35">
      <c r="B899" t="str">
        <v>Bezos Expeditions</v>
      </c>
      <c r="C899">
        <v>1</v>
      </c>
      <c r="E899" t="s">
        <v>2267</v>
      </c>
      <c r="F899">
        <v>1</v>
      </c>
    </row>
    <row r="900" spans="2:6" x14ac:dyDescent="0.35">
      <c r="B900" t="str">
        <v>Cargill</v>
      </c>
      <c r="C900">
        <v>2</v>
      </c>
      <c r="E900" t="s">
        <v>2268</v>
      </c>
      <c r="F900">
        <v>1</v>
      </c>
    </row>
    <row r="901" spans="2:6" x14ac:dyDescent="0.35">
      <c r="B901" t="str">
        <v>Footprint Coalition</v>
      </c>
      <c r="C901">
        <v>1</v>
      </c>
      <c r="E901" t="s">
        <v>2269</v>
      </c>
      <c r="F901">
        <v>1</v>
      </c>
    </row>
    <row r="902" spans="2:6" x14ac:dyDescent="0.35">
      <c r="B902" t="str">
        <v>Full Circle Africa</v>
      </c>
      <c r="C902">
        <v>1</v>
      </c>
      <c r="E902" t="s">
        <v>2270</v>
      </c>
      <c r="F902">
        <v>1</v>
      </c>
    </row>
    <row r="903" spans="2:6" x14ac:dyDescent="0.35">
      <c r="B903" t="str">
        <v>Hestia Venture Partners</v>
      </c>
      <c r="C903">
        <v>1</v>
      </c>
      <c r="E903" t="s">
        <v>2271</v>
      </c>
      <c r="F903">
        <v>1</v>
      </c>
    </row>
    <row r="904" spans="2:6" x14ac:dyDescent="0.35">
      <c r="B904" t="str">
        <v>L Catterton</v>
      </c>
      <c r="C904">
        <v>1</v>
      </c>
      <c r="E904" t="s">
        <v>2272</v>
      </c>
      <c r="F904">
        <v>1</v>
      </c>
    </row>
    <row r="905" spans="2:6" x14ac:dyDescent="0.35">
      <c r="B905" t="str">
        <v>Leonardo Di Caprio</v>
      </c>
      <c r="C905">
        <v>1</v>
      </c>
      <c r="E905" t="s">
        <v>2273</v>
      </c>
      <c r="F905">
        <v>1</v>
      </c>
    </row>
    <row r="906" spans="2:6" x14ac:dyDescent="0.35">
      <c r="B906" t="str">
        <v>S2G Ventures</v>
      </c>
      <c r="C906">
        <v>1</v>
      </c>
      <c r="E906" t="s">
        <v>2274</v>
      </c>
      <c r="F906">
        <v>1</v>
      </c>
    </row>
    <row r="907" spans="2:6" x14ac:dyDescent="0.35">
      <c r="B907" t="str">
        <v>Temasek Holdings</v>
      </c>
      <c r="C907">
        <v>8</v>
      </c>
      <c r="E907" t="s">
        <v>2275</v>
      </c>
      <c r="F907">
        <v>1</v>
      </c>
    </row>
    <row r="908" spans="2:6" x14ac:dyDescent="0.35">
      <c r="B908" t="str">
        <v>K Street Capital</v>
      </c>
      <c r="C908">
        <v>1</v>
      </c>
      <c r="E908" t="s">
        <v>1964</v>
      </c>
      <c r="F908">
        <v>1</v>
      </c>
    </row>
    <row r="909" spans="2:6" x14ac:dyDescent="0.35">
      <c r="B909" t="str">
        <v>Triangle Tweener Fund</v>
      </c>
      <c r="C909">
        <v>1</v>
      </c>
      <c r="E909" t="s">
        <v>2277</v>
      </c>
      <c r="F909">
        <v>1</v>
      </c>
    </row>
    <row r="910" spans="2:6" x14ac:dyDescent="0.35">
      <c r="B910" t="str">
        <v>Edgewater Captial Group</v>
      </c>
      <c r="C910">
        <v>1</v>
      </c>
      <c r="E910" t="s">
        <v>2278</v>
      </c>
      <c r="F910">
        <v>1</v>
      </c>
    </row>
    <row r="911" spans="2:6" x14ac:dyDescent="0.35">
      <c r="B911" t="str">
        <v>Firsthand Capital Management</v>
      </c>
      <c r="C911">
        <v>1</v>
      </c>
      <c r="E911" t="s">
        <v>2279</v>
      </c>
      <c r="F911">
        <v>1</v>
      </c>
    </row>
    <row r="912" spans="2:6" x14ac:dyDescent="0.35">
      <c r="B912" t="str">
        <v>Aligned Climate Capital</v>
      </c>
      <c r="C912">
        <v>1</v>
      </c>
      <c r="E912" t="s">
        <v>2280</v>
      </c>
      <c r="F912">
        <v>1</v>
      </c>
    </row>
    <row r="913" spans="2:6" x14ac:dyDescent="0.35">
      <c r="B913" t="str">
        <v>ClearSky</v>
      </c>
      <c r="C913">
        <v>1</v>
      </c>
      <c r="E913" t="s">
        <v>2283</v>
      </c>
      <c r="F913">
        <v>1</v>
      </c>
    </row>
    <row r="914" spans="2:6" x14ac:dyDescent="0.35">
      <c r="B914" t="str">
        <v>Climate Innovation Capital</v>
      </c>
      <c r="C914">
        <v>1</v>
      </c>
      <c r="E914" t="s">
        <v>2285</v>
      </c>
      <c r="F914">
        <v>1</v>
      </c>
    </row>
    <row r="915" spans="2:6" x14ac:dyDescent="0.35">
      <c r="B915" t="str">
        <v>WovenEarth Ventures</v>
      </c>
      <c r="C915">
        <v>1</v>
      </c>
      <c r="E915" t="s">
        <v>2286</v>
      </c>
      <c r="F915">
        <v>1</v>
      </c>
    </row>
    <row r="916" spans="2:6" x14ac:dyDescent="0.35">
      <c r="B916" t="str">
        <v>Chevron Technology Ventures</v>
      </c>
      <c r="C916">
        <v>2</v>
      </c>
      <c r="E916" t="s">
        <v>2287</v>
      </c>
      <c r="F916">
        <v>1</v>
      </c>
    </row>
    <row r="917" spans="2:6" x14ac:dyDescent="0.35">
      <c r="B917" t="str">
        <v>Lowercarbon Capital</v>
      </c>
      <c r="C917">
        <v>6</v>
      </c>
      <c r="E917" t="s">
        <v>2288</v>
      </c>
      <c r="F917">
        <v>1</v>
      </c>
    </row>
    <row r="918" spans="2:6" x14ac:dyDescent="0.35">
      <c r="B918" t="str">
        <v>Carnite Ventures</v>
      </c>
      <c r="C918">
        <v>1</v>
      </c>
      <c r="E918" t="s">
        <v>2289</v>
      </c>
      <c r="F918">
        <v>1</v>
      </c>
    </row>
    <row r="919" spans="2:6" x14ac:dyDescent="0.35">
      <c r="B919" t="str">
        <v>Houston Angel Network</v>
      </c>
      <c r="C919">
        <v>1</v>
      </c>
      <c r="E919" t="s">
        <v>2290</v>
      </c>
      <c r="F919">
        <v>1</v>
      </c>
    </row>
    <row r="920" spans="2:6" x14ac:dyDescent="0.35">
      <c r="B920" t="str">
        <v>0</v>
      </c>
      <c r="C920">
        <v>40</v>
      </c>
      <c r="E920" t="s">
        <v>2291</v>
      </c>
      <c r="F920">
        <v>1</v>
      </c>
    </row>
    <row r="921" spans="2:6" x14ac:dyDescent="0.35">
      <c r="B921" t="str">
        <v>0</v>
      </c>
      <c r="C921">
        <v>40</v>
      </c>
      <c r="E921" t="s">
        <v>2292</v>
      </c>
      <c r="F921">
        <v>1</v>
      </c>
    </row>
    <row r="922" spans="2:6" x14ac:dyDescent="0.35">
      <c r="B922" t="str">
        <v>DBL Partners</v>
      </c>
      <c r="C922">
        <v>2</v>
      </c>
      <c r="E922" t="s">
        <v>2293</v>
      </c>
      <c r="F922">
        <v>1</v>
      </c>
    </row>
    <row r="923" spans="2:6" x14ac:dyDescent="0.35">
      <c r="B923" t="str">
        <v>Gray's Creek Capital Partners</v>
      </c>
      <c r="C923">
        <v>1</v>
      </c>
      <c r="E923" t="s">
        <v>2294</v>
      </c>
      <c r="F923">
        <v>1</v>
      </c>
    </row>
    <row r="924" spans="2:6" x14ac:dyDescent="0.35">
      <c r="B924" t="str">
        <v>0</v>
      </c>
      <c r="C924">
        <v>40</v>
      </c>
      <c r="E924" t="s">
        <v>2295</v>
      </c>
      <c r="F924">
        <v>1</v>
      </c>
    </row>
  </sheetData>
  <autoFilter ref="E3:F924" xr:uid="{E2C10CD3-772F-4975-9E2E-B52D4DFA4910}">
    <filterColumn colId="0">
      <filters blank="1">
        <filter val="10X Capital"/>
        <filter val="13Capital"/>
        <filter val="1789 Capital"/>
        <filter val="301"/>
        <filter val="31 Ventures"/>
        <filter val="31Ventures"/>
        <filter val="4WARD.vc"/>
        <filter val="5Y Capital"/>
        <filter val="8090 Industries"/>
        <filter val="Acario Innovation"/>
        <filter val="Accelr8"/>
        <filter val="Aditya Mathur"/>
        <filter val="Advantage Capital"/>
        <filter val="Advisors.Fund"/>
        <filter val="AENU"/>
        <filter val="Aera VC"/>
        <filter val="AFW Partners"/>
        <filter val="Agility Ventures"/>
        <filter val="Ahren Innovation Capital"/>
        <filter val="AiiM Partners"/>
        <filter val="AimTop Ventures"/>
        <filter val="Ajax Strategies"/>
        <filter val="Ajay Yadav"/>
        <filter val="Alan Chung"/>
        <filter val="Alberta Investment Management"/>
        <filter val="Alecla7"/>
        <filter val="Alex Chung"/>
        <filter val="Alexis Ohanian"/>
        <filter val="Aligned Climate Capital"/>
        <filter val="Aliment Capital"/>
        <filter val="Alpen Capital"/>
        <filter val="Alpha Bridge Ventures"/>
        <filter val="Alphabet"/>
        <filter val="Altimeter Capital Management"/>
        <filter val="Alumni Ventures"/>
        <filter val="Amplify Capital"/>
        <filter val="Ancora Holdings Group"/>
        <filter val="and Westcott"/>
        <filter val="Andrew J Kabatch"/>
        <filter val="Anthropocene Capital Management"/>
        <filter val="Anthropocene Ventures"/>
        <filter val="Apex Companies"/>
        <filter val="Appian Capital Advisory"/>
        <filter val="Aramco Ventures"/>
        <filter val="ArcelorMittal"/>
        <filter val="Archaea Energy"/>
        <filter val="Aria Emiko"/>
        <filter val="Arosa Capital Management"/>
        <filter val="Arsat Industries"/>
        <filter val="Arsenal Growth"/>
        <filter val="Artfo Holdings"/>
        <filter val="Arunas Chesonis"/>
        <filter val="Ascent Funds"/>
        <filter val="Asymmetry Ventures"/>
        <filter val="At One Ventures"/>
        <filter val="Atlas Capital"/>
        <filter val="Atomico"/>
        <filter val="Austin Henry"/>
        <filter val="Autodesk Foundation"/>
        <filter val="Avery Dennison"/>
        <filter val="Avi Brown"/>
        <filter val="B37 Ventures"/>
        <filter val="Bacchus Venture Capital"/>
        <filter val="Baidu Ventures"/>
        <filter val="Balcor Commercial"/>
        <filter val="Baleine &amp; Bjorn Capital"/>
        <filter val="Bay Bridge Ventures"/>
        <filter val="Beck Koss"/>
        <filter val="Ben Jen Holdings"/>
        <filter val="Beni Venture Capital"/>
        <filter val="Benjamin Stokes"/>
        <filter val="Beresford Ventures"/>
        <filter val="Berg Energy Ventures"/>
        <filter val="Bessemer Venture Partners"/>
        <filter val="Beth S. Horowitz"/>
        <filter val="Bezos Expeditions"/>
        <filter val="Bhavya Khanna"/>
        <filter val="BHP Ventures"/>
        <filter val="Bidra Innovation Ventures"/>
        <filter val="Black Mountain Ventures"/>
        <filter val="Blue Horizon Corporation"/>
        <filter val="BonAngels Venture Partners"/>
        <filter val="Borun Capital (Xiamen)"/>
        <filter val="BoxGroup"/>
        <filter val="BP Energy Partners"/>
        <filter val="BPH Energy"/>
        <filter val="BR Capital"/>
        <filter val="Bracket Capital"/>
        <filter val="Breakthrough Energy"/>
        <filter val="Breaktrhough Energy"/>
        <filter val="Brevan Howard Macro Venture Fund"/>
        <filter val="Brex Asset Management"/>
        <filter val="Brian Henry"/>
        <filter val="Bridge Capital Holding"/>
        <filter val="BrightStar Wisconsin Foundation"/>
        <filter val="Brightwing Capital"/>
        <filter val="Broadscale Group"/>
        <filter val="Brookfield Corporation"/>
        <filter val="Bruce Rubin"/>
        <filter val="Builders VC"/>
        <filter val="Buttonwood Group Advisors"/>
        <filter val="C2 Ventures"/>
        <filter val="C3 Ventures"/>
        <filter val="Cagan McAfee Capital Partners"/>
        <filter val="Calm Ventures"/>
        <filter val="CalSEED"/>
        <filter val="Cameron Drummond"/>
        <filter val="Camwood Ventures"/>
        <filter val="Canadian Shield Capital"/>
        <filter val="Cantos Ventures"/>
        <filter val="Capital Southwest"/>
        <filter val="Capricorn Investment Group"/>
        <filter val="Carbon Direct Capital Management"/>
        <filter val="Cargill"/>
        <filter val="Carnite Ventures"/>
        <filter val="Carrier-ok"/>
        <filter val="Cascade Investment"/>
        <filter val="Castlelake"/>
        <filter val="Catalus Capital Management (Saif Qazi)"/>
        <filter val="Catchlight Ventures"/>
        <filter val="Cavallo Ventures"/>
        <filter val="CAVU Consumer Partners"/>
        <filter val="Ceres Partners"/>
        <filter val="Cerity Partners Ventures"/>
        <filter val="Chamaeleon"/>
        <filter val="Chan Zuckerberg Initiative"/>
        <filter val="Chartered Investment Managers"/>
        <filter val="Chasing Rainbows"/>
        <filter val="Checkmate Capital"/>
        <filter val="Chevron"/>
        <filter val="Chevron Technology Ventures"/>
        <filter val="Chiyoda"/>
        <filter val="Christian Herrera"/>
        <filter val="Christian Thirion"/>
        <filter val="Christiana Musk"/>
        <filter val="Cibersons"/>
        <filter val="Cisco Foundation"/>
        <filter val="Cisco Investments"/>
        <filter val="City Hill Ventures"/>
        <filter val="Claire England"/>
        <filter val="Clair-vest Group"/>
        <filter val="Clayton A. Rockefeller"/>
        <filter val="Clean Energy Venture Group"/>
        <filter val="Clean Energy Ventures"/>
        <filter val="Cleanhill Partners"/>
        <filter val="ClearSky"/>
        <filter val="Climate Capital"/>
        <filter val="Climate Innovation Capital"/>
        <filter val="Climate Investment"/>
        <filter val="Closed Loop Partners"/>
        <filter val="Cloverlay"/>
        <filter val="COCONUT GROVE"/>
        <filter val="Cognic Capital"/>
        <filter val="Collaborative Fund"/>
        <filter val="Compass Group Equity Partners"/>
        <filter val="Congruent Ventures"/>
        <filter val="Constellation Technology Ventures"/>
        <filter val="Conti Ventures"/>
        <filter val="Cool Climate Collective"/>
        <filter val="Coppermine Capital"/>
        <filter val="CorDx"/>
        <filter val="Cornell University"/>
        <filter val="Cottonwood Technology Fund"/>
        <filter val="Cottonwood Technology Fund+S32"/>
        <filter val="Coulometrics"/>
        <filter val="Counterpoint Global"/>
        <filter val="Course Correction Capital"/>
        <filter val="Cowles Ventures"/>
        <filter val="CPP Investments"/>
        <filter val="CPT Capital"/>
        <filter val="CPV/CAP Pensionskasse Coop"/>
        <filter val="CRCM Ventures"/>
        <filter val="Cresta Fund Management"/>
        <filter val="D3 Jubilee partners"/>
        <filter val="Darco Capital"/>
        <filter val="Davic Weissman"/>
        <filter val="David Palter"/>
        <filter val="David Stark"/>
        <filter val="David Ulevitch"/>
        <filter val="Day One Ventures"/>
        <filter val="Dayone Capital"/>
        <filter val="DBL Partners"/>
        <filter val="Decathlon Capital Partners"/>
        <filter val="Deepwork Capital"/>
        <filter val="Deloitte"/>
        <filter val="DeltaCap"/>
        <filter val="Demos Capital"/>
        <filter val="Dentsu Ventures"/>
        <filter val="Denver Ventures"/>
        <filter val="Development Bank of Japan"/>
        <filter val="Devonshire Investors"/>
        <filter val="DFW Capital Partners"/>
        <filter val="Divergent Capital"/>
        <filter val="DNS Capital"/>
        <filter val="Doorga Capital"/>
        <filter val="Dorm Room Fund"/>
        <filter val="Dragon Global"/>
        <filter val="Draper Associates"/>
        <filter val="E8"/>
        <filter val="Eagle Private Capital"/>
        <filter val="Earth Foundry Management"/>
        <filter val="Earth Venture Capital"/>
        <filter val="Ecolab"/>
        <filter val="Ecosphere Ventures"/>
        <filter val="Ecovyst"/>
        <filter val="EDBI"/>
        <filter val="EDC Investments"/>
        <filter val="Edgewater Captial Group"/>
        <filter val="EGI Capital"/>
        <filter val="Ehukai Investments"/>
        <filter val="EIG"/>
        <filter val="Elemental Impact"/>
        <filter val="Elev8.vc"/>
        <filter val="Elevate Ventures"/>
        <filter val="Elizabeth S. Heavener"/>
        <filter val="Emerald Technology Ventures"/>
        <filter val="Emergence Industries"/>
        <filter val="Emerson Collective"/>
        <filter val="Enbridge"/>
        <filter val="Encap Investments"/>
        <filter val="Endurance28"/>
        <filter val="Enechange"/>
        <filter val="ENEOS Holdings"/>
        <filter val="Eneos Innovation Partners"/>
        <filter val="Energy Impact Partners"/>
        <filter val="Enfini Ventures"/>
        <filter val="Engage Venture Partners"/>
        <filter val="Engine Ventures"/>
        <filter val="Eni Next, FFA Private Bank Dubai, NTT Docomo Ventures"/>
        <filter val="Equinor Ventures"/>
        <filter val="Equinor Venturses"/>
        <filter val="Eric Lamb"/>
        <filter val="Eric Schmidt"/>
        <filter val="Ericsenz Capital"/>
        <filter val="Eversource Retirement Plan Master Trust"/>
        <filter val="Evok Innovations"/>
        <filter val="Evolution VC Partners"/>
        <filter val="Fanjul Capital"/>
        <filter val="FedEx"/>
        <filter val="Fenix Equity Group"/>
        <filter val="Fifth Wall"/>
        <filter val="Fifty Years"/>
        <filter val="Finistere Ventures"/>
        <filter val="First Financial Bankshares"/>
        <filter val="Firsthand Capital Management"/>
        <filter val="Five Seasons Ventures"/>
        <filter val="Five Two Five"/>
        <filter val="Flight Ventures"/>
        <filter val="Floating Point"/>
        <filter val="Flobas Ventures"/>
        <filter val="Florida Opportunity Fund"/>
        <filter val="FM Capital"/>
        <filter val="Foothill Ventures"/>
        <filter val="Footprint Coalition"/>
        <filter val="For Good Ventures"/>
        <filter val="Ford Street Ventures"/>
        <filter val="Fortistar"/>
        <filter val="Fortistar (Nadeem Nisar)"/>
        <filter val="F-Prime Capital"/>
        <filter val="Frederic Luddy"/>
        <filter val="Freestone Sponsors"/>
        <filter val="Freshtracks Capital"/>
        <filter val="Fujikura"/>
        <filter val="Full Circle Africa"/>
        <filter val="FUND4SE"/>
        <filter val="Future Positive Capital"/>
        <filter val="Future Ventures"/>
        <filter val="Futures Ventures"/>
        <filter val="G Squared"/>
        <filter val="G Ventures"/>
        <filter val="GAC Capital"/>
        <filter val="Gaingels"/>
        <filter val="Gaingles"/>
        <filter val="Galaxy Interactive"/>
        <filter val="Galvanize Climate Solutions"/>
        <filter val="Gates Frontier"/>
        <filter val="Gates Ventures"/>
        <filter val="GC Venture Fellows"/>
        <filter val="Geekdom Fund"/>
        <filter val="gener8tor"/>
        <filter val="General Mills M13"/>
        <filter val="Genesis Park"/>
        <filter val="Genoa Ventures"/>
        <filter val="George Roberts"/>
        <filter val="German Property Group"/>
        <filter val="Giant Leap"/>
        <filter val="GIC Private"/>
        <filter val="Gigascale Capital"/>
        <filter val="Gisele Brisson"/>
        <filter val="Global Brain"/>
        <filter val="Global Cleantech Capital"/>
        <filter val="Global Emerging Markets"/>
        <filter val="Global Founders Capital"/>
        <filter val="Globalive Capital"/>
        <filter val="Goat Ventures"/>
        <filter val="Goldman Sachs Asset Management"/>
        <filter val="Good Seed Ventures"/>
        <filter val="Gorilla Private Equity"/>
        <filter val="Grant Hummer"/>
        <filter val="Graphite Ventures"/>
        <filter val="Gratitude Railroad"/>
        <filter val="Gray's Creek Capital Partners"/>
        <filter val="Green Reach"/>
        <filter val="Greenbacker Capital Management"/>
        <filter val="Greentown Labs"/>
        <filter val="GS Engineering &amp; Construction"/>
        <filter val="GS Futures"/>
        <filter val="GS Holdings"/>
        <filter val="Guernsey Holdings"/>
        <filter val="H&amp;M Group Ventures"/>
        <filter val="H/L Ventures"/>
        <filter val="Hacker Capital"/>
        <filter val="Haddington Ventures, Manulife Financial"/>
        <filter val="Halliburton Labs"/>
        <filter val="Hanwha Investment &amp; Securities Company"/>
        <filter val="Happiness Capital"/>
        <filter val="Harbor Street Ventures"/>
        <filter val="Harpoon VC"/>
        <filter val="Hasatano Capital"/>
        <filter val="Hatch"/>
        <filter val="Hatch Blue"/>
        <filter val="Hat-trick Capital"/>
        <filter val="Heda Ventures"/>
        <filter val="Hedonova"/>
        <filter val="Helium-3 Ventures"/>
        <filter val="Hestia Venture Partners"/>
        <filter val="Highland Ventures Group"/>
        <filter val="Highstreet Insurance Partners"/>
        <filter val="HiJoJo Partners"/>
        <filter val="Hivers &amp; Strivers (Rachel Hobert)"/>
        <filter val="HOF Capital"/>
        <filter val="Homecoming Capital"/>
        <filter val="Hon Hai Precision"/>
        <filter val="Honda Motor"/>
        <filter val="Hongshan Capital Group"/>
        <filter val="Hostplus Superannuation Fund"/>
        <filter val="Houston Angel Network"/>
        <filter val="Howard Levine"/>
        <filter val="Humboldt Fund"/>
        <filter val="Hyzon Fuel Cell"/>
        <filter val="Icebook Investments"/>
        <filter val="ICONIQ Growth"/>
        <filter val="Impact Assets"/>
        <filter val="Impact Science Ventures"/>
        <filter val="Incite Ventures"/>
        <filter val="Industrial de Diseno Textil"/>
        <filter val="Inevitable Ventures"/>
        <filter val="Innova Capital Partners"/>
        <filter val="In-Q-Tel"/>
        <filter val="Ithaca Area Economic Development"/>
        <filter val="Itochu"/>
        <filter val="Jack Fuchs"/>
        <filter val="Jackson Investment Group"/>
        <filter val="Jaden Smith"/>
        <filter val="James Fickel lame"/>
        <filter val="James Tamplin"/>
        <filter val="Japan Airlines Company"/>
        <filter val="Japan Energy Fund"/>
        <filter val="Jay Brown"/>
        <filter val="JB Investment (Private Equity)"/>
        <filter val="Jera"/>
        <filter val="JGC Holdings"/>
        <filter val="JKS Ventures"/>
        <filter val="John Doerr"/>
        <filter val="John M. Bianchi"/>
        <filter val="John Mackey"/>
        <filter val="John Paulos"/>
        <filter val="John Welch"/>
        <filter val="Jonathan Hung"/>
        <filter val="Joseph L Stornelli"/>
        <filter val="Joyance Partners"/>
        <filter val="Julien Machot"/>
        <filter val="K Street Capital"/>
        <filter val="K2 Global"/>
        <filter val="K2X"/>
        <filter val="K4 Ventures"/>
        <filter val="Kabir Misra"/>
        <filter val="Kalyan Vepuri"/>
        <filter val="Kanca Ventures"/>
        <filter val="Kansai Electric Power"/>
        <filter val="Karan Goel"/>
        <filter val="Kathy Salmanowitz"/>
        <filter val="Katy Perry"/>
        <filter val="KBW Ventures"/>
        <filter val="KDB Investment"/>
        <filter val="Keiretsu Capital"/>
        <filter val="Keith Wilson"/>
        <filter val="Kelly Lei"/>
        <filter val="Kenneth Birdwell"/>
        <filter val="Keybridge Venture Partners"/>
        <filter val="Keystone National Group"/>
        <filter val="Keytrade"/>
        <filter val="Khasma Capital"/>
        <filter val="Khosla Ventures"/>
        <filter val="Kia"/>
        <filter val="Kibo Invest"/>
        <filter val="Kilara Capital"/>
        <filter val="Kimbal Musk"/>
        <filter val="Kingswood Capital Partners"/>
        <filter val="Kleiner Perkins"/>
        <filter val="Knockout Capital"/>
        <filter val="Korea Shipbuilding and Offshore Engineering"/>
        <filter val="Korea Zinc"/>
        <filter val="KRF capital"/>
        <filter val="KRG Capital Partners"/>
        <filter val="Krypton"/>
        <filter val="Kyber Knight Capital"/>
        <filter val="Kyle Vogt"/>
        <filter val="L Catterton"/>
        <filter val="L&amp;F"/>
        <filter val="Lam Research"/>
        <filter val="Lane VC"/>
        <filter val="Lansdowne Partners"/>
        <filter val="Lateral Capital Group"/>
        <filter val="Leap Forward Ventures"/>
        <filter val="Leaps by Bayer"/>
        <filter val="Lenox Partners"/>
        <filter val="Leonardo Di Caprio"/>
        <filter val="Leonardo DiCaprio"/>
        <filter val="Lever VC"/>
        <filter val="LG Technology Ventures"/>
        <filter val="Liebenthal Ventures"/>
        <filter val="Lifely VC"/>
        <filter val="Lighthouse"/>
        <filter val="Lion Ventures"/>
        <filter val="Liquid 2 Ventures"/>
        <filter val="LKQ"/>
        <filter val="Lofty Ventures"/>
        <filter val="Lombardstreet Ventures"/>
        <filter val="London Impact Ventures"/>
        <filter val="Longmont Capital"/>
        <filter val="Lowercarbon Capital"/>
        <filter val="M10Lean capital"/>
        <filter val="Magic Hour"/>
        <filter val="Magic Hour (New York)"/>
        <filter val="Magnuson Center for Entrepreneurship"/>
        <filter val="Marathon Capital Management"/>
        <filter val="Margaret Segal"/>
        <filter val="Marunouchi Innovation Partners"/>
        <filter val="Massive Capital Partners"/>
        <filter val="MB Energy Partners"/>
        <filter val="McWin Partners"/>
        <filter val="Meliorare Partners"/>
        <filter val="Meron Capital"/>
        <filter val="Metaplanet Holdings"/>
        <filter val="Michael Heffernanl Novak Djokovic"/>
        <filter val="Michael Sachse"/>
        <filter val="Mickey Swortzel"/>
        <filter val="Microsoft"/>
        <filter val="Microsoft Climate Fund"/>
        <filter val="MiH Ventures"/>
        <filter val="Milano Investment Partners"/>
        <filter val="Milkbox Partners"/>
        <filter val="Milliken &amp; Company"/>
        <filter val="Mintz"/>
        <filter val="Mirae Asset Venture Investment"/>
        <filter val="Mitsubishi"/>
        <filter val="Mitsubishi Corporation"/>
        <filter val="Mitsubishi Corporation Urban Development"/>
        <filter val="Mitsubishi Heavy Industries"/>
        <filter val="Mitsui &amp; Company"/>
        <filter val="Mitsui Fudosan"/>
        <filter val="Mitsui Mining and Smelting"/>
        <filter val="Mitsui O.S.K. Lines"/>
        <filter val="Miura Partners"/>
        <filter val="MMA Capital Holdings (Robert Hopper)"/>
        <filter val="Modern Energy"/>
        <filter val="MOL PLUS"/>
        <filter val="MOL Switch"/>
        <filter val="Momentum Glass"/>
        <filter val="Monfort"/>
        <filter val="Moodoos Investments"/>
        <filter val="Moore Strategic Ventures"/>
        <filter val="mTerra Ventures"/>
        <filter val="Mudcake"/>
        <filter val="Mukul Agapwal"/>
        <filter val="Munich Re Ventures"/>
        <filter val="Murchison Capital Partners"/>
        <filter val="Murchison Ventures"/>
        <filter val="NaHCO3 and Empire State Developmen"/>
        <filter val="Nat Friedman"/>
        <filter val="Nathan G. Walworth"/>
        <filter val="National Grid Partners"/>
        <filter val="Neman Ventures"/>
        <filter val="Netcapital"/>
        <filter val="New Atlas Capital"/>
        <filter val="New Climate Ventures"/>
        <filter val="New Luna Ventures"/>
        <filter val="New World Angels"/>
        <filter val="New York Angels"/>
        <filter val="New York Ventures"/>
        <filter val="Newlight Partners"/>
        <filter val="Next Act Fund"/>
        <filter val="Next Play Capital"/>
        <filter val="NextCorps Luminate"/>
        <filter val="Nexter Ventures"/>
        <filter val="NextEra Energy"/>
        <filter val="NGP Energy Capital Management"/>
        <filter val="NGP Energy Technology Partners"/>
        <filter val="Nippon Steel Trading"/>
        <filter val="Niuli Venture"/>
        <filter val="Nonlinear Capital"/>
        <filter val="Northpond Ventures"/>
        <filter val="Norwest Venture Partners"/>
        <filter val="Nottingham Unlimited Ventures"/>
        <filter val="Novare"/>
        <filter val="Novo Holdings"/>
        <filter val="NTT QONOQ"/>
        <filter val="Nucleus Adventure Capital"/>
        <filter val="NVentures"/>
        <filter val="Nvidia"/>
        <filter val="Oaktree Capital Management"/>
        <filter val="Odyssey Ventures (London)"/>
        <filter val="One Investment Management"/>
        <filter val="One Madison Group"/>
        <filter val="One World"/>
        <filter val="Onterio Teachers Pension Plan"/>
        <filter val="Optimas Capital Partners"/>
        <filter val="Orion Infrastructure Capital"/>
        <filter val="Ospraie Ag Science"/>
        <filter val="OurCrowd"/>
        <filter val="Outbound Capital"/>
        <filter val="Palapa Ventures"/>
        <filter val="Pandion Innovation for Impact"/>
        <filter val="Pangaea Ventures"/>
        <filter val="Pario Ventures"/>
        <filter val="PassKey Invest"/>
        <filter val="Pathway Capital Management"/>
        <filter val="Paulos Holdings"/>
        <filter val="PBJ Capital"/>
        <filter val="Pegasus Capital Advisors"/>
        <filter val="Pegasus Tech Ventures"/>
        <filter val="Peter Libby"/>
        <filter val="Peter Reinhardt"/>
        <filter val="Philippa Gawley"/>
        <filter val="Phoenix Venture Partners"/>
        <filter val="Planet First Partners"/>
        <filter val="Planetary Technologies"/>
        <filter val="Pledge Ventures"/>
        <filter val="Plug &amp; Play Tech Center"/>
        <filter val="Plug and Play Tech Center"/>
        <filter val="Portfolia"/>
        <filter val="POSCO Holdings"/>
        <filter val="PRIME Coalition"/>
        <filter val="Prime Movers Lab"/>
        <filter val="Prime Partners"/>
        <filter val="Prithvi Ventures"/>
        <filter val="Proioxis Ventures"/>
        <filter val="Propeller"/>
        <filter val="PuraTerra Ventures"/>
        <filter val="Purav Patel"/>
        <filter val="Pure Ventures"/>
        <filter val="Q 3 Financial"/>
        <filter val="Quantum Innovation Fund"/>
        <filter val="Quantum Ventures Korea"/>
        <filter val="R. Brent Alderfer"/>
        <filter val="R/GA Ventures"/>
        <filter val="Randy Almaguer"/>
        <filter val="Raphael Carteni"/>
        <filter val="Reaction Global"/>
        <filter val="Red Devil Investors"/>
        <filter val="Reform Ventures"/>
        <filter val="Regeneration VC"/>
        <filter val="Reliance Industries"/>
        <filter val="Relumin"/>
        <filter val="Revonence Technologies"/>
        <filter val="Richard Branson"/>
        <filter val="Ridgevale Enterprises"/>
        <filter val="Right Side Capital Management"/>
        <filter val="Rijn Capital"/>
        <filter val="Rio Tinto"/>
        <filter val="Ripple Impact Investments"/>
        <filter val="Rise Together"/>
        <filter val="Rising Tide Fund"/>
        <filter val="Riverside Ventures"/>
        <filter val="Riverstyx Foundation"/>
        <filter val="Robert Durr"/>
        <filter val="Rochester Institute of Technology Venture Fund"/>
        <filter val="Rockets Capital"/>
        <filter val="RPS Ventures"/>
        <filter val="RSVP Ventures"/>
        <filter val="Ryan Orr"/>
        <filter val="S2G Ventures"/>
        <filter val="Sachin S Joshi"/>
        <filter val="Safar Partners"/>
        <filter val="Sai Anurag"/>
        <filter val="Saint-Gobain NOVA"/>
        <filter val="Saltonstall &amp; Co."/>
        <filter val="Salutem Capital"/>
        <filter val="Sam Landman"/>
        <filter val="Samsarik Capital"/>
        <filter val="Samsung Heavy Industries"/>
        <filter val="Samsung Venture Investment"/>
        <filter val="Sana Sano Capital"/>
        <filter val="Sandton Capital Partners"/>
        <filter val="Saudi Basic Industries"/>
        <filter val="SCG Chemicals"/>
        <filter val="Schneider Electric"/>
        <filter val="Schneider Electric USA Common Trust"/>
        <filter val="Schreiber Ventures"/>
        <filter val="Scott Saslow"/>
        <filter val="SDCL Efficiency Income Trust"/>
        <filter val="SE Ventures"/>
        <filter val="Seabird Ventures"/>
        <filter val="Seed I Pod"/>
        <filter val="Seedlnvest"/>
        <filter val="Seek Ventures"/>
        <filter val="Seoul Investment Partners"/>
        <filter val="Serena Williams"/>
        <filter val="Serena Woodward"/>
        <filter val="Service Provider Capital"/>
        <filter val="Shared Future Fund"/>
        <filter val="Shawn Carter"/>
        <filter val="Shenzen Capital Group"/>
        <filter val="Sheryl Sandberg"/>
        <filter val="Siam Cement Public Company"/>
        <filter val="Siemens Financial Services"/>
        <filter val="Sierra Peterson"/>
        <filter val="SIFL"/>
        <filter val="Silence VC"/>
        <filter val="SK Group"/>
        <filter val="SK Innovation"/>
        <filter val="SLA Ventures"/>
        <filter val="SM Ventures"/>
        <filter val="Smart City' Works - Infrastructure Actuator"/>
        <filter val="Social Impact Capital"/>
        <filter val="Social Venture Circle"/>
        <filter val="SoftBank Investment Advisers"/>
        <filter val="Solidarity Capital Group"/>
        <filter val="Soma Capital"/>
        <filter val="Sonny Vu"/>
        <filter val="SOSV"/>
        <filter val="Southland Industries"/>
        <filter val="Spacestation"/>
        <filter val="Spring Lane Capital"/>
        <filter val="Standard Investments"/>
        <filter val="Standish Spring Investments"/>
        <filter val="Stanley F. Druckenmiller"/>
        <filter val="Starling Ventures"/>
        <filter val="StartX"/>
        <filter val="Steel Dynamics"/>
        <filter val="StepStone Group"/>
        <filter val="Steve Chen"/>
        <filter val="Steve Rosard"/>
        <filter val="Stonepeak Partners"/>
        <filter val="Stray Dog Capital"/>
        <filter val="Stripe"/>
        <filter val="Sumitomo Mitsui Banking"/>
        <filter val="Sumitomo Mitsui Trust Bank"/>
        <filter val="Sunmeet Jolly"/>
        <filter val="Sunset Ventures"/>
        <filter val="Susquehanna Foundation"/>
        <filter val="SV Investment"/>
        <filter val="SXU Investment"/>
        <filter val="Syensqo Ventures"/>
        <filter val="Synergeticl VU enture Partners"/>
        <filter val="Syngenta Group Ventures"/>
        <filter val="Synthesis Capital"/>
        <filter val="Sytse Sijbrandij"/>
        <filter val="Taihill Venture"/>
        <filter val="Tailwater Capital (Edward Herring)"/>
        <filter val="Taslimm Quraishi"/>
        <filter val="Tech Council Ventures"/>
        <filter val="Tech Square Ventures"/>
        <filter val="Technology Credit Union"/>
        <filter val="Techstars"/>
        <filter val="TEDCO"/>
        <filter val="TELUS Global Ventures"/>
        <filter val="Temasek Holdings"/>
        <filter val="Temasek Holdins"/>
        <filter val="Ten Eighty Capital"/>
        <filter val="Texas Halo Fund"/>
        <filter val="The 22 Fund"/>
        <filter val="The Atlas Capital"/>
        <filter val="The Grantham Foundation"/>
        <filter val="The House Fund"/>
        <filter val="The RockCreek Group"/>
        <filter val="The Scope Fund"/>
        <filter val="The Spaventa Group"/>
        <filter val="The Sterling Group"/>
        <filter val="The Think &amp; Act Differently"/>
        <filter val="Thia Ventures"/>
        <filter val="Third Prime"/>
        <filter val="Third Sphere"/>
        <filter val="Thomas Mvlnerney"/>
        <filter val="Thomas Werner"/>
        <filter val="Threshold Impact"/>
        <filter val="Threshold Management"/>
        <filter val="Threshold Ventures"/>
        <filter val="Thrive Capital"/>
        <filter val="Tianqi Capital"/>
        <filter val="Tim Krebs"/>
        <filter val="Tim Seears"/>
        <filter val="Tjucholmen Ventures"/>
        <filter val="Toba Capital"/>
        <filter val="Tokyo Gas"/>
        <filter val="Towards Net Zero"/>
        <filter val="Toy Ventures"/>
        <filter val="Toyota Tsusho"/>
        <filter val="TPG"/>
        <filter val="Travis Connors"/>
        <filter val="Traxys"/>
        <filter val="Treehouse Investments"/>
        <filter val="Trent Orr"/>
        <filter val="Triangle Tweener Fund"/>
        <filter val="Tribeca Early Stage Partners"/>
        <filter val="Tuck Social Venture Fund"/>
        <filter val="Tuna Investments"/>
        <filter val="Tupras Ventures"/>
        <filter val="TWB Investment"/>
        <filter val="Twynam Funds Management"/>
        <filter val="Tyson Ventures"/>
        <filter val="Ultratech Capital Partners"/>
        <filter val="Uncorrelated Ventures"/>
        <filter val="Unicorn Venture Partners"/>
        <filter val="United Airlines Ventures"/>
        <filter val="University of Colorado"/>
        <filter val="Unovis Asset Management"/>
        <filter val="Unreasonable Impact"/>
        <filter val="UpHonest Capital"/>
        <filter val="Upsher Management Company"/>
        <filter val="Valor Capital Group"/>
        <filter val="Valor Equity Partners"/>
        <filter val="Van Ngo"/>
        <filter val="Varnadore Financial"/>
        <filter val="VCFuel"/>
        <filter val="Veriten"/>
        <filter val="Verso Holdings"/>
        <filter val="Verus International"/>
        <filter val="Vickers Venture Partners"/>
        <filter val="Vikas Sabnani"/>
        <filter val="VISION"/>
        <filter val="Vitalik Buterin"/>
        <filter val="Vodia Capital"/>
        <filter val="Volkswagen Group"/>
        <filter val="Volo Earth Ventures"/>
        <filter val="Voyager"/>
        <filter val="VXI Capital Management"/>
        <filter val="W.L. Gore &amp; Associates"/>
        <filter val="Warburg Pincus"/>
        <filter val="WARF Ventures"/>
        <filter val="Washington Harbour"/>
        <filter val="Western Technology Investment"/>
        <filter val="Westlake Ventures"/>
        <filter val="Whole Foods Market"/>
        <filter val="WI Harper Group"/>
        <filter val="William Gates"/>
        <filter val="William Tunstall-Pedoe"/>
        <filter val="WillowTree Investments"/>
        <filter val="Wistron Medical Technology"/>
        <filter val="Woori Financial Group"/>
        <filter val="World Economic Forum"/>
        <filter val="WorldQuant Ventures"/>
        <filter val="WovenEarth Ventures"/>
        <filter val="Xandex Ventures"/>
        <filter val="Xplor Investment"/>
        <filter val="Y Combinatot"/>
        <filter val="Yanmar Holdings"/>
        <filter val="Yild Capital Partners"/>
        <filter val="Yiyuan Capital"/>
        <filter val="Youngone"/>
        <filter val="Yu Galaxy"/>
        <filter val="Zalando"/>
        <filter val="Zeon Ventures"/>
        <filter val="Zygote Ventures"/>
      </filters>
    </filterColumn>
    <sortState xmlns:xlrd2="http://schemas.microsoft.com/office/spreadsheetml/2017/richdata2" ref="E4:F924">
      <sortCondition descending="1" ref="F3"/>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412F-BB14-4694-B851-91CF7D903DEF}">
  <dimension ref="A2:D274"/>
  <sheetViews>
    <sheetView zoomScale="55" zoomScaleNormal="55" workbookViewId="0"/>
  </sheetViews>
  <sheetFormatPr defaultRowHeight="14.5" x14ac:dyDescent="0.35"/>
  <cols>
    <col min="1" max="1" width="3.90625" style="4" bestFit="1" customWidth="1"/>
    <col min="2" max="2" width="11.6328125" style="4" bestFit="1" customWidth="1"/>
    <col min="3" max="3" width="14.81640625" style="4" bestFit="1" customWidth="1"/>
    <col min="4" max="4" width="19.1796875" style="4" bestFit="1" customWidth="1"/>
    <col min="5" max="16384" width="8.7265625" style="4"/>
  </cols>
  <sheetData>
    <row r="2" spans="1:4" x14ac:dyDescent="0.35">
      <c r="B2" s="21" t="s">
        <v>2314</v>
      </c>
      <c r="C2" s="21" t="s">
        <v>459</v>
      </c>
      <c r="D2" s="21" t="s">
        <v>2313</v>
      </c>
    </row>
    <row r="3" spans="1:4" x14ac:dyDescent="0.35">
      <c r="A3" s="4">
        <v>1</v>
      </c>
      <c r="B3" s="13">
        <f>Cleaned_Data!G3</f>
        <v>44895</v>
      </c>
      <c r="C3" s="4">
        <f>IF(Cleaned_Data!$J3&gt;0,Cleaned_Data!$J3,NA())</f>
        <v>3.5</v>
      </c>
      <c r="D3" s="4">
        <f>Cleaned_Data!$J3</f>
        <v>3.5</v>
      </c>
    </row>
    <row r="4" spans="1:4" x14ac:dyDescent="0.35">
      <c r="A4" s="4">
        <f>A3+1</f>
        <v>2</v>
      </c>
      <c r="B4" s="13">
        <f>Cleaned_Data!G4</f>
        <v>45657</v>
      </c>
      <c r="C4" s="4">
        <f>IF(Cleaned_Data!$J4&gt;0,Cleaned_Data!$J4,NA())</f>
        <v>8</v>
      </c>
      <c r="D4" s="4">
        <f>Cleaned_Data!$J4</f>
        <v>8</v>
      </c>
    </row>
    <row r="5" spans="1:4" x14ac:dyDescent="0.35">
      <c r="A5" s="4">
        <f t="shared" ref="A5:A68" si="0">A4+1</f>
        <v>3</v>
      </c>
      <c r="B5" s="13">
        <f>Cleaned_Data!G5</f>
        <v>43879</v>
      </c>
      <c r="C5" s="4">
        <f>IF(Cleaned_Data!$J5&gt;0,Cleaned_Data!$J5,NA())</f>
        <v>2.5</v>
      </c>
      <c r="D5" s="4">
        <f>Cleaned_Data!$J5</f>
        <v>2.5</v>
      </c>
    </row>
    <row r="6" spans="1:4" x14ac:dyDescent="0.35">
      <c r="A6" s="4">
        <f t="shared" si="0"/>
        <v>4</v>
      </c>
      <c r="B6" s="13">
        <f>Cleaned_Data!G6</f>
        <v>44721</v>
      </c>
      <c r="C6" s="4">
        <f>IF(Cleaned_Data!$J6&gt;0,Cleaned_Data!$J6,NA())</f>
        <v>650</v>
      </c>
      <c r="D6" s="4">
        <f>Cleaned_Data!$J6</f>
        <v>650</v>
      </c>
    </row>
    <row r="7" spans="1:4" x14ac:dyDescent="0.35">
      <c r="A7" s="4">
        <f t="shared" si="0"/>
        <v>5</v>
      </c>
      <c r="B7" s="13">
        <f>Cleaned_Data!G7</f>
        <v>45978</v>
      </c>
      <c r="C7" s="4">
        <f>IF(Cleaned_Data!$J7&gt;0,Cleaned_Data!$J7,NA())</f>
        <v>8.41</v>
      </c>
      <c r="D7" s="4">
        <f>Cleaned_Data!$J7</f>
        <v>8.41</v>
      </c>
    </row>
    <row r="8" spans="1:4" x14ac:dyDescent="0.35">
      <c r="A8" s="4">
        <f t="shared" si="0"/>
        <v>6</v>
      </c>
      <c r="B8" s="13">
        <f>Cleaned_Data!G8</f>
        <v>42207</v>
      </c>
      <c r="C8" s="4">
        <f>IF(Cleaned_Data!$J8&gt;0,Cleaned_Data!$J8,NA())</f>
        <v>3.09</v>
      </c>
      <c r="D8" s="4">
        <f>Cleaned_Data!$J8</f>
        <v>3.09</v>
      </c>
    </row>
    <row r="9" spans="1:4" x14ac:dyDescent="0.35">
      <c r="A9" s="4">
        <f t="shared" si="0"/>
        <v>7</v>
      </c>
      <c r="B9" s="13">
        <f>Cleaned_Data!G9</f>
        <v>42699</v>
      </c>
      <c r="C9" s="4">
        <f>IF(Cleaned_Data!$J9&gt;0,Cleaned_Data!$J9,NA())</f>
        <v>3.12</v>
      </c>
      <c r="D9" s="4">
        <f>Cleaned_Data!$J9</f>
        <v>3.12</v>
      </c>
    </row>
    <row r="10" spans="1:4" x14ac:dyDescent="0.35">
      <c r="A10" s="4">
        <f t="shared" si="0"/>
        <v>8</v>
      </c>
      <c r="B10" s="13">
        <f>Cleaned_Data!G10</f>
        <v>45292</v>
      </c>
      <c r="C10" s="4" t="e">
        <f>IF(Cleaned_Data!$J10&gt;0,Cleaned_Data!$J10,NA())</f>
        <v>#N/A</v>
      </c>
      <c r="D10" s="4">
        <f>Cleaned_Data!$J10</f>
        <v>0</v>
      </c>
    </row>
    <row r="11" spans="1:4" x14ac:dyDescent="0.35">
      <c r="A11" s="4">
        <f t="shared" si="0"/>
        <v>9</v>
      </c>
      <c r="B11" s="13">
        <f>Cleaned_Data!G11</f>
        <v>45658</v>
      </c>
      <c r="C11" s="4" t="e">
        <f>IF(Cleaned_Data!$J11&gt;0,Cleaned_Data!$J11,NA())</f>
        <v>#N/A</v>
      </c>
      <c r="D11" s="4">
        <f>Cleaned_Data!$J11</f>
        <v>0</v>
      </c>
    </row>
    <row r="12" spans="1:4" x14ac:dyDescent="0.35">
      <c r="A12" s="4">
        <f t="shared" si="0"/>
        <v>10</v>
      </c>
      <c r="B12" s="13">
        <f>Cleaned_Data!G12</f>
        <v>44270</v>
      </c>
      <c r="C12" s="4" t="e">
        <f>IF(Cleaned_Data!$J12&gt;0,Cleaned_Data!$J12,NA())</f>
        <v>#N/A</v>
      </c>
      <c r="D12" s="4">
        <f>Cleaned_Data!$J12</f>
        <v>0</v>
      </c>
    </row>
    <row r="13" spans="1:4" x14ac:dyDescent="0.35">
      <c r="A13" s="4">
        <f t="shared" si="0"/>
        <v>11</v>
      </c>
      <c r="B13" s="13">
        <f>Cleaned_Data!G13</f>
        <v>45474</v>
      </c>
      <c r="C13" s="4" t="e">
        <f>IF(Cleaned_Data!$J13&gt;0,Cleaned_Data!$J13,NA())</f>
        <v>#N/A</v>
      </c>
      <c r="D13" s="4">
        <f>Cleaned_Data!$J13</f>
        <v>0</v>
      </c>
    </row>
    <row r="14" spans="1:4" x14ac:dyDescent="0.35">
      <c r="A14" s="4">
        <f t="shared" si="0"/>
        <v>12</v>
      </c>
      <c r="B14" s="13">
        <f>Cleaned_Data!G14</f>
        <v>45002</v>
      </c>
      <c r="C14" s="4">
        <f>IF(Cleaned_Data!$J14&gt;0,Cleaned_Data!$J14,NA())</f>
        <v>139</v>
      </c>
      <c r="D14" s="4">
        <f>Cleaned_Data!$J14</f>
        <v>139</v>
      </c>
    </row>
    <row r="15" spans="1:4" x14ac:dyDescent="0.35">
      <c r="A15" s="4">
        <f t="shared" si="0"/>
        <v>13</v>
      </c>
      <c r="B15" s="13">
        <f>Cleaned_Data!G15</f>
        <v>45853</v>
      </c>
      <c r="C15" s="4">
        <f>IF(Cleaned_Data!$J15&gt;0,Cleaned_Data!$J15,NA())</f>
        <v>95</v>
      </c>
      <c r="D15" s="4">
        <f>Cleaned_Data!$J15</f>
        <v>95</v>
      </c>
    </row>
    <row r="16" spans="1:4" x14ac:dyDescent="0.35">
      <c r="A16" s="4">
        <f t="shared" si="0"/>
        <v>14</v>
      </c>
      <c r="B16" s="13">
        <f>Cleaned_Data!G16</f>
        <v>43220</v>
      </c>
      <c r="C16" s="4">
        <f>IF(Cleaned_Data!$J16&gt;0,Cleaned_Data!$J16,NA())</f>
        <v>1</v>
      </c>
      <c r="D16" s="4">
        <f>Cleaned_Data!$J16</f>
        <v>1</v>
      </c>
    </row>
    <row r="17" spans="1:4" x14ac:dyDescent="0.35">
      <c r="A17" s="4">
        <f t="shared" si="0"/>
        <v>15</v>
      </c>
      <c r="B17" s="13">
        <f>Cleaned_Data!G17</f>
        <v>44358</v>
      </c>
      <c r="C17" s="4">
        <f>IF(Cleaned_Data!$J17&gt;0,Cleaned_Data!$J17,NA())</f>
        <v>3.3</v>
      </c>
      <c r="D17" s="4">
        <f>Cleaned_Data!$J17</f>
        <v>3.3</v>
      </c>
    </row>
    <row r="18" spans="1:4" x14ac:dyDescent="0.35">
      <c r="A18" s="4">
        <f t="shared" si="0"/>
        <v>16</v>
      </c>
      <c r="B18" s="13">
        <f>Cleaned_Data!G18</f>
        <v>44869</v>
      </c>
      <c r="C18" s="4">
        <f>IF(Cleaned_Data!$J18&gt;0,Cleaned_Data!$J18,NA())</f>
        <v>17.5</v>
      </c>
      <c r="D18" s="4">
        <f>Cleaned_Data!$J18</f>
        <v>17.5</v>
      </c>
    </row>
    <row r="19" spans="1:4" x14ac:dyDescent="0.35">
      <c r="A19" s="4">
        <f t="shared" si="0"/>
        <v>17</v>
      </c>
      <c r="B19" s="13">
        <f>Cleaned_Data!G19</f>
        <v>44197</v>
      </c>
      <c r="C19" s="4">
        <f>IF(Cleaned_Data!$J19&gt;0,Cleaned_Data!$J19,NA())</f>
        <v>0.53</v>
      </c>
      <c r="D19" s="4">
        <f>Cleaned_Data!$J19</f>
        <v>0.53</v>
      </c>
    </row>
    <row r="20" spans="1:4" x14ac:dyDescent="0.35">
      <c r="A20" s="4">
        <f t="shared" si="0"/>
        <v>18</v>
      </c>
      <c r="B20" s="13">
        <f>Cleaned_Data!G20</f>
        <v>44834</v>
      </c>
      <c r="C20" s="4">
        <f>IF(Cleaned_Data!$J20&gt;0,Cleaned_Data!$J20,NA())</f>
        <v>30</v>
      </c>
      <c r="D20" s="4">
        <f>Cleaned_Data!$J20</f>
        <v>30</v>
      </c>
    </row>
    <row r="21" spans="1:4" x14ac:dyDescent="0.35">
      <c r="A21" s="4">
        <f t="shared" si="0"/>
        <v>19</v>
      </c>
      <c r="B21" s="13">
        <f>Cleaned_Data!G21</f>
        <v>44897</v>
      </c>
      <c r="C21" s="4">
        <f>IF(Cleaned_Data!$J21&gt;0,Cleaned_Data!$J21,NA())</f>
        <v>3.5</v>
      </c>
      <c r="D21" s="4">
        <f>Cleaned_Data!$J21</f>
        <v>3.5</v>
      </c>
    </row>
    <row r="22" spans="1:4" x14ac:dyDescent="0.35">
      <c r="A22" s="4">
        <f t="shared" si="0"/>
        <v>20</v>
      </c>
      <c r="B22" s="13">
        <f>Cleaned_Data!G22</f>
        <v>44621</v>
      </c>
      <c r="C22" s="4" t="e">
        <f>IF(Cleaned_Data!$J22&gt;0,Cleaned_Data!$J22,NA())</f>
        <v>#N/A</v>
      </c>
      <c r="D22" s="4">
        <f>Cleaned_Data!$J22</f>
        <v>0</v>
      </c>
    </row>
    <row r="23" spans="1:4" x14ac:dyDescent="0.35">
      <c r="A23" s="4">
        <f t="shared" si="0"/>
        <v>21</v>
      </c>
      <c r="B23" s="13">
        <f>Cleaned_Data!G23</f>
        <v>45566</v>
      </c>
      <c r="C23" s="4" t="e">
        <f>IF(Cleaned_Data!$J23&gt;0,Cleaned_Data!$J23,NA())</f>
        <v>#N/A</v>
      </c>
      <c r="D23" s="4">
        <f>Cleaned_Data!$J23</f>
        <v>0</v>
      </c>
    </row>
    <row r="24" spans="1:4" x14ac:dyDescent="0.35">
      <c r="A24" s="4">
        <f t="shared" si="0"/>
        <v>22</v>
      </c>
      <c r="B24" s="13">
        <f>Cleaned_Data!G24</f>
        <v>44189</v>
      </c>
      <c r="C24" s="4">
        <f>IF(Cleaned_Data!$J24&gt;0,Cleaned_Data!$J24,NA())</f>
        <v>157</v>
      </c>
      <c r="D24" s="4">
        <f>Cleaned_Data!$J24</f>
        <v>157</v>
      </c>
    </row>
    <row r="25" spans="1:4" x14ac:dyDescent="0.35">
      <c r="A25" s="4">
        <f t="shared" si="0"/>
        <v>23</v>
      </c>
      <c r="B25" s="13">
        <f>Cleaned_Data!G25</f>
        <v>44204</v>
      </c>
      <c r="C25" s="4">
        <f>IF(Cleaned_Data!$J25&gt;0,Cleaned_Data!$J25,NA())</f>
        <v>10</v>
      </c>
      <c r="D25" s="4">
        <f>Cleaned_Data!$J25</f>
        <v>10</v>
      </c>
    </row>
    <row r="26" spans="1:4" x14ac:dyDescent="0.35">
      <c r="A26" s="4">
        <f t="shared" si="0"/>
        <v>24</v>
      </c>
      <c r="B26" s="13">
        <f>Cleaned_Data!G26</f>
        <v>44390</v>
      </c>
      <c r="C26" s="4">
        <f>IF(Cleaned_Data!$J26&gt;0,Cleaned_Data!$J26,NA())</f>
        <v>30</v>
      </c>
      <c r="D26" s="4">
        <f>Cleaned_Data!$J26</f>
        <v>30</v>
      </c>
    </row>
    <row r="27" spans="1:4" x14ac:dyDescent="0.35">
      <c r="A27" s="4">
        <f t="shared" si="0"/>
        <v>25</v>
      </c>
      <c r="B27" s="13">
        <f>Cleaned_Data!G27</f>
        <v>45645</v>
      </c>
      <c r="C27" s="4">
        <f>IF(Cleaned_Data!$J27&gt;0,Cleaned_Data!$J27,NA())</f>
        <v>16.7</v>
      </c>
      <c r="D27" s="4">
        <f>Cleaned_Data!$J27</f>
        <v>16.7</v>
      </c>
    </row>
    <row r="28" spans="1:4" x14ac:dyDescent="0.35">
      <c r="A28" s="4">
        <f t="shared" si="0"/>
        <v>26</v>
      </c>
      <c r="B28" s="13">
        <f>Cleaned_Data!G28</f>
        <v>45429</v>
      </c>
      <c r="C28" s="4">
        <f>IF(Cleaned_Data!$J28&gt;0,Cleaned_Data!$J28,NA())</f>
        <v>25.56</v>
      </c>
      <c r="D28" s="4">
        <f>Cleaned_Data!$J28</f>
        <v>25.56</v>
      </c>
    </row>
    <row r="29" spans="1:4" x14ac:dyDescent="0.35">
      <c r="A29" s="4">
        <f t="shared" si="0"/>
        <v>27</v>
      </c>
      <c r="B29" s="13">
        <f>Cleaned_Data!G29</f>
        <v>42680</v>
      </c>
      <c r="C29" s="4">
        <f>IF(Cleaned_Data!$J29&gt;0,Cleaned_Data!$J29,NA())</f>
        <v>250</v>
      </c>
      <c r="D29" s="4">
        <f>Cleaned_Data!$J29</f>
        <v>250</v>
      </c>
    </row>
    <row r="30" spans="1:4" x14ac:dyDescent="0.35">
      <c r="A30" s="4">
        <f t="shared" si="0"/>
        <v>28</v>
      </c>
      <c r="B30" s="13">
        <f>Cleaned_Data!G30</f>
        <v>44666</v>
      </c>
      <c r="C30" s="4">
        <f>IF(Cleaned_Data!$J30&gt;0,Cleaned_Data!$J30,NA())</f>
        <v>3.5</v>
      </c>
      <c r="D30" s="4">
        <f>Cleaned_Data!$J30</f>
        <v>3.5</v>
      </c>
    </row>
    <row r="31" spans="1:4" x14ac:dyDescent="0.35">
      <c r="A31" s="4">
        <f t="shared" si="0"/>
        <v>29</v>
      </c>
      <c r="B31" s="13">
        <f>Cleaned_Data!G31</f>
        <v>43661</v>
      </c>
      <c r="C31" s="4">
        <f>IF(Cleaned_Data!$J31&gt;0,Cleaned_Data!$J31,NA())</f>
        <v>9</v>
      </c>
      <c r="D31" s="4">
        <f>Cleaned_Data!$J31</f>
        <v>9</v>
      </c>
    </row>
    <row r="32" spans="1:4" x14ac:dyDescent="0.35">
      <c r="A32" s="4">
        <f t="shared" si="0"/>
        <v>30</v>
      </c>
      <c r="B32" s="13">
        <f>Cleaned_Data!G32</f>
        <v>44741</v>
      </c>
      <c r="C32" s="4">
        <f>IF(Cleaned_Data!$J32&gt;0,Cleaned_Data!$J32,NA())</f>
        <v>12</v>
      </c>
      <c r="D32" s="4">
        <f>Cleaned_Data!$J32</f>
        <v>12</v>
      </c>
    </row>
    <row r="33" spans="1:4" x14ac:dyDescent="0.35">
      <c r="A33" s="4">
        <f t="shared" si="0"/>
        <v>31</v>
      </c>
      <c r="B33" s="13">
        <f>Cleaned_Data!G33</f>
        <v>44833</v>
      </c>
      <c r="C33" s="4">
        <f>IF(Cleaned_Data!$J33&gt;0,Cleaned_Data!$J33,NA())</f>
        <v>14</v>
      </c>
      <c r="D33" s="4">
        <f>Cleaned_Data!$J33</f>
        <v>14</v>
      </c>
    </row>
    <row r="34" spans="1:4" x14ac:dyDescent="0.35">
      <c r="A34" s="4">
        <f t="shared" si="0"/>
        <v>32</v>
      </c>
      <c r="B34" s="13">
        <f>Cleaned_Data!G34</f>
        <v>45141</v>
      </c>
      <c r="C34" s="4">
        <f>IF(Cleaned_Data!$J34&gt;0,Cleaned_Data!$J34,NA())</f>
        <v>12</v>
      </c>
      <c r="D34" s="4">
        <f>Cleaned_Data!$J34</f>
        <v>12</v>
      </c>
    </row>
    <row r="35" spans="1:4" x14ac:dyDescent="0.35">
      <c r="A35" s="4">
        <f t="shared" si="0"/>
        <v>33</v>
      </c>
      <c r="B35" s="13">
        <f>Cleaned_Data!G35</f>
        <v>45474</v>
      </c>
      <c r="C35" s="4">
        <f>IF(Cleaned_Data!$J35&gt;0,Cleaned_Data!$J35,NA())</f>
        <v>3</v>
      </c>
      <c r="D35" s="4">
        <f>Cleaned_Data!$J35</f>
        <v>3</v>
      </c>
    </row>
    <row r="36" spans="1:4" x14ac:dyDescent="0.35">
      <c r="A36" s="4">
        <f t="shared" si="0"/>
        <v>34</v>
      </c>
      <c r="B36" s="13">
        <f>Cleaned_Data!G36</f>
        <v>44917</v>
      </c>
      <c r="C36" s="4">
        <f>IF(Cleaned_Data!$J36&gt;0,Cleaned_Data!$J36,NA())</f>
        <v>500</v>
      </c>
      <c r="D36" s="4">
        <f>Cleaned_Data!$J36</f>
        <v>500</v>
      </c>
    </row>
    <row r="37" spans="1:4" x14ac:dyDescent="0.35">
      <c r="A37" s="4">
        <f t="shared" si="0"/>
        <v>35</v>
      </c>
      <c r="B37" s="13">
        <f>Cleaned_Data!G37</f>
        <v>45536</v>
      </c>
      <c r="C37" s="4" t="e">
        <f>IF(Cleaned_Data!$J37&gt;0,Cleaned_Data!$J37,NA())</f>
        <v>#N/A</v>
      </c>
      <c r="D37" s="4">
        <f>Cleaned_Data!$J37</f>
        <v>0</v>
      </c>
    </row>
    <row r="38" spans="1:4" x14ac:dyDescent="0.35">
      <c r="A38" s="4">
        <f t="shared" si="0"/>
        <v>36</v>
      </c>
      <c r="B38" s="13">
        <f>Cleaned_Data!G38</f>
        <v>42548</v>
      </c>
      <c r="C38" s="4">
        <f>IF(Cleaned_Data!$J38&gt;0,Cleaned_Data!$J38,NA())</f>
        <v>6.7</v>
      </c>
      <c r="D38" s="4">
        <f>Cleaned_Data!$J38</f>
        <v>6.7</v>
      </c>
    </row>
    <row r="39" spans="1:4" x14ac:dyDescent="0.35">
      <c r="A39" s="4">
        <f t="shared" si="0"/>
        <v>37</v>
      </c>
      <c r="B39" s="13">
        <f>Cleaned_Data!G39</f>
        <v>43753</v>
      </c>
      <c r="C39" s="4">
        <f>IF(Cleaned_Data!$J39&gt;0,Cleaned_Data!$J39,NA())</f>
        <v>3</v>
      </c>
      <c r="D39" s="4">
        <f>Cleaned_Data!$J39</f>
        <v>3</v>
      </c>
    </row>
    <row r="40" spans="1:4" x14ac:dyDescent="0.35">
      <c r="A40" s="4">
        <f t="shared" si="0"/>
        <v>38</v>
      </c>
      <c r="B40" s="13">
        <f>Cleaned_Data!G40</f>
        <v>43895</v>
      </c>
      <c r="C40" s="4">
        <f>IF(Cleaned_Data!$J40&gt;0,Cleaned_Data!$J40,NA())</f>
        <v>1</v>
      </c>
      <c r="D40" s="4">
        <f>Cleaned_Data!$J40</f>
        <v>1</v>
      </c>
    </row>
    <row r="41" spans="1:4" x14ac:dyDescent="0.35">
      <c r="A41" s="4">
        <f t="shared" si="0"/>
        <v>39</v>
      </c>
      <c r="B41" s="13">
        <f>Cleaned_Data!G41</f>
        <v>43565</v>
      </c>
      <c r="C41" s="4">
        <f>IF(Cleaned_Data!$J41&gt;0,Cleaned_Data!$J41,NA())</f>
        <v>0.08</v>
      </c>
      <c r="D41" s="4">
        <f>Cleaned_Data!$J41</f>
        <v>0.08</v>
      </c>
    </row>
    <row r="42" spans="1:4" x14ac:dyDescent="0.35">
      <c r="A42" s="4">
        <f t="shared" si="0"/>
        <v>40</v>
      </c>
      <c r="B42" s="13">
        <f>Cleaned_Data!G42</f>
        <v>43594</v>
      </c>
      <c r="C42" s="4">
        <f>IF(Cleaned_Data!$J42&gt;0,Cleaned_Data!$J42,NA())</f>
        <v>3.5</v>
      </c>
      <c r="D42" s="4">
        <f>Cleaned_Data!$J42</f>
        <v>3.5</v>
      </c>
    </row>
    <row r="43" spans="1:4" x14ac:dyDescent="0.35">
      <c r="A43" s="4">
        <f t="shared" si="0"/>
        <v>41</v>
      </c>
      <c r="B43" s="13">
        <f>Cleaned_Data!G43</f>
        <v>44413</v>
      </c>
      <c r="C43" s="4">
        <f>IF(Cleaned_Data!$J43&gt;0,Cleaned_Data!$J43,NA())</f>
        <v>22</v>
      </c>
      <c r="D43" s="4">
        <f>Cleaned_Data!$J43</f>
        <v>22</v>
      </c>
    </row>
    <row r="44" spans="1:4" x14ac:dyDescent="0.35">
      <c r="A44" s="4">
        <f t="shared" si="0"/>
        <v>42</v>
      </c>
      <c r="B44" s="13">
        <f>Cleaned_Data!G44</f>
        <v>45687</v>
      </c>
      <c r="C44" s="4">
        <f>IF(Cleaned_Data!$J44&gt;0,Cleaned_Data!$J44,NA())</f>
        <v>160</v>
      </c>
      <c r="D44" s="4">
        <f>Cleaned_Data!$J44</f>
        <v>160</v>
      </c>
    </row>
    <row r="45" spans="1:4" x14ac:dyDescent="0.35">
      <c r="A45" s="4">
        <f t="shared" si="0"/>
        <v>43</v>
      </c>
      <c r="B45" s="13">
        <f>Cleaned_Data!G45</f>
        <v>44927</v>
      </c>
      <c r="C45" s="4">
        <f>IF(Cleaned_Data!$J45&gt;0,Cleaned_Data!$J45,NA())</f>
        <v>30</v>
      </c>
      <c r="D45" s="4">
        <f>Cleaned_Data!$J45</f>
        <v>30</v>
      </c>
    </row>
    <row r="46" spans="1:4" x14ac:dyDescent="0.35">
      <c r="A46" s="4">
        <f t="shared" si="0"/>
        <v>44</v>
      </c>
      <c r="B46" s="13">
        <f>Cleaned_Data!G46</f>
        <v>45916</v>
      </c>
      <c r="C46" s="4">
        <f>IF(Cleaned_Data!$J46&gt;0,Cleaned_Data!$J46,NA())</f>
        <v>90</v>
      </c>
      <c r="D46" s="4">
        <f>Cleaned_Data!$J46</f>
        <v>90</v>
      </c>
    </row>
    <row r="47" spans="1:4" x14ac:dyDescent="0.35">
      <c r="A47" s="4">
        <f t="shared" si="0"/>
        <v>45</v>
      </c>
      <c r="B47" s="13">
        <f>Cleaned_Data!G47</f>
        <v>44986</v>
      </c>
      <c r="C47" s="4">
        <f>IF(Cleaned_Data!$J47&gt;0,Cleaned_Data!$J47,NA())</f>
        <v>25</v>
      </c>
      <c r="D47" s="4">
        <f>Cleaned_Data!$J47</f>
        <v>25</v>
      </c>
    </row>
    <row r="48" spans="1:4" x14ac:dyDescent="0.35">
      <c r="A48" s="4">
        <f t="shared" si="0"/>
        <v>46</v>
      </c>
      <c r="B48" s="13">
        <f>Cleaned_Data!G48</f>
        <v>45399</v>
      </c>
      <c r="C48" s="4">
        <f>IF(Cleaned_Data!$J48&gt;0,Cleaned_Data!$J48,NA())</f>
        <v>50</v>
      </c>
      <c r="D48" s="4">
        <f>Cleaned_Data!$J48</f>
        <v>50</v>
      </c>
    </row>
    <row r="49" spans="1:4" x14ac:dyDescent="0.35">
      <c r="A49" s="4">
        <f t="shared" si="0"/>
        <v>47</v>
      </c>
      <c r="B49" s="13">
        <f>Cleaned_Data!G49</f>
        <v>44531</v>
      </c>
      <c r="C49" s="4">
        <f>IF(Cleaned_Data!$J49&gt;0,Cleaned_Data!$J49,NA())</f>
        <v>0.68</v>
      </c>
      <c r="D49" s="4">
        <f>Cleaned_Data!$J49</f>
        <v>0.68</v>
      </c>
    </row>
    <row r="50" spans="1:4" x14ac:dyDescent="0.35">
      <c r="A50" s="4">
        <f t="shared" si="0"/>
        <v>48</v>
      </c>
      <c r="B50" s="13">
        <f>Cleaned_Data!G50</f>
        <v>45596</v>
      </c>
      <c r="C50" s="4">
        <f>IF(Cleaned_Data!$J50&gt;0,Cleaned_Data!$J50,NA())</f>
        <v>16.2</v>
      </c>
      <c r="D50" s="4">
        <f>Cleaned_Data!$J50</f>
        <v>16.2</v>
      </c>
    </row>
    <row r="51" spans="1:4" x14ac:dyDescent="0.35">
      <c r="A51" s="4">
        <f t="shared" si="0"/>
        <v>49</v>
      </c>
      <c r="B51" s="13">
        <f>Cleaned_Data!G51</f>
        <v>45047</v>
      </c>
      <c r="C51" s="4">
        <f>IF(Cleaned_Data!$J51&gt;0,Cleaned_Data!$J51,NA())</f>
        <v>6.7</v>
      </c>
      <c r="D51" s="4">
        <f>Cleaned_Data!$J51</f>
        <v>6.7</v>
      </c>
    </row>
    <row r="52" spans="1:4" x14ac:dyDescent="0.35">
      <c r="A52" s="4">
        <f t="shared" si="0"/>
        <v>50</v>
      </c>
      <c r="B52" s="13">
        <f>Cleaned_Data!G52</f>
        <v>44215</v>
      </c>
      <c r="C52" s="4" t="e">
        <f>IF(Cleaned_Data!$J52&gt;0,Cleaned_Data!$J52,NA())</f>
        <v>#N/A</v>
      </c>
      <c r="D52" s="4">
        <f>Cleaned_Data!$J52</f>
        <v>0</v>
      </c>
    </row>
    <row r="53" spans="1:4" x14ac:dyDescent="0.35">
      <c r="A53" s="4">
        <f t="shared" si="0"/>
        <v>51</v>
      </c>
      <c r="B53" s="13">
        <f>Cleaned_Data!G53</f>
        <v>43003</v>
      </c>
      <c r="C53" s="4" t="e">
        <f>IF(Cleaned_Data!$J53&gt;0,Cleaned_Data!$J53,NA())</f>
        <v>#N/A</v>
      </c>
      <c r="D53" s="4">
        <f>Cleaned_Data!$J53</f>
        <v>0</v>
      </c>
    </row>
    <row r="54" spans="1:4" x14ac:dyDescent="0.35">
      <c r="A54" s="4">
        <f t="shared" si="0"/>
        <v>52</v>
      </c>
      <c r="B54" s="13">
        <f>Cleaned_Data!G54</f>
        <v>43977</v>
      </c>
      <c r="C54" s="4">
        <f>IF(Cleaned_Data!$J54&gt;0,Cleaned_Data!$J54,NA())</f>
        <v>84</v>
      </c>
      <c r="D54" s="4">
        <f>Cleaned_Data!$J54</f>
        <v>84</v>
      </c>
    </row>
    <row r="55" spans="1:4" x14ac:dyDescent="0.35">
      <c r="A55" s="4">
        <f t="shared" si="0"/>
        <v>53</v>
      </c>
      <c r="B55" s="13">
        <f>Cleaned_Data!G55</f>
        <v>45834</v>
      </c>
      <c r="C55" s="4">
        <f>IF(Cleaned_Data!$J55&gt;0,Cleaned_Data!$J55,NA())</f>
        <v>863</v>
      </c>
      <c r="D55" s="4">
        <f>Cleaned_Data!$J55</f>
        <v>863</v>
      </c>
    </row>
    <row r="56" spans="1:4" x14ac:dyDescent="0.35">
      <c r="A56" s="4">
        <f t="shared" si="0"/>
        <v>54</v>
      </c>
      <c r="B56" s="13">
        <f>Cleaned_Data!G56</f>
        <v>44524</v>
      </c>
      <c r="C56" s="4">
        <f>IF(Cleaned_Data!$J56&gt;0,Cleaned_Data!$J56,NA())</f>
        <v>4</v>
      </c>
      <c r="D56" s="4">
        <f>Cleaned_Data!$J56</f>
        <v>4</v>
      </c>
    </row>
    <row r="57" spans="1:4" x14ac:dyDescent="0.35">
      <c r="A57" s="4">
        <f t="shared" si="0"/>
        <v>55</v>
      </c>
      <c r="B57" s="13">
        <f>Cleaned_Data!G57</f>
        <v>44774</v>
      </c>
      <c r="C57" s="4" t="e">
        <f>IF(Cleaned_Data!$J57&gt;0,Cleaned_Data!$J57,NA())</f>
        <v>#N/A</v>
      </c>
      <c r="D57" s="4">
        <f>Cleaned_Data!$J57</f>
        <v>0</v>
      </c>
    </row>
    <row r="58" spans="1:4" x14ac:dyDescent="0.35">
      <c r="A58" s="4">
        <f t="shared" si="0"/>
        <v>56</v>
      </c>
      <c r="B58" s="13">
        <f>Cleaned_Data!G58</f>
        <v>43845</v>
      </c>
      <c r="C58" s="4">
        <f>IF(Cleaned_Data!$J58&gt;0,Cleaned_Data!$J58,NA())</f>
        <v>12</v>
      </c>
      <c r="D58" s="4">
        <f>Cleaned_Data!$J58</f>
        <v>12</v>
      </c>
    </row>
    <row r="59" spans="1:4" x14ac:dyDescent="0.35">
      <c r="A59" s="4">
        <f t="shared" si="0"/>
        <v>57</v>
      </c>
      <c r="B59" s="13">
        <f>Cleaned_Data!G59</f>
        <v>44880</v>
      </c>
      <c r="C59" s="4">
        <f>IF(Cleaned_Data!$J59&gt;0,Cleaned_Data!$J59,NA())</f>
        <v>69.7</v>
      </c>
      <c r="D59" s="4">
        <f>Cleaned_Data!$J59</f>
        <v>69.7</v>
      </c>
    </row>
    <row r="60" spans="1:4" x14ac:dyDescent="0.35">
      <c r="A60" s="4">
        <f t="shared" si="0"/>
        <v>58</v>
      </c>
      <c r="B60" s="13">
        <f>Cleaned_Data!G60</f>
        <v>44223</v>
      </c>
      <c r="C60" s="4">
        <f>IF(Cleaned_Data!$J60&gt;0,Cleaned_Data!$J60,NA())</f>
        <v>0.44</v>
      </c>
      <c r="D60" s="4">
        <f>Cleaned_Data!$J60</f>
        <v>0.44</v>
      </c>
    </row>
    <row r="61" spans="1:4" x14ac:dyDescent="0.35">
      <c r="A61" s="4">
        <f t="shared" si="0"/>
        <v>59</v>
      </c>
      <c r="B61" s="13">
        <f>Cleaned_Data!G61</f>
        <v>44561</v>
      </c>
      <c r="C61" s="4" t="e">
        <f>IF(Cleaned_Data!$J61&gt;0,Cleaned_Data!$J61,NA())</f>
        <v>#N/A</v>
      </c>
      <c r="D61" s="4">
        <f>Cleaned_Data!$J61</f>
        <v>0</v>
      </c>
    </row>
    <row r="62" spans="1:4" x14ac:dyDescent="0.35">
      <c r="A62" s="4">
        <f t="shared" si="0"/>
        <v>60</v>
      </c>
      <c r="B62" s="13">
        <f>Cleaned_Data!G62</f>
        <v>45845</v>
      </c>
      <c r="C62" s="4">
        <f>IF(Cleaned_Data!$J62&gt;0,Cleaned_Data!$J62,NA())</f>
        <v>30</v>
      </c>
      <c r="D62" s="4">
        <f>Cleaned_Data!$J62</f>
        <v>30</v>
      </c>
    </row>
    <row r="63" spans="1:4" x14ac:dyDescent="0.35">
      <c r="A63" s="4">
        <f t="shared" si="0"/>
        <v>61</v>
      </c>
      <c r="B63" s="13">
        <f>Cleaned_Data!G63</f>
        <v>43850</v>
      </c>
      <c r="C63" s="4">
        <f>IF(Cleaned_Data!$J63&gt;0,Cleaned_Data!$J63,NA())</f>
        <v>32</v>
      </c>
      <c r="D63" s="4">
        <f>Cleaned_Data!$J63</f>
        <v>32</v>
      </c>
    </row>
    <row r="64" spans="1:4" x14ac:dyDescent="0.35">
      <c r="A64" s="4">
        <f t="shared" si="0"/>
        <v>62</v>
      </c>
      <c r="B64" s="13">
        <f>Cleaned_Data!G64</f>
        <v>44769</v>
      </c>
      <c r="C64" s="4">
        <f>IF(Cleaned_Data!$J64&gt;0,Cleaned_Data!$J64,NA())</f>
        <v>1</v>
      </c>
      <c r="D64" s="4">
        <f>Cleaned_Data!$J64</f>
        <v>1</v>
      </c>
    </row>
    <row r="65" spans="1:4" x14ac:dyDescent="0.35">
      <c r="A65" s="4">
        <f t="shared" si="0"/>
        <v>63</v>
      </c>
      <c r="B65" s="13">
        <f>Cleaned_Data!G65</f>
        <v>44974</v>
      </c>
      <c r="C65" s="4">
        <f>IF(Cleaned_Data!$J65&gt;0,Cleaned_Data!$J65,NA())</f>
        <v>10</v>
      </c>
      <c r="D65" s="4">
        <f>Cleaned_Data!$J65</f>
        <v>10</v>
      </c>
    </row>
    <row r="66" spans="1:4" x14ac:dyDescent="0.35">
      <c r="A66" s="4">
        <f t="shared" si="0"/>
        <v>64</v>
      </c>
      <c r="B66" s="13">
        <f>Cleaned_Data!G66</f>
        <v>44196</v>
      </c>
      <c r="C66" s="4">
        <f>IF(Cleaned_Data!$J66&gt;0,Cleaned_Data!$J66,NA())</f>
        <v>63</v>
      </c>
      <c r="D66" s="4">
        <f>Cleaned_Data!$J66</f>
        <v>63</v>
      </c>
    </row>
    <row r="67" spans="1:4" x14ac:dyDescent="0.35">
      <c r="A67" s="4">
        <f t="shared" si="0"/>
        <v>65</v>
      </c>
      <c r="B67" s="13">
        <f>Cleaned_Data!G67</f>
        <v>45595</v>
      </c>
      <c r="C67" s="4">
        <f>IF(Cleaned_Data!$J67&gt;0,Cleaned_Data!$J67,NA())</f>
        <v>11</v>
      </c>
      <c r="D67" s="4">
        <f>Cleaned_Data!$J67</f>
        <v>11</v>
      </c>
    </row>
    <row r="68" spans="1:4" x14ac:dyDescent="0.35">
      <c r="A68" s="4">
        <f t="shared" si="0"/>
        <v>66</v>
      </c>
      <c r="B68" s="13">
        <f>Cleaned_Data!G68</f>
        <v>45292</v>
      </c>
      <c r="C68" s="4">
        <f>IF(Cleaned_Data!$J68&gt;0,Cleaned_Data!$J68,NA())</f>
        <v>1.32</v>
      </c>
      <c r="D68" s="4">
        <f>Cleaned_Data!$J68</f>
        <v>1.32</v>
      </c>
    </row>
    <row r="69" spans="1:4" x14ac:dyDescent="0.35">
      <c r="A69" s="4">
        <f t="shared" ref="A69:A132" si="1">A68+1</f>
        <v>67</v>
      </c>
      <c r="B69" s="13">
        <f>Cleaned_Data!G69</f>
        <v>44749</v>
      </c>
      <c r="C69" s="4">
        <f>IF(Cleaned_Data!$J69&gt;0,Cleaned_Data!$J69,NA())</f>
        <v>35</v>
      </c>
      <c r="D69" s="4">
        <f>Cleaned_Data!$J69</f>
        <v>35</v>
      </c>
    </row>
    <row r="70" spans="1:4" x14ac:dyDescent="0.35">
      <c r="A70" s="4">
        <f t="shared" si="1"/>
        <v>68</v>
      </c>
      <c r="B70" s="13">
        <f>Cleaned_Data!G70</f>
        <v>45473</v>
      </c>
      <c r="C70" s="4">
        <f>IF(Cleaned_Data!$J70&gt;0,Cleaned_Data!$J70,NA())</f>
        <v>0.18</v>
      </c>
      <c r="D70" s="4">
        <f>Cleaned_Data!$J70</f>
        <v>0.18</v>
      </c>
    </row>
    <row r="71" spans="1:4" x14ac:dyDescent="0.35">
      <c r="A71" s="4">
        <f t="shared" si="1"/>
        <v>69</v>
      </c>
      <c r="B71" s="13">
        <f>Cleaned_Data!G71</f>
        <v>45261</v>
      </c>
      <c r="C71" s="4" t="e">
        <f>IF(Cleaned_Data!$J71&gt;0,Cleaned_Data!$J71,NA())</f>
        <v>#N/A</v>
      </c>
      <c r="D71" s="4">
        <f>Cleaned_Data!$J71</f>
        <v>0</v>
      </c>
    </row>
    <row r="72" spans="1:4" x14ac:dyDescent="0.35">
      <c r="A72" s="4">
        <f t="shared" si="1"/>
        <v>70</v>
      </c>
      <c r="B72" s="13">
        <f>Cleaned_Data!G72</f>
        <v>45657</v>
      </c>
      <c r="C72" s="4">
        <f>IF(Cleaned_Data!$J72&gt;0,Cleaned_Data!$J72,NA())</f>
        <v>1.04</v>
      </c>
      <c r="D72" s="4">
        <f>Cleaned_Data!$J72</f>
        <v>1.04</v>
      </c>
    </row>
    <row r="73" spans="1:4" x14ac:dyDescent="0.35">
      <c r="A73" s="4">
        <f t="shared" si="1"/>
        <v>71</v>
      </c>
      <c r="B73" s="13">
        <f>Cleaned_Data!G73</f>
        <v>45866</v>
      </c>
      <c r="C73" s="4" t="e">
        <f>IF(Cleaned_Data!$J73&gt;0,Cleaned_Data!$J73,NA())</f>
        <v>#N/A</v>
      </c>
      <c r="D73" s="4">
        <f>Cleaned_Data!$J73</f>
        <v>0</v>
      </c>
    </row>
    <row r="74" spans="1:4" x14ac:dyDescent="0.35">
      <c r="A74" s="4">
        <f t="shared" si="1"/>
        <v>72</v>
      </c>
      <c r="B74" s="13">
        <f>Cleaned_Data!G74</f>
        <v>45536</v>
      </c>
      <c r="C74" s="4" t="e">
        <f>IF(Cleaned_Data!$J74&gt;0,Cleaned_Data!$J74,NA())</f>
        <v>#N/A</v>
      </c>
      <c r="D74" s="4">
        <f>Cleaned_Data!$J74</f>
        <v>0</v>
      </c>
    </row>
    <row r="75" spans="1:4" x14ac:dyDescent="0.35">
      <c r="A75" s="4">
        <f t="shared" si="1"/>
        <v>73</v>
      </c>
      <c r="B75" s="13">
        <f>Cleaned_Data!G75</f>
        <v>42641</v>
      </c>
      <c r="C75" s="4" t="e">
        <f>IF(Cleaned_Data!$J75&gt;0,Cleaned_Data!$J75,NA())</f>
        <v>#N/A</v>
      </c>
      <c r="D75" s="4">
        <f>Cleaned_Data!$J75</f>
        <v>0</v>
      </c>
    </row>
    <row r="76" spans="1:4" x14ac:dyDescent="0.35">
      <c r="A76" s="4">
        <f t="shared" si="1"/>
        <v>74</v>
      </c>
      <c r="B76" s="13">
        <f>Cleaned_Data!G76</f>
        <v>43368</v>
      </c>
      <c r="C76" s="4">
        <f>IF(Cleaned_Data!$J76&gt;0,Cleaned_Data!$J76,NA())</f>
        <v>8</v>
      </c>
      <c r="D76" s="4">
        <f>Cleaned_Data!$J76</f>
        <v>8</v>
      </c>
    </row>
    <row r="77" spans="1:4" x14ac:dyDescent="0.35">
      <c r="A77" s="4">
        <f t="shared" si="1"/>
        <v>75</v>
      </c>
      <c r="B77" s="13">
        <f>Cleaned_Data!G77</f>
        <v>44197</v>
      </c>
      <c r="C77" s="4" t="e">
        <f>IF(Cleaned_Data!$J77&gt;0,Cleaned_Data!$J77,NA())</f>
        <v>#N/A</v>
      </c>
      <c r="D77" s="4">
        <f>Cleaned_Data!$J77</f>
        <v>0</v>
      </c>
    </row>
    <row r="78" spans="1:4" x14ac:dyDescent="0.35">
      <c r="A78" s="4">
        <f t="shared" si="1"/>
        <v>76</v>
      </c>
      <c r="B78" s="13">
        <f>Cleaned_Data!G78</f>
        <v>44621</v>
      </c>
      <c r="C78" s="4" t="e">
        <f>IF(Cleaned_Data!$J78&gt;0,Cleaned_Data!$J78,NA())</f>
        <v>#N/A</v>
      </c>
      <c r="D78" s="4">
        <f>Cleaned_Data!$J78</f>
        <v>0</v>
      </c>
    </row>
    <row r="79" spans="1:4" x14ac:dyDescent="0.35">
      <c r="A79" s="4">
        <f t="shared" si="1"/>
        <v>77</v>
      </c>
      <c r="B79" s="13">
        <f>Cleaned_Data!G79</f>
        <v>45974</v>
      </c>
      <c r="C79" s="4">
        <f>IF(Cleaned_Data!$J79&gt;0,Cleaned_Data!$J79,NA())</f>
        <v>120</v>
      </c>
      <c r="D79" s="4">
        <f>Cleaned_Data!$J79</f>
        <v>120</v>
      </c>
    </row>
    <row r="80" spans="1:4" x14ac:dyDescent="0.35">
      <c r="A80" s="4">
        <f t="shared" si="1"/>
        <v>78</v>
      </c>
      <c r="B80" s="13">
        <f>Cleaned_Data!G80</f>
        <v>43584</v>
      </c>
      <c r="C80" s="4">
        <f>IF(Cleaned_Data!$J80&gt;0,Cleaned_Data!$J80,NA())</f>
        <v>1250</v>
      </c>
      <c r="D80" s="4">
        <f>Cleaned_Data!$J80</f>
        <v>1250</v>
      </c>
    </row>
    <row r="81" spans="1:4" x14ac:dyDescent="0.35">
      <c r="A81" s="4">
        <f t="shared" si="1"/>
        <v>79</v>
      </c>
      <c r="B81" s="13">
        <f>Cleaned_Data!G81</f>
        <v>43069</v>
      </c>
      <c r="C81" s="4">
        <f>IF(Cleaned_Data!$J81&gt;0,Cleaned_Data!$J81,NA())</f>
        <v>3.92</v>
      </c>
      <c r="D81" s="4">
        <f>Cleaned_Data!$J81</f>
        <v>3.92</v>
      </c>
    </row>
    <row r="82" spans="1:4" x14ac:dyDescent="0.35">
      <c r="A82" s="4">
        <f t="shared" si="1"/>
        <v>80</v>
      </c>
      <c r="B82" s="13">
        <f>Cleaned_Data!G82</f>
        <v>45545</v>
      </c>
      <c r="C82" s="4">
        <f>IF(Cleaned_Data!$J82&gt;0,Cleaned_Data!$J82,NA())</f>
        <v>100</v>
      </c>
      <c r="D82" s="4">
        <f>Cleaned_Data!$J82</f>
        <v>100</v>
      </c>
    </row>
    <row r="83" spans="1:4" x14ac:dyDescent="0.35">
      <c r="A83" s="4">
        <f t="shared" si="1"/>
        <v>81</v>
      </c>
      <c r="B83" s="13">
        <f>Cleaned_Data!G83</f>
        <v>44085</v>
      </c>
      <c r="C83" s="4">
        <f>IF(Cleaned_Data!$J83&gt;0,Cleaned_Data!$J83,NA())</f>
        <v>10.23</v>
      </c>
      <c r="D83" s="4">
        <f>Cleaned_Data!$J83</f>
        <v>10.23</v>
      </c>
    </row>
    <row r="84" spans="1:4" x14ac:dyDescent="0.35">
      <c r="A84" s="4">
        <f t="shared" si="1"/>
        <v>82</v>
      </c>
      <c r="B84" s="13">
        <f>Cleaned_Data!G84</f>
        <v>44505</v>
      </c>
      <c r="C84" s="4" t="e">
        <f>IF(Cleaned_Data!$J84&gt;0,Cleaned_Data!$J84,NA())</f>
        <v>#N/A</v>
      </c>
      <c r="D84" s="4">
        <f>Cleaned_Data!$J84</f>
        <v>0</v>
      </c>
    </row>
    <row r="85" spans="1:4" x14ac:dyDescent="0.35">
      <c r="A85" s="4">
        <f t="shared" si="1"/>
        <v>83</v>
      </c>
      <c r="B85" s="13">
        <f>Cleaned_Data!G85</f>
        <v>45961</v>
      </c>
      <c r="C85" s="4">
        <f>IF(Cleaned_Data!$J85&gt;0,Cleaned_Data!$J85,NA())</f>
        <v>3.1</v>
      </c>
      <c r="D85" s="4">
        <f>Cleaned_Data!$J85</f>
        <v>3.1</v>
      </c>
    </row>
    <row r="86" spans="1:4" x14ac:dyDescent="0.35">
      <c r="A86" s="4">
        <f t="shared" si="1"/>
        <v>84</v>
      </c>
      <c r="B86" s="13">
        <f>Cleaned_Data!G86</f>
        <v>42013</v>
      </c>
      <c r="C86" s="4">
        <f>IF(Cleaned_Data!$J86&gt;0,Cleaned_Data!$J86,NA())</f>
        <v>337</v>
      </c>
      <c r="D86" s="4">
        <f>Cleaned_Data!$J86</f>
        <v>337</v>
      </c>
    </row>
    <row r="87" spans="1:4" x14ac:dyDescent="0.35">
      <c r="A87" s="4">
        <f t="shared" si="1"/>
        <v>85</v>
      </c>
      <c r="B87" s="13">
        <f>Cleaned_Data!G87</f>
        <v>43279</v>
      </c>
      <c r="C87" s="4">
        <f>IF(Cleaned_Data!$J87&gt;0,Cleaned_Data!$J87,NA())</f>
        <v>9.89</v>
      </c>
      <c r="D87" s="4">
        <f>Cleaned_Data!$J87</f>
        <v>9.89</v>
      </c>
    </row>
    <row r="88" spans="1:4" x14ac:dyDescent="0.35">
      <c r="A88" s="4">
        <f t="shared" si="1"/>
        <v>86</v>
      </c>
      <c r="B88" s="13">
        <f>Cleaned_Data!G88</f>
        <v>45642</v>
      </c>
      <c r="C88" s="4">
        <f>IF(Cleaned_Data!$J88&gt;0,Cleaned_Data!$J88,NA())</f>
        <v>50</v>
      </c>
      <c r="D88" s="4">
        <f>Cleaned_Data!$J88</f>
        <v>50</v>
      </c>
    </row>
    <row r="89" spans="1:4" x14ac:dyDescent="0.35">
      <c r="A89" s="4">
        <f t="shared" si="1"/>
        <v>87</v>
      </c>
      <c r="B89" s="13">
        <f>Cleaned_Data!G89</f>
        <v>44470</v>
      </c>
      <c r="C89" s="4" t="e">
        <f>IF(Cleaned_Data!$J89&gt;0,Cleaned_Data!$J89,NA())</f>
        <v>#N/A</v>
      </c>
      <c r="D89" s="4">
        <f>Cleaned_Data!$J89</f>
        <v>0</v>
      </c>
    </row>
    <row r="90" spans="1:4" x14ac:dyDescent="0.35">
      <c r="A90" s="4">
        <f t="shared" si="1"/>
        <v>88</v>
      </c>
      <c r="B90" s="13">
        <f>Cleaned_Data!G90</f>
        <v>43040</v>
      </c>
      <c r="C90" s="4" t="e">
        <f>IF(Cleaned_Data!$J90&gt;0,Cleaned_Data!$J90,NA())</f>
        <v>#N/A</v>
      </c>
      <c r="D90" s="4">
        <f>Cleaned_Data!$J90</f>
        <v>0</v>
      </c>
    </row>
    <row r="91" spans="1:4" x14ac:dyDescent="0.35">
      <c r="A91" s="4">
        <f t="shared" si="1"/>
        <v>89</v>
      </c>
      <c r="B91" s="13">
        <f>Cleaned_Data!G91</f>
        <v>43465</v>
      </c>
      <c r="C91" s="4" t="e">
        <f>IF(Cleaned_Data!$J91&gt;0,Cleaned_Data!$J91,NA())</f>
        <v>#N/A</v>
      </c>
      <c r="D91" s="4">
        <f>Cleaned_Data!$J91</f>
        <v>0</v>
      </c>
    </row>
    <row r="92" spans="1:4" x14ac:dyDescent="0.35">
      <c r="A92" s="4">
        <f t="shared" si="1"/>
        <v>90</v>
      </c>
      <c r="B92" s="13">
        <f>Cleaned_Data!G92</f>
        <v>45015</v>
      </c>
      <c r="C92" s="4">
        <f>IF(Cleaned_Data!$J92&gt;0,Cleaned_Data!$J92,NA())</f>
        <v>9</v>
      </c>
      <c r="D92" s="4">
        <f>Cleaned_Data!$J92</f>
        <v>9</v>
      </c>
    </row>
    <row r="93" spans="1:4" x14ac:dyDescent="0.35">
      <c r="A93" s="4">
        <f t="shared" si="1"/>
        <v>91</v>
      </c>
      <c r="B93" s="13">
        <f>Cleaned_Data!G93</f>
        <v>45170</v>
      </c>
      <c r="C93" s="4" t="e">
        <f>IF(Cleaned_Data!$J93&gt;0,Cleaned_Data!$J93,NA())</f>
        <v>#N/A</v>
      </c>
      <c r="D93" s="4">
        <f>Cleaned_Data!$J93</f>
        <v>0</v>
      </c>
    </row>
    <row r="94" spans="1:4" x14ac:dyDescent="0.35">
      <c r="A94" s="4">
        <f t="shared" si="1"/>
        <v>92</v>
      </c>
      <c r="B94" s="13">
        <f>Cleaned_Data!G94</f>
        <v>45106</v>
      </c>
      <c r="C94" s="4" t="e">
        <f>IF(Cleaned_Data!$J94&gt;0,Cleaned_Data!$J94,NA())</f>
        <v>#N/A</v>
      </c>
      <c r="D94" s="4">
        <f>Cleaned_Data!$J94</f>
        <v>0</v>
      </c>
    </row>
    <row r="95" spans="1:4" x14ac:dyDescent="0.35">
      <c r="A95" s="4">
        <f t="shared" si="1"/>
        <v>93</v>
      </c>
      <c r="B95" s="13">
        <f>Cleaned_Data!G95</f>
        <v>45630</v>
      </c>
      <c r="C95" s="4">
        <f>IF(Cleaned_Data!$J95&gt;0,Cleaned_Data!$J95,NA())</f>
        <v>150</v>
      </c>
      <c r="D95" s="4">
        <f>Cleaned_Data!$J95</f>
        <v>150</v>
      </c>
    </row>
    <row r="96" spans="1:4" x14ac:dyDescent="0.35">
      <c r="A96" s="4">
        <f t="shared" si="1"/>
        <v>94</v>
      </c>
      <c r="B96" s="13">
        <f>Cleaned_Data!G96</f>
        <v>44270</v>
      </c>
      <c r="C96" s="4">
        <f>IF(Cleaned_Data!$J96&gt;0,Cleaned_Data!$J96,NA())</f>
        <v>4.0999999999999996</v>
      </c>
      <c r="D96" s="4">
        <f>Cleaned_Data!$J96</f>
        <v>4.0999999999999996</v>
      </c>
    </row>
    <row r="97" spans="1:4" x14ac:dyDescent="0.35">
      <c r="A97" s="4">
        <f t="shared" si="1"/>
        <v>95</v>
      </c>
      <c r="B97" s="13">
        <f>Cleaned_Data!G97</f>
        <v>44561</v>
      </c>
      <c r="C97" s="4">
        <f>IF(Cleaned_Data!$J97&gt;0,Cleaned_Data!$J97,NA())</f>
        <v>3.7</v>
      </c>
      <c r="D97" s="4">
        <f>Cleaned_Data!$J97</f>
        <v>3.7</v>
      </c>
    </row>
    <row r="98" spans="1:4" x14ac:dyDescent="0.35">
      <c r="A98" s="4">
        <f t="shared" si="1"/>
        <v>96</v>
      </c>
      <c r="B98" s="13">
        <f>Cleaned_Data!G98</f>
        <v>44673</v>
      </c>
      <c r="C98" s="4">
        <f>IF(Cleaned_Data!$J98&gt;0,Cleaned_Data!$J98,NA())</f>
        <v>0.57999999999999996</v>
      </c>
      <c r="D98" s="4">
        <f>Cleaned_Data!$J98</f>
        <v>0.57999999999999996</v>
      </c>
    </row>
    <row r="99" spans="1:4" x14ac:dyDescent="0.35">
      <c r="A99" s="4">
        <f t="shared" si="1"/>
        <v>97</v>
      </c>
      <c r="B99" s="13">
        <f>Cleaned_Data!G99</f>
        <v>44249</v>
      </c>
      <c r="C99" s="4">
        <f>IF(Cleaned_Data!$J99&gt;0,Cleaned_Data!$J99,NA())</f>
        <v>1</v>
      </c>
      <c r="D99" s="4">
        <f>Cleaned_Data!$J99</f>
        <v>1</v>
      </c>
    </row>
    <row r="100" spans="1:4" x14ac:dyDescent="0.35">
      <c r="A100" s="4">
        <f t="shared" si="1"/>
        <v>98</v>
      </c>
      <c r="B100" s="13">
        <f>Cleaned_Data!G100</f>
        <v>44949</v>
      </c>
      <c r="C100" s="4">
        <f>IF(Cleaned_Data!$J100&gt;0,Cleaned_Data!$J100,NA())</f>
        <v>0.55000000000000004</v>
      </c>
      <c r="D100" s="4">
        <f>Cleaned_Data!$J100</f>
        <v>0.55000000000000004</v>
      </c>
    </row>
    <row r="101" spans="1:4" x14ac:dyDescent="0.35">
      <c r="A101" s="4">
        <f t="shared" si="1"/>
        <v>99</v>
      </c>
      <c r="B101" s="13">
        <f>Cleaned_Data!G101</f>
        <v>43599</v>
      </c>
      <c r="C101" s="4">
        <f>IF(Cleaned_Data!$J101&gt;0,Cleaned_Data!$J101,NA())</f>
        <v>300</v>
      </c>
      <c r="D101" s="4">
        <f>Cleaned_Data!$J101</f>
        <v>300</v>
      </c>
    </row>
    <row r="102" spans="1:4" x14ac:dyDescent="0.35">
      <c r="A102" s="4">
        <f t="shared" si="1"/>
        <v>100</v>
      </c>
      <c r="B102" s="13">
        <f>Cleaned_Data!G102</f>
        <v>44517</v>
      </c>
      <c r="C102" s="4">
        <f>IF(Cleaned_Data!$J102&gt;0,Cleaned_Data!$J102,NA())</f>
        <v>7</v>
      </c>
      <c r="D102" s="4">
        <f>Cleaned_Data!$J102</f>
        <v>7</v>
      </c>
    </row>
    <row r="103" spans="1:4" x14ac:dyDescent="0.35">
      <c r="A103" s="4">
        <f t="shared" si="1"/>
        <v>101</v>
      </c>
      <c r="B103" s="13">
        <f>Cleaned_Data!G103</f>
        <v>44340</v>
      </c>
      <c r="C103" s="4">
        <f>IF(Cleaned_Data!$J103&gt;0,Cleaned_Data!$J103,NA())</f>
        <v>14.3</v>
      </c>
      <c r="D103" s="4">
        <f>Cleaned_Data!$J103</f>
        <v>14.3</v>
      </c>
    </row>
    <row r="104" spans="1:4" x14ac:dyDescent="0.35">
      <c r="A104" s="4">
        <f t="shared" si="1"/>
        <v>102</v>
      </c>
      <c r="B104" s="13">
        <f>Cleaned_Data!G104</f>
        <v>45224</v>
      </c>
      <c r="C104" s="4">
        <f>IF(Cleaned_Data!$J104&gt;0,Cleaned_Data!$J104,NA())</f>
        <v>18.88</v>
      </c>
      <c r="D104" s="4">
        <f>Cleaned_Data!$J104</f>
        <v>18.88</v>
      </c>
    </row>
    <row r="105" spans="1:4" x14ac:dyDescent="0.35">
      <c r="A105" s="4">
        <f t="shared" si="1"/>
        <v>103</v>
      </c>
      <c r="B105" s="13">
        <f>Cleaned_Data!G105</f>
        <v>45933</v>
      </c>
      <c r="C105" s="4">
        <f>IF(Cleaned_Data!$J105&gt;0,Cleaned_Data!$J105,NA())</f>
        <v>54</v>
      </c>
      <c r="D105" s="4">
        <f>Cleaned_Data!$J105</f>
        <v>54</v>
      </c>
    </row>
    <row r="106" spans="1:4" x14ac:dyDescent="0.35">
      <c r="A106" s="4">
        <f t="shared" si="1"/>
        <v>104</v>
      </c>
      <c r="B106" s="13">
        <f>Cleaned_Data!G106</f>
        <v>44501</v>
      </c>
      <c r="C106" s="4">
        <f>IF(Cleaned_Data!$J106&gt;0,Cleaned_Data!$J106,NA())</f>
        <v>30</v>
      </c>
      <c r="D106" s="4">
        <f>Cleaned_Data!$J106</f>
        <v>30</v>
      </c>
    </row>
    <row r="107" spans="1:4" x14ac:dyDescent="0.35">
      <c r="A107" s="4">
        <f t="shared" si="1"/>
        <v>105</v>
      </c>
      <c r="B107" s="13">
        <f>Cleaned_Data!G107</f>
        <v>44985</v>
      </c>
      <c r="C107" s="4">
        <f>IF(Cleaned_Data!$J107&gt;0,Cleaned_Data!$J107,NA())</f>
        <v>90</v>
      </c>
      <c r="D107" s="4">
        <f>Cleaned_Data!$J107</f>
        <v>90</v>
      </c>
    </row>
    <row r="108" spans="1:4" x14ac:dyDescent="0.35">
      <c r="A108" s="4">
        <f t="shared" si="1"/>
        <v>106</v>
      </c>
      <c r="B108" s="13">
        <f>Cleaned_Data!G108</f>
        <v>43472</v>
      </c>
      <c r="C108" s="4">
        <f>IF(Cleaned_Data!$J108&gt;0,Cleaned_Data!$J108,NA())</f>
        <v>1.97</v>
      </c>
      <c r="D108" s="4">
        <f>Cleaned_Data!$J108</f>
        <v>1.97</v>
      </c>
    </row>
    <row r="109" spans="1:4" x14ac:dyDescent="0.35">
      <c r="A109" s="4">
        <f t="shared" si="1"/>
        <v>107</v>
      </c>
      <c r="B109" s="13">
        <f>Cleaned_Data!G109</f>
        <v>44561</v>
      </c>
      <c r="C109" s="4">
        <f>IF(Cleaned_Data!$J109&gt;0,Cleaned_Data!$J109,NA())</f>
        <v>4.3600000000000003</v>
      </c>
      <c r="D109" s="4">
        <f>Cleaned_Data!$J109</f>
        <v>4.3600000000000003</v>
      </c>
    </row>
    <row r="110" spans="1:4" x14ac:dyDescent="0.35">
      <c r="A110" s="4">
        <f t="shared" si="1"/>
        <v>108</v>
      </c>
      <c r="B110" s="13">
        <f>Cleaned_Data!G110</f>
        <v>45474</v>
      </c>
      <c r="C110" s="4">
        <f>IF(Cleaned_Data!$J110&gt;0,Cleaned_Data!$J110,NA())</f>
        <v>15</v>
      </c>
      <c r="D110" s="4">
        <f>Cleaned_Data!$J110</f>
        <v>15</v>
      </c>
    </row>
    <row r="111" spans="1:4" x14ac:dyDescent="0.35">
      <c r="A111" s="4">
        <f t="shared" si="1"/>
        <v>109</v>
      </c>
      <c r="B111" s="13">
        <f>Cleaned_Data!G111</f>
        <v>44547</v>
      </c>
      <c r="C111" s="4">
        <f>IF(Cleaned_Data!$J111&gt;0,Cleaned_Data!$J111,NA())</f>
        <v>8</v>
      </c>
      <c r="D111" s="4">
        <f>Cleaned_Data!$J111</f>
        <v>8</v>
      </c>
    </row>
    <row r="112" spans="1:4" x14ac:dyDescent="0.35">
      <c r="A112" s="4">
        <f t="shared" si="1"/>
        <v>110</v>
      </c>
      <c r="B112" s="13">
        <f>Cleaned_Data!G112</f>
        <v>43777</v>
      </c>
      <c r="C112" s="4">
        <f>IF(Cleaned_Data!$J112&gt;0,Cleaned_Data!$J112,NA())</f>
        <v>0.56999999999999995</v>
      </c>
      <c r="D112" s="4">
        <f>Cleaned_Data!$J112</f>
        <v>0.56999999999999995</v>
      </c>
    </row>
    <row r="113" spans="1:4" x14ac:dyDescent="0.35">
      <c r="A113" s="4">
        <f t="shared" si="1"/>
        <v>111</v>
      </c>
      <c r="B113" s="13">
        <f>Cleaned_Data!G113</f>
        <v>45113</v>
      </c>
      <c r="C113" s="4">
        <f>IF(Cleaned_Data!$J113&gt;0,Cleaned_Data!$J113,NA())</f>
        <v>3</v>
      </c>
      <c r="D113" s="4">
        <f>Cleaned_Data!$J113</f>
        <v>3</v>
      </c>
    </row>
    <row r="114" spans="1:4" x14ac:dyDescent="0.35">
      <c r="A114" s="4">
        <f t="shared" si="1"/>
        <v>112</v>
      </c>
      <c r="B114" s="13">
        <f>Cleaned_Data!G114</f>
        <v>45288</v>
      </c>
      <c r="C114" s="4">
        <f>IF(Cleaned_Data!$J114&gt;0,Cleaned_Data!$J114,NA())</f>
        <v>3</v>
      </c>
      <c r="D114" s="4">
        <f>Cleaned_Data!$J114</f>
        <v>3</v>
      </c>
    </row>
    <row r="115" spans="1:4" x14ac:dyDescent="0.35">
      <c r="A115" s="4">
        <f t="shared" si="1"/>
        <v>113</v>
      </c>
      <c r="B115" s="13">
        <f>Cleaned_Data!G115</f>
        <v>45597</v>
      </c>
      <c r="C115" s="4">
        <f>IF(Cleaned_Data!$J115&gt;0,Cleaned_Data!$J115,NA())</f>
        <v>0.91</v>
      </c>
      <c r="D115" s="4">
        <f>Cleaned_Data!$J115</f>
        <v>0.91</v>
      </c>
    </row>
    <row r="116" spans="1:4" x14ac:dyDescent="0.35">
      <c r="A116" s="4">
        <f t="shared" si="1"/>
        <v>114</v>
      </c>
      <c r="B116" s="13">
        <f>Cleaned_Data!G116</f>
        <v>44365</v>
      </c>
      <c r="C116" s="4" t="e">
        <f>IF(Cleaned_Data!$J116&gt;0,Cleaned_Data!$J116,NA())</f>
        <v>#N/A</v>
      </c>
      <c r="D116" s="4">
        <f>Cleaned_Data!$J116</f>
        <v>0</v>
      </c>
    </row>
    <row r="117" spans="1:4" x14ac:dyDescent="0.35">
      <c r="A117" s="4">
        <f t="shared" si="1"/>
        <v>115</v>
      </c>
      <c r="B117" s="13">
        <f>Cleaned_Data!G117</f>
        <v>42412</v>
      </c>
      <c r="C117" s="4">
        <f>IF(Cleaned_Data!$J117&gt;0,Cleaned_Data!$J117,NA())</f>
        <v>17.809999999999999</v>
      </c>
      <c r="D117" s="4">
        <f>Cleaned_Data!$J117</f>
        <v>17.809999999999999</v>
      </c>
    </row>
    <row r="118" spans="1:4" x14ac:dyDescent="0.35">
      <c r="A118" s="4">
        <f t="shared" si="1"/>
        <v>116</v>
      </c>
      <c r="B118" s="13">
        <f>Cleaned_Data!G118</f>
        <v>43220</v>
      </c>
      <c r="C118" s="4">
        <f>IF(Cleaned_Data!$J118&gt;0,Cleaned_Data!$J118,NA())</f>
        <v>1.24</v>
      </c>
      <c r="D118" s="4">
        <f>Cleaned_Data!$J118</f>
        <v>1.24</v>
      </c>
    </row>
    <row r="119" spans="1:4" x14ac:dyDescent="0.35">
      <c r="A119" s="4">
        <f t="shared" si="1"/>
        <v>117</v>
      </c>
      <c r="B119" s="13">
        <f>Cleaned_Data!G119</f>
        <v>45980</v>
      </c>
      <c r="C119" s="4">
        <f>IF(Cleaned_Data!$J119&gt;0,Cleaned_Data!$J119,NA())</f>
        <v>15.48</v>
      </c>
      <c r="D119" s="4">
        <f>Cleaned_Data!$J119</f>
        <v>15.48</v>
      </c>
    </row>
    <row r="120" spans="1:4" x14ac:dyDescent="0.35">
      <c r="A120" s="4">
        <f t="shared" si="1"/>
        <v>118</v>
      </c>
      <c r="B120" s="13">
        <f>Cleaned_Data!G120</f>
        <v>44705</v>
      </c>
      <c r="C120" s="4">
        <f>IF(Cleaned_Data!$J120&gt;0,Cleaned_Data!$J120,NA())</f>
        <v>4.16</v>
      </c>
      <c r="D120" s="4">
        <f>Cleaned_Data!$J120</f>
        <v>4.16</v>
      </c>
    </row>
    <row r="121" spans="1:4" x14ac:dyDescent="0.35">
      <c r="A121" s="4">
        <f t="shared" si="1"/>
        <v>119</v>
      </c>
      <c r="B121" s="13">
        <f>Cleaned_Data!G121</f>
        <v>45076</v>
      </c>
      <c r="C121" s="4">
        <f>IF(Cleaned_Data!$J121&gt;0,Cleaned_Data!$J121,NA())</f>
        <v>7</v>
      </c>
      <c r="D121" s="4">
        <f>Cleaned_Data!$J121</f>
        <v>7</v>
      </c>
    </row>
    <row r="122" spans="1:4" x14ac:dyDescent="0.35">
      <c r="A122" s="4">
        <f t="shared" si="1"/>
        <v>120</v>
      </c>
      <c r="B122" s="13">
        <f>Cleaned_Data!G122</f>
        <v>44524</v>
      </c>
      <c r="C122" s="4" t="e">
        <f>IF(Cleaned_Data!$J122&gt;0,Cleaned_Data!$J122,NA())</f>
        <v>#N/A</v>
      </c>
      <c r="D122" s="4">
        <f>Cleaned_Data!$J122</f>
        <v>0</v>
      </c>
    </row>
    <row r="123" spans="1:4" x14ac:dyDescent="0.35">
      <c r="A123" s="4">
        <f t="shared" si="1"/>
        <v>121</v>
      </c>
      <c r="B123" s="13">
        <f>Cleaned_Data!G123</f>
        <v>43084</v>
      </c>
      <c r="C123" s="4">
        <f>IF(Cleaned_Data!$J123&gt;0,Cleaned_Data!$J123,NA())</f>
        <v>0.8</v>
      </c>
      <c r="D123" s="4">
        <f>Cleaned_Data!$J123</f>
        <v>0.8</v>
      </c>
    </row>
    <row r="124" spans="1:4" x14ac:dyDescent="0.35">
      <c r="A124" s="4">
        <f t="shared" si="1"/>
        <v>122</v>
      </c>
      <c r="B124" s="13">
        <f>Cleaned_Data!G124</f>
        <v>43458</v>
      </c>
      <c r="C124" s="4">
        <f>IF(Cleaned_Data!$J124&gt;0,Cleaned_Data!$J124,NA())</f>
        <v>2.5</v>
      </c>
      <c r="D124" s="4">
        <f>Cleaned_Data!$J124</f>
        <v>2.5</v>
      </c>
    </row>
    <row r="125" spans="1:4" x14ac:dyDescent="0.35">
      <c r="A125" s="4">
        <f t="shared" si="1"/>
        <v>123</v>
      </c>
      <c r="B125" s="13">
        <f>Cleaned_Data!G125</f>
        <v>44501</v>
      </c>
      <c r="C125" s="4">
        <f>IF(Cleaned_Data!$J125&gt;0,Cleaned_Data!$J125,NA())</f>
        <v>3.25</v>
      </c>
      <c r="D125" s="4">
        <f>Cleaned_Data!$J125</f>
        <v>3.25</v>
      </c>
    </row>
    <row r="126" spans="1:4" x14ac:dyDescent="0.35">
      <c r="A126" s="4">
        <f t="shared" si="1"/>
        <v>124</v>
      </c>
      <c r="B126" s="13">
        <f>Cleaned_Data!G126</f>
        <v>44851</v>
      </c>
      <c r="C126" s="4" t="e">
        <f>IF(Cleaned_Data!$J126&gt;0,Cleaned_Data!$J126,NA())</f>
        <v>#N/A</v>
      </c>
      <c r="D126" s="4">
        <f>Cleaned_Data!$J126</f>
        <v>0</v>
      </c>
    </row>
    <row r="127" spans="1:4" x14ac:dyDescent="0.35">
      <c r="A127" s="4">
        <f t="shared" si="1"/>
        <v>125</v>
      </c>
      <c r="B127" s="13">
        <f>Cleaned_Data!G127</f>
        <v>43468</v>
      </c>
      <c r="C127" s="4">
        <f>IF(Cleaned_Data!$J127&gt;0,Cleaned_Data!$J127,NA())</f>
        <v>2</v>
      </c>
      <c r="D127" s="4">
        <f>Cleaned_Data!$J127</f>
        <v>2</v>
      </c>
    </row>
    <row r="128" spans="1:4" x14ac:dyDescent="0.35">
      <c r="A128" s="4">
        <f t="shared" si="1"/>
        <v>126</v>
      </c>
      <c r="B128" s="13">
        <f>Cleaned_Data!G128</f>
        <v>44865</v>
      </c>
      <c r="C128" s="4">
        <f>IF(Cleaned_Data!$J128&gt;0,Cleaned_Data!$J128,NA())</f>
        <v>4.18</v>
      </c>
      <c r="D128" s="4">
        <f>Cleaned_Data!$J128</f>
        <v>4.18</v>
      </c>
    </row>
    <row r="129" spans="1:4" x14ac:dyDescent="0.35">
      <c r="A129" s="4">
        <f t="shared" si="1"/>
        <v>127</v>
      </c>
      <c r="B129" s="13">
        <f>Cleaned_Data!G129</f>
        <v>45257</v>
      </c>
      <c r="C129" s="4">
        <f>IF(Cleaned_Data!$J129&gt;0,Cleaned_Data!$J129,NA())</f>
        <v>3.59</v>
      </c>
      <c r="D129" s="4">
        <f>Cleaned_Data!$J129</f>
        <v>3.59</v>
      </c>
    </row>
    <row r="130" spans="1:4" x14ac:dyDescent="0.35">
      <c r="A130" s="4">
        <f t="shared" si="1"/>
        <v>128</v>
      </c>
      <c r="B130" s="13">
        <f>Cleaned_Data!G130</f>
        <v>43819</v>
      </c>
      <c r="C130" s="4">
        <f>IF(Cleaned_Data!$J130&gt;0,Cleaned_Data!$J130,NA())</f>
        <v>5.56</v>
      </c>
      <c r="D130" s="4">
        <f>Cleaned_Data!$J130</f>
        <v>5.56</v>
      </c>
    </row>
    <row r="131" spans="1:4" x14ac:dyDescent="0.35">
      <c r="A131" s="4">
        <f t="shared" si="1"/>
        <v>129</v>
      </c>
      <c r="B131" s="13">
        <f>Cleaned_Data!G131</f>
        <v>44837</v>
      </c>
      <c r="C131" s="4">
        <f>IF(Cleaned_Data!$J131&gt;0,Cleaned_Data!$J131,NA())</f>
        <v>60</v>
      </c>
      <c r="D131" s="4">
        <f>Cleaned_Data!$J131</f>
        <v>60</v>
      </c>
    </row>
    <row r="132" spans="1:4" x14ac:dyDescent="0.35">
      <c r="A132" s="4">
        <f t="shared" si="1"/>
        <v>130</v>
      </c>
      <c r="B132" s="13">
        <f>Cleaned_Data!G132</f>
        <v>43488</v>
      </c>
      <c r="C132" s="4">
        <f>IF(Cleaned_Data!$J132&gt;0,Cleaned_Data!$J132,NA())</f>
        <v>15</v>
      </c>
      <c r="D132" s="4">
        <f>Cleaned_Data!$J132</f>
        <v>15</v>
      </c>
    </row>
    <row r="133" spans="1:4" x14ac:dyDescent="0.35">
      <c r="A133" s="4">
        <f t="shared" ref="A133:A196" si="2">A132+1</f>
        <v>131</v>
      </c>
      <c r="B133" s="13">
        <f>Cleaned_Data!G133</f>
        <v>44866</v>
      </c>
      <c r="C133" s="4" t="e">
        <f>IF(Cleaned_Data!$J133&gt;0,Cleaned_Data!$J133,NA())</f>
        <v>#N/A</v>
      </c>
      <c r="D133" s="4">
        <f>Cleaned_Data!$J133</f>
        <v>0</v>
      </c>
    </row>
    <row r="134" spans="1:4" x14ac:dyDescent="0.35">
      <c r="A134" s="4">
        <f t="shared" si="2"/>
        <v>132</v>
      </c>
      <c r="B134" s="13">
        <f>Cleaned_Data!G134</f>
        <v>43256</v>
      </c>
      <c r="C134" s="4">
        <f>IF(Cleaned_Data!$J134&gt;0,Cleaned_Data!$J134,NA())</f>
        <v>9.4</v>
      </c>
      <c r="D134" s="4">
        <f>Cleaned_Data!$J134</f>
        <v>9.4</v>
      </c>
    </row>
    <row r="135" spans="1:4" x14ac:dyDescent="0.35">
      <c r="A135" s="4">
        <f t="shared" si="2"/>
        <v>133</v>
      </c>
      <c r="B135" s="13">
        <f>Cleaned_Data!G135</f>
        <v>44455</v>
      </c>
      <c r="C135" s="4">
        <f>IF(Cleaned_Data!$J135&gt;0,Cleaned_Data!$J135,NA())</f>
        <v>2.96</v>
      </c>
      <c r="D135" s="4">
        <f>Cleaned_Data!$J135</f>
        <v>2.96</v>
      </c>
    </row>
    <row r="136" spans="1:4" x14ac:dyDescent="0.35">
      <c r="A136" s="4">
        <f t="shared" si="2"/>
        <v>134</v>
      </c>
      <c r="B136" s="13">
        <f>Cleaned_Data!G136</f>
        <v>45944</v>
      </c>
      <c r="C136" s="4">
        <f>IF(Cleaned_Data!$J136&gt;0,Cleaned_Data!$J136,NA())</f>
        <v>22.95</v>
      </c>
      <c r="D136" s="4">
        <f>Cleaned_Data!$J136</f>
        <v>22.95</v>
      </c>
    </row>
    <row r="137" spans="1:4" x14ac:dyDescent="0.35">
      <c r="A137" s="4">
        <f t="shared" si="2"/>
        <v>135</v>
      </c>
      <c r="B137" s="13">
        <f>Cleaned_Data!G137</f>
        <v>44315</v>
      </c>
      <c r="C137" s="4">
        <f>IF(Cleaned_Data!$J137&gt;0,Cleaned_Data!$J137,NA())</f>
        <v>0.1</v>
      </c>
      <c r="D137" s="4">
        <f>Cleaned_Data!$J137</f>
        <v>0.1</v>
      </c>
    </row>
    <row r="138" spans="1:4" x14ac:dyDescent="0.35">
      <c r="A138" s="4">
        <f t="shared" si="2"/>
        <v>136</v>
      </c>
      <c r="B138" s="13">
        <f>Cleaned_Data!G138</f>
        <v>45814</v>
      </c>
      <c r="C138" s="4">
        <f>IF(Cleaned_Data!$J138&gt;0,Cleaned_Data!$J138,NA())</f>
        <v>15.6</v>
      </c>
      <c r="D138" s="4">
        <f>Cleaned_Data!$J138</f>
        <v>15.6</v>
      </c>
    </row>
    <row r="139" spans="1:4" x14ac:dyDescent="0.35">
      <c r="A139" s="4">
        <f t="shared" si="2"/>
        <v>137</v>
      </c>
      <c r="B139" s="13">
        <f>Cleaned_Data!G139</f>
        <v>44621</v>
      </c>
      <c r="C139" s="4">
        <f>IF(Cleaned_Data!$J139&gt;0,Cleaned_Data!$J139,NA())</f>
        <v>100</v>
      </c>
      <c r="D139" s="4">
        <f>Cleaned_Data!$J139</f>
        <v>100</v>
      </c>
    </row>
    <row r="140" spans="1:4" x14ac:dyDescent="0.35">
      <c r="A140" s="4">
        <f t="shared" si="2"/>
        <v>138</v>
      </c>
      <c r="B140" s="13">
        <f>Cleaned_Data!G140</f>
        <v>45078</v>
      </c>
      <c r="C140" s="4" t="e">
        <f>IF(Cleaned_Data!$J140&gt;0,Cleaned_Data!$J140,NA())</f>
        <v>#N/A</v>
      </c>
      <c r="D140" s="4">
        <f>Cleaned_Data!$J140</f>
        <v>0</v>
      </c>
    </row>
    <row r="141" spans="1:4" x14ac:dyDescent="0.35">
      <c r="A141" s="4">
        <f t="shared" si="2"/>
        <v>139</v>
      </c>
      <c r="B141" s="13">
        <f>Cleaned_Data!G141</f>
        <v>44112</v>
      </c>
      <c r="C141" s="4">
        <f>IF(Cleaned_Data!$J141&gt;0,Cleaned_Data!$J141,NA())</f>
        <v>30</v>
      </c>
      <c r="D141" s="4">
        <f>Cleaned_Data!$J141</f>
        <v>30</v>
      </c>
    </row>
    <row r="142" spans="1:4" x14ac:dyDescent="0.35">
      <c r="A142" s="4">
        <f t="shared" si="2"/>
        <v>140</v>
      </c>
      <c r="B142" s="13">
        <f>Cleaned_Data!G142</f>
        <v>45013</v>
      </c>
      <c r="C142" s="4">
        <f>IF(Cleaned_Data!$J142&gt;0,Cleaned_Data!$J142,NA())</f>
        <v>32.799999999999997</v>
      </c>
      <c r="D142" s="4">
        <f>Cleaned_Data!$J142</f>
        <v>32.799999999999997</v>
      </c>
    </row>
    <row r="143" spans="1:4" x14ac:dyDescent="0.35">
      <c r="A143" s="4">
        <f t="shared" si="2"/>
        <v>141</v>
      </c>
      <c r="B143" s="13">
        <f>Cleaned_Data!G143</f>
        <v>44544</v>
      </c>
      <c r="C143" s="4">
        <f>IF(Cleaned_Data!$J143&gt;0,Cleaned_Data!$J143,NA())</f>
        <v>20</v>
      </c>
      <c r="D143" s="4">
        <f>Cleaned_Data!$J143</f>
        <v>20</v>
      </c>
    </row>
    <row r="144" spans="1:4" x14ac:dyDescent="0.35">
      <c r="A144" s="4">
        <f t="shared" si="2"/>
        <v>142</v>
      </c>
      <c r="B144" s="13">
        <f>Cleaned_Data!G144</f>
        <v>44778</v>
      </c>
      <c r="C144" s="4">
        <f>IF(Cleaned_Data!$J144&gt;0,Cleaned_Data!$J144,NA())</f>
        <v>250</v>
      </c>
      <c r="D144" s="4">
        <f>Cleaned_Data!$J144</f>
        <v>250</v>
      </c>
    </row>
    <row r="145" spans="1:4" x14ac:dyDescent="0.35">
      <c r="A145" s="4">
        <f t="shared" si="2"/>
        <v>143</v>
      </c>
      <c r="B145" s="13">
        <f>Cleaned_Data!G145</f>
        <v>44622</v>
      </c>
      <c r="C145" s="4">
        <f>IF(Cleaned_Data!$J145&gt;0,Cleaned_Data!$J145,NA())</f>
        <v>52.35</v>
      </c>
      <c r="D145" s="4">
        <f>Cleaned_Data!$J145</f>
        <v>52.35</v>
      </c>
    </row>
    <row r="146" spans="1:4" x14ac:dyDescent="0.35">
      <c r="A146" s="4">
        <f t="shared" si="2"/>
        <v>144</v>
      </c>
      <c r="B146" s="13">
        <f>Cleaned_Data!G146</f>
        <v>45377</v>
      </c>
      <c r="C146" s="4">
        <f>IF(Cleaned_Data!$J146&gt;0,Cleaned_Data!$J146,NA())</f>
        <v>5.2</v>
      </c>
      <c r="D146" s="4">
        <f>Cleaned_Data!$J146</f>
        <v>5.2</v>
      </c>
    </row>
    <row r="147" spans="1:4" x14ac:dyDescent="0.35">
      <c r="A147" s="4">
        <f t="shared" si="2"/>
        <v>145</v>
      </c>
      <c r="B147" s="13">
        <f>Cleaned_Data!G147</f>
        <v>45302</v>
      </c>
      <c r="C147" s="4" t="e">
        <f>IF(Cleaned_Data!$J147&gt;0,Cleaned_Data!$J147,NA())</f>
        <v>#N/A</v>
      </c>
      <c r="D147" s="4">
        <f>Cleaned_Data!$J147</f>
        <v>0</v>
      </c>
    </row>
    <row r="148" spans="1:4" x14ac:dyDescent="0.35">
      <c r="A148" s="4">
        <f t="shared" si="2"/>
        <v>146</v>
      </c>
      <c r="B148" s="13">
        <f>Cleaned_Data!G148</f>
        <v>44756</v>
      </c>
      <c r="C148" s="4">
        <f>IF(Cleaned_Data!$J148&gt;0,Cleaned_Data!$J148,NA())</f>
        <v>0.8</v>
      </c>
      <c r="D148" s="4">
        <f>Cleaned_Data!$J148</f>
        <v>0.8</v>
      </c>
    </row>
    <row r="149" spans="1:4" x14ac:dyDescent="0.35">
      <c r="A149" s="4">
        <f t="shared" si="2"/>
        <v>147</v>
      </c>
      <c r="B149" s="13">
        <f>Cleaned_Data!G149</f>
        <v>45077</v>
      </c>
      <c r="C149" s="4">
        <f>IF(Cleaned_Data!$J149&gt;0,Cleaned_Data!$J149,NA())</f>
        <v>15.25</v>
      </c>
      <c r="D149" s="4">
        <f>Cleaned_Data!$J149</f>
        <v>15.25</v>
      </c>
    </row>
    <row r="150" spans="1:4" x14ac:dyDescent="0.35">
      <c r="A150" s="4">
        <f t="shared" si="2"/>
        <v>148</v>
      </c>
      <c r="B150" s="13">
        <f>Cleaned_Data!G150</f>
        <v>43371</v>
      </c>
      <c r="C150" s="4">
        <f>IF(Cleaned_Data!$J150&gt;0,Cleaned_Data!$J150,NA())</f>
        <v>34.5</v>
      </c>
      <c r="D150" s="4">
        <f>Cleaned_Data!$J150</f>
        <v>34.5</v>
      </c>
    </row>
    <row r="151" spans="1:4" x14ac:dyDescent="0.35">
      <c r="A151" s="4">
        <f t="shared" si="2"/>
        <v>149</v>
      </c>
      <c r="B151" s="13">
        <f>Cleaned_Data!G151</f>
        <v>44321</v>
      </c>
      <c r="C151" s="4" t="e">
        <f>IF(Cleaned_Data!$J151&gt;0,Cleaned_Data!$J151,NA())</f>
        <v>#N/A</v>
      </c>
      <c r="D151" s="4">
        <f>Cleaned_Data!$J151</f>
        <v>0</v>
      </c>
    </row>
    <row r="152" spans="1:4" x14ac:dyDescent="0.35">
      <c r="A152" s="4">
        <f t="shared" si="2"/>
        <v>150</v>
      </c>
      <c r="B152" s="13">
        <f>Cleaned_Data!G152</f>
        <v>43916</v>
      </c>
      <c r="C152" s="4">
        <f>IF(Cleaned_Data!$J152&gt;0,Cleaned_Data!$J152,NA())</f>
        <v>41.59</v>
      </c>
      <c r="D152" s="4">
        <f>Cleaned_Data!$J152</f>
        <v>41.59</v>
      </c>
    </row>
    <row r="153" spans="1:4" x14ac:dyDescent="0.35">
      <c r="A153" s="4">
        <f t="shared" si="2"/>
        <v>151</v>
      </c>
      <c r="B153" s="13">
        <f>Cleaned_Data!G153</f>
        <v>44398</v>
      </c>
      <c r="C153" s="4">
        <f>IF(Cleaned_Data!$J153&gt;0,Cleaned_Data!$J153,NA())</f>
        <v>20</v>
      </c>
      <c r="D153" s="4">
        <f>Cleaned_Data!$J153</f>
        <v>20</v>
      </c>
    </row>
    <row r="154" spans="1:4" x14ac:dyDescent="0.35">
      <c r="A154" s="4">
        <f t="shared" si="2"/>
        <v>152</v>
      </c>
      <c r="B154" s="13">
        <f>Cleaned_Data!G154</f>
        <v>42880</v>
      </c>
      <c r="C154" s="4">
        <f>IF(Cleaned_Data!$J154&gt;0,Cleaned_Data!$J154,NA())</f>
        <v>5</v>
      </c>
      <c r="D154" s="4">
        <f>Cleaned_Data!$J154</f>
        <v>5</v>
      </c>
    </row>
    <row r="155" spans="1:4" x14ac:dyDescent="0.35">
      <c r="A155" s="4">
        <f t="shared" si="2"/>
        <v>153</v>
      </c>
      <c r="B155" s="13">
        <f>Cleaned_Data!G155</f>
        <v>45042</v>
      </c>
      <c r="C155" s="4">
        <f>IF(Cleaned_Data!$J155&gt;0,Cleaned_Data!$J155,NA())</f>
        <v>28</v>
      </c>
      <c r="D155" s="4">
        <f>Cleaned_Data!$J155</f>
        <v>28</v>
      </c>
    </row>
    <row r="156" spans="1:4" x14ac:dyDescent="0.35">
      <c r="A156" s="4">
        <f t="shared" si="2"/>
        <v>154</v>
      </c>
      <c r="B156" s="13">
        <f>Cleaned_Data!G156</f>
        <v>44988</v>
      </c>
      <c r="C156" s="4">
        <f>IF(Cleaned_Data!$J156&gt;0,Cleaned_Data!$J156,NA())</f>
        <v>2.4500000000000002</v>
      </c>
      <c r="D156" s="4">
        <f>Cleaned_Data!$J156</f>
        <v>2.4500000000000002</v>
      </c>
    </row>
    <row r="157" spans="1:4" x14ac:dyDescent="0.35">
      <c r="A157" s="4">
        <f t="shared" si="2"/>
        <v>155</v>
      </c>
      <c r="B157" s="13">
        <f>Cleaned_Data!G157</f>
        <v>45786</v>
      </c>
      <c r="C157" s="4">
        <f>IF(Cleaned_Data!$J157&gt;0,Cleaned_Data!$J157,NA())</f>
        <v>20</v>
      </c>
      <c r="D157" s="4">
        <f>Cleaned_Data!$J157</f>
        <v>20</v>
      </c>
    </row>
    <row r="158" spans="1:4" x14ac:dyDescent="0.35">
      <c r="A158" s="4">
        <f t="shared" si="2"/>
        <v>156</v>
      </c>
      <c r="B158" s="13">
        <f>Cleaned_Data!G158</f>
        <v>44586</v>
      </c>
      <c r="C158" s="4" t="e">
        <f>IF(Cleaned_Data!$J158&gt;0,Cleaned_Data!$J158,NA())</f>
        <v>#N/A</v>
      </c>
      <c r="D158" s="4">
        <f>Cleaned_Data!$J158</f>
        <v>0</v>
      </c>
    </row>
    <row r="159" spans="1:4" x14ac:dyDescent="0.35">
      <c r="A159" s="4">
        <f t="shared" si="2"/>
        <v>157</v>
      </c>
      <c r="B159" s="13">
        <f>Cleaned_Data!G159</f>
        <v>43455</v>
      </c>
      <c r="C159" s="4">
        <f>IF(Cleaned_Data!$J159&gt;0,Cleaned_Data!$J159,NA())</f>
        <v>1.7</v>
      </c>
      <c r="D159" s="4">
        <f>Cleaned_Data!$J159</f>
        <v>1.7</v>
      </c>
    </row>
    <row r="160" spans="1:4" x14ac:dyDescent="0.35">
      <c r="A160" s="4">
        <f t="shared" si="2"/>
        <v>158</v>
      </c>
      <c r="B160" s="13">
        <f>Cleaned_Data!G160</f>
        <v>44922</v>
      </c>
      <c r="C160" s="4">
        <f>IF(Cleaned_Data!$J160&gt;0,Cleaned_Data!$J160,NA())</f>
        <v>7.65</v>
      </c>
      <c r="D160" s="4">
        <f>Cleaned_Data!$J160</f>
        <v>7.65</v>
      </c>
    </row>
    <row r="161" spans="1:4" x14ac:dyDescent="0.35">
      <c r="A161" s="4">
        <f t="shared" si="2"/>
        <v>159</v>
      </c>
      <c r="B161" s="13">
        <f>Cleaned_Data!G161</f>
        <v>45559</v>
      </c>
      <c r="C161" s="4">
        <f>IF(Cleaned_Data!$J161&gt;0,Cleaned_Data!$J161,NA())</f>
        <v>7</v>
      </c>
      <c r="D161" s="4">
        <f>Cleaned_Data!$J161</f>
        <v>7</v>
      </c>
    </row>
    <row r="162" spans="1:4" x14ac:dyDescent="0.35">
      <c r="A162" s="4">
        <f t="shared" si="2"/>
        <v>160</v>
      </c>
      <c r="B162" s="13">
        <f>Cleaned_Data!G162</f>
        <v>44835</v>
      </c>
      <c r="C162" s="4">
        <f>IF(Cleaned_Data!$J162&gt;0,Cleaned_Data!$J162,NA())</f>
        <v>4.5</v>
      </c>
      <c r="D162" s="4">
        <f>Cleaned_Data!$J162</f>
        <v>4.5</v>
      </c>
    </row>
    <row r="163" spans="1:4" x14ac:dyDescent="0.35">
      <c r="A163" s="4">
        <f t="shared" si="2"/>
        <v>161</v>
      </c>
      <c r="B163" s="13">
        <f>Cleaned_Data!G163</f>
        <v>44866</v>
      </c>
      <c r="C163" s="4">
        <f>IF(Cleaned_Data!$J163&gt;0,Cleaned_Data!$J163,NA())</f>
        <v>7</v>
      </c>
      <c r="D163" s="4">
        <f>Cleaned_Data!$J163</f>
        <v>7</v>
      </c>
    </row>
    <row r="164" spans="1:4" x14ac:dyDescent="0.35">
      <c r="A164" s="4">
        <f t="shared" si="2"/>
        <v>162</v>
      </c>
      <c r="B164" s="13">
        <f>Cleaned_Data!G164</f>
        <v>44562</v>
      </c>
      <c r="C164" s="4">
        <f>IF(Cleaned_Data!$J164&gt;0,Cleaned_Data!$J164,NA())</f>
        <v>0.1</v>
      </c>
      <c r="D164" s="4">
        <f>Cleaned_Data!$J164</f>
        <v>0.1</v>
      </c>
    </row>
    <row r="165" spans="1:4" x14ac:dyDescent="0.35">
      <c r="A165" s="4">
        <f t="shared" si="2"/>
        <v>163</v>
      </c>
      <c r="B165" s="13">
        <f>Cleaned_Data!G165</f>
        <v>43776</v>
      </c>
      <c r="C165" s="4">
        <f>IF(Cleaned_Data!$J165&gt;0,Cleaned_Data!$J165,NA())</f>
        <v>7.46</v>
      </c>
      <c r="D165" s="4">
        <f>Cleaned_Data!$J165</f>
        <v>7.46</v>
      </c>
    </row>
    <row r="166" spans="1:4" x14ac:dyDescent="0.35">
      <c r="A166" s="4">
        <f t="shared" si="2"/>
        <v>164</v>
      </c>
      <c r="B166" s="13">
        <f>Cleaned_Data!G166</f>
        <v>44424</v>
      </c>
      <c r="C166" s="4">
        <f>IF(Cleaned_Data!$J166&gt;0,Cleaned_Data!$J166,NA())</f>
        <v>25</v>
      </c>
      <c r="D166" s="4">
        <f>Cleaned_Data!$J166</f>
        <v>25</v>
      </c>
    </row>
    <row r="167" spans="1:4" x14ac:dyDescent="0.35">
      <c r="A167" s="4">
        <f t="shared" si="2"/>
        <v>165</v>
      </c>
      <c r="B167" s="13">
        <f>Cleaned_Data!G167</f>
        <v>44624</v>
      </c>
      <c r="C167" s="4">
        <f>IF(Cleaned_Data!$J167&gt;0,Cleaned_Data!$J167,NA())</f>
        <v>1</v>
      </c>
      <c r="D167" s="4">
        <f>Cleaned_Data!$J167</f>
        <v>1</v>
      </c>
    </row>
    <row r="168" spans="1:4" x14ac:dyDescent="0.35">
      <c r="A168" s="4">
        <f t="shared" si="2"/>
        <v>166</v>
      </c>
      <c r="B168" s="13">
        <f>Cleaned_Data!G168</f>
        <v>44057</v>
      </c>
      <c r="C168" s="4">
        <f>IF(Cleaned_Data!$J168&gt;0,Cleaned_Data!$J168,NA())</f>
        <v>2.8</v>
      </c>
      <c r="D168" s="4">
        <f>Cleaned_Data!$J168</f>
        <v>2.8</v>
      </c>
    </row>
    <row r="169" spans="1:4" x14ac:dyDescent="0.35">
      <c r="A169" s="4">
        <f t="shared" si="2"/>
        <v>167</v>
      </c>
      <c r="B169" s="13">
        <f>Cleaned_Data!G169</f>
        <v>45748</v>
      </c>
      <c r="C169" s="4">
        <f>IF(Cleaned_Data!$J169&gt;0,Cleaned_Data!$J169,NA())</f>
        <v>7</v>
      </c>
      <c r="D169" s="4">
        <f>Cleaned_Data!$J169</f>
        <v>7</v>
      </c>
    </row>
    <row r="170" spans="1:4" x14ac:dyDescent="0.35">
      <c r="A170" s="4">
        <f t="shared" si="2"/>
        <v>168</v>
      </c>
      <c r="B170" s="13">
        <f>Cleaned_Data!G170</f>
        <v>44075</v>
      </c>
      <c r="C170" s="4">
        <f>IF(Cleaned_Data!$J170&gt;0,Cleaned_Data!$J170,NA())</f>
        <v>12</v>
      </c>
      <c r="D170" s="4">
        <f>Cleaned_Data!$J170</f>
        <v>12</v>
      </c>
    </row>
    <row r="171" spans="1:4" x14ac:dyDescent="0.35">
      <c r="A171" s="4">
        <f t="shared" si="2"/>
        <v>169</v>
      </c>
      <c r="B171" s="13">
        <f>Cleaned_Data!G171</f>
        <v>45747</v>
      </c>
      <c r="C171" s="4" t="e">
        <f>IF(Cleaned_Data!$J171&gt;0,Cleaned_Data!$J171,NA())</f>
        <v>#N/A</v>
      </c>
      <c r="D171" s="4">
        <f>Cleaned_Data!$J171</f>
        <v>0</v>
      </c>
    </row>
    <row r="172" spans="1:4" x14ac:dyDescent="0.35">
      <c r="A172" s="4">
        <f t="shared" si="2"/>
        <v>170</v>
      </c>
      <c r="B172" s="13">
        <f>Cleaned_Data!G172</f>
        <v>44250</v>
      </c>
      <c r="C172" s="4">
        <f>IF(Cleaned_Data!$J172&gt;0,Cleaned_Data!$J172,NA())</f>
        <v>6</v>
      </c>
      <c r="D172" s="4">
        <f>Cleaned_Data!$J172</f>
        <v>6</v>
      </c>
    </row>
    <row r="173" spans="1:4" x14ac:dyDescent="0.35">
      <c r="A173" s="4">
        <f t="shared" si="2"/>
        <v>171</v>
      </c>
      <c r="B173" s="13">
        <f>Cleaned_Data!G173</f>
        <v>44740</v>
      </c>
      <c r="C173" s="4">
        <f>IF(Cleaned_Data!$J173&gt;0,Cleaned_Data!$J173,NA())</f>
        <v>0.02</v>
      </c>
      <c r="D173" s="4">
        <f>Cleaned_Data!$J173</f>
        <v>0.02</v>
      </c>
    </row>
    <row r="174" spans="1:4" x14ac:dyDescent="0.35">
      <c r="A174" s="4">
        <f t="shared" si="2"/>
        <v>172</v>
      </c>
      <c r="B174" s="13">
        <f>Cleaned_Data!G174</f>
        <v>43158</v>
      </c>
      <c r="C174" s="4">
        <f>IF(Cleaned_Data!$J174&gt;0,Cleaned_Data!$J174,NA())</f>
        <v>20.5</v>
      </c>
      <c r="D174" s="4">
        <f>Cleaned_Data!$J174</f>
        <v>20.5</v>
      </c>
    </row>
    <row r="175" spans="1:4" x14ac:dyDescent="0.35">
      <c r="A175" s="4">
        <f t="shared" si="2"/>
        <v>173</v>
      </c>
      <c r="B175" s="13">
        <f>Cleaned_Data!G175</f>
        <v>42415</v>
      </c>
      <c r="C175" s="4">
        <f>IF(Cleaned_Data!$J175&gt;0,Cleaned_Data!$J175,NA())</f>
        <v>4.2</v>
      </c>
      <c r="D175" s="4">
        <f>Cleaned_Data!$J175</f>
        <v>4.2</v>
      </c>
    </row>
    <row r="176" spans="1:4" x14ac:dyDescent="0.35">
      <c r="A176" s="4">
        <f t="shared" si="2"/>
        <v>174</v>
      </c>
      <c r="B176" s="13">
        <f>Cleaned_Data!G176</f>
        <v>43487</v>
      </c>
      <c r="C176" s="4" t="e">
        <f>IF(Cleaned_Data!$J176&gt;0,Cleaned_Data!$J176,NA())</f>
        <v>#N/A</v>
      </c>
      <c r="D176" s="4">
        <f>Cleaned_Data!$J176</f>
        <v>0</v>
      </c>
    </row>
    <row r="177" spans="1:4" x14ac:dyDescent="0.35">
      <c r="A177" s="4">
        <f t="shared" si="2"/>
        <v>175</v>
      </c>
      <c r="B177" s="13">
        <f>Cleaned_Data!G177</f>
        <v>43845</v>
      </c>
      <c r="C177" s="4" t="e">
        <f>IF(Cleaned_Data!$J177&gt;0,Cleaned_Data!$J177,NA())</f>
        <v>#N/A</v>
      </c>
      <c r="D177" s="4">
        <f>Cleaned_Data!$J177</f>
        <v>0</v>
      </c>
    </row>
    <row r="178" spans="1:4" x14ac:dyDescent="0.35">
      <c r="A178" s="4">
        <f t="shared" si="2"/>
        <v>176</v>
      </c>
      <c r="B178" s="13">
        <f>Cleaned_Data!G178</f>
        <v>44987</v>
      </c>
      <c r="C178" s="4">
        <f>IF(Cleaned_Data!$J178&gt;0,Cleaned_Data!$J178,NA())</f>
        <v>4.5</v>
      </c>
      <c r="D178" s="4">
        <f>Cleaned_Data!$J178</f>
        <v>4.5</v>
      </c>
    </row>
    <row r="179" spans="1:4" x14ac:dyDescent="0.35">
      <c r="A179" s="4">
        <f t="shared" si="2"/>
        <v>177</v>
      </c>
      <c r="B179" s="13">
        <f>Cleaned_Data!G179</f>
        <v>44986</v>
      </c>
      <c r="C179" s="4">
        <f>IF(Cleaned_Data!$J179&gt;0,Cleaned_Data!$J179,NA())</f>
        <v>2</v>
      </c>
      <c r="D179" s="4">
        <f>Cleaned_Data!$J179</f>
        <v>2</v>
      </c>
    </row>
    <row r="180" spans="1:4" x14ac:dyDescent="0.35">
      <c r="A180" s="4">
        <f t="shared" si="2"/>
        <v>178</v>
      </c>
      <c r="B180" s="13">
        <f>Cleaned_Data!G180</f>
        <v>45178</v>
      </c>
      <c r="C180" s="4">
        <f>IF(Cleaned_Data!$J180&gt;0,Cleaned_Data!$J180,NA())</f>
        <v>14.65</v>
      </c>
      <c r="D180" s="4">
        <f>Cleaned_Data!$J180</f>
        <v>14.65</v>
      </c>
    </row>
    <row r="181" spans="1:4" x14ac:dyDescent="0.35">
      <c r="A181" s="4">
        <f t="shared" si="2"/>
        <v>179</v>
      </c>
      <c r="B181" s="13">
        <f>Cleaned_Data!G181</f>
        <v>44734</v>
      </c>
      <c r="C181" s="4">
        <f>IF(Cleaned_Data!$J181&gt;0,Cleaned_Data!$J181,NA())</f>
        <v>3.8</v>
      </c>
      <c r="D181" s="4">
        <f>Cleaned_Data!$J181</f>
        <v>3.8</v>
      </c>
    </row>
    <row r="182" spans="1:4" x14ac:dyDescent="0.35">
      <c r="A182" s="4">
        <f t="shared" si="2"/>
        <v>180</v>
      </c>
      <c r="B182" s="13">
        <f>Cleaned_Data!G182</f>
        <v>45425</v>
      </c>
      <c r="C182" s="4">
        <f>IF(Cleaned_Data!$J182&gt;0,Cleaned_Data!$J182,NA())</f>
        <v>34.299999999999997</v>
      </c>
      <c r="D182" s="4">
        <f>Cleaned_Data!$J182</f>
        <v>34.299999999999997</v>
      </c>
    </row>
    <row r="183" spans="1:4" x14ac:dyDescent="0.35">
      <c r="A183" s="4">
        <f t="shared" si="2"/>
        <v>181</v>
      </c>
      <c r="B183" s="13">
        <f>Cleaned_Data!G183</f>
        <v>44044</v>
      </c>
      <c r="C183" s="4">
        <f>IF(Cleaned_Data!$J183&gt;0,Cleaned_Data!$J183,NA())</f>
        <v>20</v>
      </c>
      <c r="D183" s="4">
        <f>Cleaned_Data!$J183</f>
        <v>20</v>
      </c>
    </row>
    <row r="184" spans="1:4" x14ac:dyDescent="0.35">
      <c r="A184" s="4">
        <f t="shared" si="2"/>
        <v>182</v>
      </c>
      <c r="B184" s="13">
        <f>Cleaned_Data!G184</f>
        <v>44380</v>
      </c>
      <c r="C184" s="4">
        <f>IF(Cleaned_Data!$J184&gt;0,Cleaned_Data!$J184,NA())</f>
        <v>2.23</v>
      </c>
      <c r="D184" s="4">
        <f>Cleaned_Data!$J184</f>
        <v>2.23</v>
      </c>
    </row>
    <row r="185" spans="1:4" x14ac:dyDescent="0.35">
      <c r="A185" s="4">
        <f t="shared" si="2"/>
        <v>183</v>
      </c>
      <c r="B185" s="13">
        <f>Cleaned_Data!G185</f>
        <v>45363</v>
      </c>
      <c r="C185" s="4">
        <f>IF(Cleaned_Data!$J185&gt;0,Cleaned_Data!$J185,NA())</f>
        <v>21</v>
      </c>
      <c r="D185" s="4">
        <f>Cleaned_Data!$J185</f>
        <v>21</v>
      </c>
    </row>
    <row r="186" spans="1:4" x14ac:dyDescent="0.35">
      <c r="A186" s="4">
        <f t="shared" si="2"/>
        <v>184</v>
      </c>
      <c r="B186" s="13">
        <f>Cleaned_Data!G186</f>
        <v>44317</v>
      </c>
      <c r="C186" s="4" t="e">
        <f>IF(Cleaned_Data!$J186&gt;0,Cleaned_Data!$J186,NA())</f>
        <v>#N/A</v>
      </c>
      <c r="D186" s="4">
        <f>Cleaned_Data!$J186</f>
        <v>0</v>
      </c>
    </row>
    <row r="187" spans="1:4" x14ac:dyDescent="0.35">
      <c r="A187" s="4">
        <f t="shared" si="2"/>
        <v>185</v>
      </c>
      <c r="B187" s="13">
        <f>Cleaned_Data!G187</f>
        <v>45693</v>
      </c>
      <c r="C187" s="4">
        <f>IF(Cleaned_Data!$J187&gt;0,Cleaned_Data!$J187,NA())</f>
        <v>16.63</v>
      </c>
      <c r="D187" s="4">
        <f>Cleaned_Data!$J187</f>
        <v>16.63</v>
      </c>
    </row>
    <row r="188" spans="1:4" x14ac:dyDescent="0.35">
      <c r="A188" s="4">
        <f t="shared" si="2"/>
        <v>186</v>
      </c>
      <c r="B188" s="13">
        <f>Cleaned_Data!G188</f>
        <v>41802</v>
      </c>
      <c r="C188" s="4">
        <f>IF(Cleaned_Data!$J188&gt;0,Cleaned_Data!$J188,NA())</f>
        <v>25.32</v>
      </c>
      <c r="D188" s="4">
        <f>Cleaned_Data!$J188</f>
        <v>25.32</v>
      </c>
    </row>
    <row r="189" spans="1:4" x14ac:dyDescent="0.35">
      <c r="A189" s="4">
        <f t="shared" si="2"/>
        <v>187</v>
      </c>
      <c r="B189" s="13">
        <f>Cleaned_Data!G189</f>
        <v>44348</v>
      </c>
      <c r="C189" s="4" t="e">
        <f>IF(Cleaned_Data!$J189&gt;0,Cleaned_Data!$J189,NA())</f>
        <v>#N/A</v>
      </c>
      <c r="D189" s="4">
        <f>Cleaned_Data!$J189</f>
        <v>0</v>
      </c>
    </row>
    <row r="190" spans="1:4" x14ac:dyDescent="0.35">
      <c r="A190" s="4">
        <f t="shared" si="2"/>
        <v>188</v>
      </c>
      <c r="B190" s="13">
        <f>Cleaned_Data!G190</f>
        <v>44420</v>
      </c>
      <c r="C190" s="4">
        <f>IF(Cleaned_Data!$J190&gt;0,Cleaned_Data!$J190,NA())</f>
        <v>20</v>
      </c>
      <c r="D190" s="4">
        <f>Cleaned_Data!$J190</f>
        <v>20</v>
      </c>
    </row>
    <row r="191" spans="1:4" x14ac:dyDescent="0.35">
      <c r="A191" s="4">
        <f t="shared" si="2"/>
        <v>189</v>
      </c>
      <c r="B191" s="13">
        <f>Cleaned_Data!G191</f>
        <v>44634</v>
      </c>
      <c r="C191" s="4" t="e">
        <f>IF(Cleaned_Data!$J191&gt;0,Cleaned_Data!$J191,NA())</f>
        <v>#N/A</v>
      </c>
      <c r="D191" s="4">
        <f>Cleaned_Data!$J191</f>
        <v>0</v>
      </c>
    </row>
    <row r="192" spans="1:4" x14ac:dyDescent="0.35">
      <c r="A192" s="4">
        <f t="shared" si="2"/>
        <v>190</v>
      </c>
      <c r="B192" s="13">
        <f>Cleaned_Data!G192</f>
        <v>45132</v>
      </c>
      <c r="C192" s="4" t="e">
        <f>IF(Cleaned_Data!$J192&gt;0,Cleaned_Data!$J192,NA())</f>
        <v>#N/A</v>
      </c>
      <c r="D192" s="4">
        <f>Cleaned_Data!$J192</f>
        <v>0</v>
      </c>
    </row>
    <row r="193" spans="1:4" x14ac:dyDescent="0.35">
      <c r="A193" s="4">
        <f t="shared" si="2"/>
        <v>191</v>
      </c>
      <c r="B193" s="13">
        <f>Cleaned_Data!G193</f>
        <v>45384</v>
      </c>
      <c r="C193" s="4">
        <f>IF(Cleaned_Data!$J193&gt;0,Cleaned_Data!$J193,NA())</f>
        <v>15</v>
      </c>
      <c r="D193" s="4">
        <f>Cleaned_Data!$J193</f>
        <v>15</v>
      </c>
    </row>
    <row r="194" spans="1:4" x14ac:dyDescent="0.35">
      <c r="A194" s="4">
        <f t="shared" si="2"/>
        <v>192</v>
      </c>
      <c r="B194" s="13">
        <f>Cleaned_Data!G194</f>
        <v>44428</v>
      </c>
      <c r="C194" s="4">
        <f>IF(Cleaned_Data!$J194&gt;0,Cleaned_Data!$J194,NA())</f>
        <v>27</v>
      </c>
      <c r="D194" s="4">
        <f>Cleaned_Data!$J194</f>
        <v>27</v>
      </c>
    </row>
    <row r="195" spans="1:4" x14ac:dyDescent="0.35">
      <c r="A195" s="4">
        <f t="shared" si="2"/>
        <v>193</v>
      </c>
      <c r="B195" s="13">
        <f>Cleaned_Data!G195</f>
        <v>45810</v>
      </c>
      <c r="C195" s="4">
        <f>IF(Cleaned_Data!$J195&gt;0,Cleaned_Data!$J195,NA())</f>
        <v>150</v>
      </c>
      <c r="D195" s="4">
        <f>Cleaned_Data!$J195</f>
        <v>150</v>
      </c>
    </row>
    <row r="196" spans="1:4" x14ac:dyDescent="0.35">
      <c r="A196" s="4">
        <f t="shared" si="2"/>
        <v>194</v>
      </c>
      <c r="B196" s="13">
        <f>Cleaned_Data!G196</f>
        <v>44756</v>
      </c>
      <c r="C196" s="4">
        <f>IF(Cleaned_Data!$J196&gt;0,Cleaned_Data!$J196,NA())</f>
        <v>5.25</v>
      </c>
      <c r="D196" s="4">
        <f>Cleaned_Data!$J196</f>
        <v>5.25</v>
      </c>
    </row>
    <row r="197" spans="1:4" x14ac:dyDescent="0.35">
      <c r="A197" s="4">
        <f t="shared" ref="A197:A260" si="3">A196+1</f>
        <v>195</v>
      </c>
      <c r="B197" s="13">
        <f>Cleaned_Data!G197</f>
        <v>45140</v>
      </c>
      <c r="C197" s="4">
        <f>IF(Cleaned_Data!$J197&gt;0,Cleaned_Data!$J197,NA())</f>
        <v>60</v>
      </c>
      <c r="D197" s="4">
        <f>Cleaned_Data!$J197</f>
        <v>60</v>
      </c>
    </row>
    <row r="198" spans="1:4" x14ac:dyDescent="0.35">
      <c r="A198" s="4">
        <f t="shared" si="3"/>
        <v>196</v>
      </c>
      <c r="B198" s="13">
        <f>Cleaned_Data!G198</f>
        <v>44197</v>
      </c>
      <c r="C198" s="4" t="e">
        <f>IF(Cleaned_Data!$J198&gt;0,Cleaned_Data!$J198,NA())</f>
        <v>#N/A</v>
      </c>
      <c r="D198" s="4">
        <f>Cleaned_Data!$J198</f>
        <v>0</v>
      </c>
    </row>
    <row r="199" spans="1:4" x14ac:dyDescent="0.35">
      <c r="A199" s="4">
        <f t="shared" si="3"/>
        <v>197</v>
      </c>
      <c r="B199" s="13">
        <f>Cleaned_Data!G199</f>
        <v>43383</v>
      </c>
      <c r="C199" s="4">
        <f>IF(Cleaned_Data!$J199&gt;0,Cleaned_Data!$J199,NA())</f>
        <v>13</v>
      </c>
      <c r="D199" s="4">
        <f>Cleaned_Data!$J199</f>
        <v>13</v>
      </c>
    </row>
    <row r="200" spans="1:4" x14ac:dyDescent="0.35">
      <c r="A200" s="4">
        <f t="shared" si="3"/>
        <v>198</v>
      </c>
      <c r="B200" s="13">
        <f>Cleaned_Data!G200</f>
        <v>43578</v>
      </c>
      <c r="C200" s="4">
        <f>IF(Cleaned_Data!$J200&gt;0,Cleaned_Data!$J200,NA())</f>
        <v>22</v>
      </c>
      <c r="D200" s="4">
        <f>Cleaned_Data!$J200</f>
        <v>22</v>
      </c>
    </row>
    <row r="201" spans="1:4" x14ac:dyDescent="0.35">
      <c r="A201" s="4">
        <f t="shared" si="3"/>
        <v>199</v>
      </c>
      <c r="B201" s="13">
        <f>Cleaned_Data!G201</f>
        <v>44523</v>
      </c>
      <c r="C201" s="4">
        <f>IF(Cleaned_Data!$J201&gt;0,Cleaned_Data!$J201,NA())</f>
        <v>95.1</v>
      </c>
      <c r="D201" s="4">
        <f>Cleaned_Data!$J201</f>
        <v>95.1</v>
      </c>
    </row>
    <row r="202" spans="1:4" x14ac:dyDescent="0.35">
      <c r="A202" s="4">
        <f t="shared" si="3"/>
        <v>200</v>
      </c>
      <c r="B202" s="13">
        <f>Cleaned_Data!G202</f>
        <v>43857</v>
      </c>
      <c r="C202" s="4">
        <f>IF(Cleaned_Data!$J202&gt;0,Cleaned_Data!$J202,NA())</f>
        <v>300</v>
      </c>
      <c r="D202" s="4">
        <f>Cleaned_Data!$J202</f>
        <v>300</v>
      </c>
    </row>
    <row r="203" spans="1:4" x14ac:dyDescent="0.35">
      <c r="A203" s="4">
        <f t="shared" si="3"/>
        <v>201</v>
      </c>
      <c r="B203" s="13">
        <f>Cleaned_Data!G203</f>
        <v>45627</v>
      </c>
      <c r="C203" s="4">
        <f>IF(Cleaned_Data!$J203&gt;0,Cleaned_Data!$J203,NA())</f>
        <v>0.5</v>
      </c>
      <c r="D203" s="4">
        <f>Cleaned_Data!$J203</f>
        <v>0.5</v>
      </c>
    </row>
    <row r="204" spans="1:4" x14ac:dyDescent="0.35">
      <c r="A204" s="4">
        <f t="shared" si="3"/>
        <v>202</v>
      </c>
      <c r="B204" s="13">
        <f>Cleaned_Data!G204</f>
        <v>42939</v>
      </c>
      <c r="C204" s="4">
        <f>IF(Cleaned_Data!$J204&gt;0,Cleaned_Data!$J204,NA())</f>
        <v>1.75</v>
      </c>
      <c r="D204" s="4">
        <f>Cleaned_Data!$J204</f>
        <v>1.75</v>
      </c>
    </row>
    <row r="205" spans="1:4" x14ac:dyDescent="0.35">
      <c r="A205" s="4">
        <f t="shared" si="3"/>
        <v>203</v>
      </c>
      <c r="B205" s="13">
        <f>Cleaned_Data!G205</f>
        <v>45204</v>
      </c>
      <c r="C205" s="4">
        <f>IF(Cleaned_Data!$J205&gt;0,Cleaned_Data!$J205,NA())</f>
        <v>250</v>
      </c>
      <c r="D205" s="4">
        <f>Cleaned_Data!$J205</f>
        <v>250</v>
      </c>
    </row>
    <row r="206" spans="1:4" x14ac:dyDescent="0.35">
      <c r="A206" s="4">
        <f t="shared" si="3"/>
        <v>204</v>
      </c>
      <c r="B206" s="13">
        <f>Cleaned_Data!G206</f>
        <v>42612</v>
      </c>
      <c r="C206" s="4">
        <f>IF(Cleaned_Data!$J206&gt;0,Cleaned_Data!$J206,NA())</f>
        <v>2</v>
      </c>
      <c r="D206" s="4">
        <f>Cleaned_Data!$J206</f>
        <v>2</v>
      </c>
    </row>
    <row r="207" spans="1:4" x14ac:dyDescent="0.35">
      <c r="A207" s="4">
        <f t="shared" si="3"/>
        <v>205</v>
      </c>
      <c r="B207" s="13">
        <f>Cleaned_Data!G207</f>
        <v>45323</v>
      </c>
      <c r="C207" s="4" t="e">
        <f>IF(Cleaned_Data!$J207&gt;0,Cleaned_Data!$J207,NA())</f>
        <v>#N/A</v>
      </c>
      <c r="D207" s="4">
        <f>Cleaned_Data!$J207</f>
        <v>0</v>
      </c>
    </row>
    <row r="208" spans="1:4" x14ac:dyDescent="0.35">
      <c r="A208" s="4">
        <f t="shared" si="3"/>
        <v>206</v>
      </c>
      <c r="B208" s="13">
        <f>Cleaned_Data!G208</f>
        <v>42657</v>
      </c>
      <c r="C208" s="4">
        <f>IF(Cleaned_Data!$J208&gt;0,Cleaned_Data!$J208,NA())</f>
        <v>6.5</v>
      </c>
      <c r="D208" s="4">
        <f>Cleaned_Data!$J208</f>
        <v>6.5</v>
      </c>
    </row>
    <row r="209" spans="1:4" x14ac:dyDescent="0.35">
      <c r="A209" s="4">
        <f t="shared" si="3"/>
        <v>207</v>
      </c>
      <c r="B209" s="13">
        <f>Cleaned_Data!G209</f>
        <v>42158</v>
      </c>
      <c r="C209" s="4">
        <f>IF(Cleaned_Data!$J209&gt;0,Cleaned_Data!$J209,NA())</f>
        <v>17.350000000000001</v>
      </c>
      <c r="D209" s="4">
        <f>Cleaned_Data!$J209</f>
        <v>17.350000000000001</v>
      </c>
    </row>
    <row r="210" spans="1:4" x14ac:dyDescent="0.35">
      <c r="A210" s="4">
        <f t="shared" si="3"/>
        <v>208</v>
      </c>
      <c r="B210" s="13">
        <f>Cleaned_Data!G210</f>
        <v>45686</v>
      </c>
      <c r="C210" s="4">
        <f>IF(Cleaned_Data!$J210&gt;0,Cleaned_Data!$J210,NA())</f>
        <v>65</v>
      </c>
      <c r="D210" s="4">
        <f>Cleaned_Data!$J210</f>
        <v>65</v>
      </c>
    </row>
    <row r="211" spans="1:4" x14ac:dyDescent="0.35">
      <c r="A211" s="4">
        <f t="shared" si="3"/>
        <v>209</v>
      </c>
      <c r="B211" s="13">
        <f>Cleaned_Data!G211</f>
        <v>44875</v>
      </c>
      <c r="C211" s="4">
        <f>IF(Cleaned_Data!$J211&gt;0,Cleaned_Data!$J211,NA())</f>
        <v>0.92</v>
      </c>
      <c r="D211" s="4">
        <f>Cleaned_Data!$J211</f>
        <v>0.92</v>
      </c>
    </row>
    <row r="212" spans="1:4" x14ac:dyDescent="0.35">
      <c r="A212" s="4">
        <f t="shared" si="3"/>
        <v>210</v>
      </c>
      <c r="B212" s="13">
        <f>Cleaned_Data!G212</f>
        <v>44682</v>
      </c>
      <c r="C212" s="4">
        <f>IF(Cleaned_Data!$J212&gt;0,Cleaned_Data!$J212,NA())</f>
        <v>12.63</v>
      </c>
      <c r="D212" s="4">
        <f>Cleaned_Data!$J212</f>
        <v>12.63</v>
      </c>
    </row>
    <row r="213" spans="1:4" x14ac:dyDescent="0.35">
      <c r="A213" s="4">
        <f t="shared" si="3"/>
        <v>211</v>
      </c>
      <c r="B213" s="13">
        <f>Cleaned_Data!G213</f>
        <v>44089</v>
      </c>
      <c r="C213" s="4">
        <f>IF(Cleaned_Data!$J213&gt;0,Cleaned_Data!$J213,NA())</f>
        <v>30.15</v>
      </c>
      <c r="D213" s="4">
        <f>Cleaned_Data!$J213</f>
        <v>30.15</v>
      </c>
    </row>
    <row r="214" spans="1:4" x14ac:dyDescent="0.35">
      <c r="A214" s="4">
        <f t="shared" si="3"/>
        <v>212</v>
      </c>
      <c r="B214" s="13">
        <f>Cleaned_Data!G214</f>
        <v>42629</v>
      </c>
      <c r="C214" s="4">
        <f>IF(Cleaned_Data!$J214&gt;0,Cleaned_Data!$J214,NA())</f>
        <v>0.25</v>
      </c>
      <c r="D214" s="4">
        <f>Cleaned_Data!$J214</f>
        <v>0.25</v>
      </c>
    </row>
    <row r="215" spans="1:4" x14ac:dyDescent="0.35">
      <c r="A215" s="4">
        <f t="shared" si="3"/>
        <v>213</v>
      </c>
      <c r="B215" s="13">
        <f>Cleaned_Data!G215</f>
        <v>45530</v>
      </c>
      <c r="C215" s="4">
        <f>IF(Cleaned_Data!$J215&gt;0,Cleaned_Data!$J215,NA())</f>
        <v>15</v>
      </c>
      <c r="D215" s="4">
        <f>Cleaned_Data!$J215</f>
        <v>15</v>
      </c>
    </row>
    <row r="216" spans="1:4" x14ac:dyDescent="0.35">
      <c r="A216" s="4">
        <f t="shared" si="3"/>
        <v>214</v>
      </c>
      <c r="B216" s="13">
        <f>Cleaned_Data!G216</f>
        <v>44118</v>
      </c>
      <c r="C216" s="4">
        <f>IF(Cleaned_Data!$J216&gt;0,Cleaned_Data!$J216,NA())</f>
        <v>0.51</v>
      </c>
      <c r="D216" s="4">
        <f>Cleaned_Data!$J216</f>
        <v>0.51</v>
      </c>
    </row>
    <row r="217" spans="1:4" x14ac:dyDescent="0.35">
      <c r="A217" s="4">
        <f t="shared" si="3"/>
        <v>215</v>
      </c>
      <c r="B217" s="13">
        <f>Cleaned_Data!G217</f>
        <v>44927</v>
      </c>
      <c r="C217" s="4">
        <f>IF(Cleaned_Data!$J217&gt;0,Cleaned_Data!$J217,NA())</f>
        <v>110</v>
      </c>
      <c r="D217" s="4">
        <f>Cleaned_Data!$J217</f>
        <v>110</v>
      </c>
    </row>
    <row r="218" spans="1:4" x14ac:dyDescent="0.35">
      <c r="A218" s="4">
        <f t="shared" si="3"/>
        <v>216</v>
      </c>
      <c r="B218" s="13">
        <f>Cleaned_Data!G218</f>
        <v>45383</v>
      </c>
      <c r="C218" s="4" t="e">
        <f>IF(Cleaned_Data!$J218&gt;0,Cleaned_Data!$J218,NA())</f>
        <v>#N/A</v>
      </c>
      <c r="D218" s="4">
        <f>Cleaned_Data!$J218</f>
        <v>0</v>
      </c>
    </row>
    <row r="219" spans="1:4" x14ac:dyDescent="0.35">
      <c r="A219" s="4">
        <f t="shared" si="3"/>
        <v>217</v>
      </c>
      <c r="B219" s="13">
        <f>Cleaned_Data!G219</f>
        <v>42348</v>
      </c>
      <c r="C219" s="4">
        <f>IF(Cleaned_Data!$J219&gt;0,Cleaned_Data!$J219,NA())</f>
        <v>11</v>
      </c>
      <c r="D219" s="4">
        <f>Cleaned_Data!$J219</f>
        <v>11</v>
      </c>
    </row>
    <row r="220" spans="1:4" x14ac:dyDescent="0.35">
      <c r="A220" s="4">
        <f t="shared" si="3"/>
        <v>218</v>
      </c>
      <c r="B220" s="13">
        <f>Cleaned_Data!G220</f>
        <v>44165</v>
      </c>
      <c r="C220" s="4">
        <f>IF(Cleaned_Data!$J220&gt;0,Cleaned_Data!$J220,NA())</f>
        <v>9.66</v>
      </c>
      <c r="D220" s="4">
        <f>Cleaned_Data!$J220</f>
        <v>9.66</v>
      </c>
    </row>
    <row r="221" spans="1:4" x14ac:dyDescent="0.35">
      <c r="A221" s="4">
        <f t="shared" si="3"/>
        <v>219</v>
      </c>
      <c r="B221" s="13">
        <f>Cleaned_Data!G221</f>
        <v>42930</v>
      </c>
      <c r="C221" s="4">
        <f>IF(Cleaned_Data!$J221&gt;0,Cleaned_Data!$J221,NA())</f>
        <v>0.85</v>
      </c>
      <c r="D221" s="4">
        <f>Cleaned_Data!$J221</f>
        <v>0.85</v>
      </c>
    </row>
    <row r="222" spans="1:4" x14ac:dyDescent="0.35">
      <c r="A222" s="4">
        <f t="shared" si="3"/>
        <v>220</v>
      </c>
      <c r="B222" s="13">
        <f>Cleaned_Data!G222</f>
        <v>43216</v>
      </c>
      <c r="C222" s="4">
        <f>IF(Cleaned_Data!$J222&gt;0,Cleaned_Data!$J222,NA())</f>
        <v>0.95</v>
      </c>
      <c r="D222" s="4">
        <f>Cleaned_Data!$J222</f>
        <v>0.95</v>
      </c>
    </row>
    <row r="223" spans="1:4" x14ac:dyDescent="0.35">
      <c r="A223" s="4">
        <f t="shared" si="3"/>
        <v>221</v>
      </c>
      <c r="B223" s="13">
        <f>Cleaned_Data!G223</f>
        <v>44197</v>
      </c>
      <c r="C223" s="4">
        <f>IF(Cleaned_Data!$J223&gt;0,Cleaned_Data!$J223,NA())</f>
        <v>2</v>
      </c>
      <c r="D223" s="4">
        <f>Cleaned_Data!$J223</f>
        <v>2</v>
      </c>
    </row>
    <row r="224" spans="1:4" x14ac:dyDescent="0.35">
      <c r="A224" s="4">
        <f t="shared" si="3"/>
        <v>222</v>
      </c>
      <c r="B224" s="13">
        <f>Cleaned_Data!G224</f>
        <v>45749</v>
      </c>
      <c r="C224" s="4">
        <f>IF(Cleaned_Data!$J224&gt;0,Cleaned_Data!$J224,NA())</f>
        <v>24.5</v>
      </c>
      <c r="D224" s="4">
        <f>Cleaned_Data!$J224</f>
        <v>24.5</v>
      </c>
    </row>
    <row r="225" spans="1:4" x14ac:dyDescent="0.35">
      <c r="A225" s="4">
        <f t="shared" si="3"/>
        <v>223</v>
      </c>
      <c r="B225" s="13">
        <f>Cleaned_Data!G225</f>
        <v>45307</v>
      </c>
      <c r="C225" s="4">
        <f>IF(Cleaned_Data!$J225&gt;0,Cleaned_Data!$J225,NA())</f>
        <v>6</v>
      </c>
      <c r="D225" s="4">
        <f>Cleaned_Data!$J225</f>
        <v>6</v>
      </c>
    </row>
    <row r="226" spans="1:4" x14ac:dyDescent="0.35">
      <c r="A226" s="4">
        <f t="shared" si="3"/>
        <v>224</v>
      </c>
      <c r="B226" s="13">
        <f>Cleaned_Data!G226</f>
        <v>44868</v>
      </c>
      <c r="C226" s="4">
        <f>IF(Cleaned_Data!$J226&gt;0,Cleaned_Data!$J226,NA())</f>
        <v>2.1800000000000002</v>
      </c>
      <c r="D226" s="4">
        <f>Cleaned_Data!$J226</f>
        <v>2.1800000000000002</v>
      </c>
    </row>
    <row r="227" spans="1:4" x14ac:dyDescent="0.35">
      <c r="A227" s="4">
        <f t="shared" si="3"/>
        <v>225</v>
      </c>
      <c r="B227" s="13">
        <f>Cleaned_Data!G227</f>
        <v>44413</v>
      </c>
      <c r="C227" s="4" t="e">
        <f>IF(Cleaned_Data!$J227&gt;0,Cleaned_Data!$J227,NA())</f>
        <v>#N/A</v>
      </c>
      <c r="D227" s="4">
        <f>Cleaned_Data!$J227</f>
        <v>0</v>
      </c>
    </row>
    <row r="228" spans="1:4" x14ac:dyDescent="0.35">
      <c r="A228" s="4">
        <f t="shared" si="3"/>
        <v>226</v>
      </c>
      <c r="B228" s="13">
        <f>Cleaned_Data!G228</f>
        <v>45809</v>
      </c>
      <c r="C228" s="4" t="e">
        <f>IF(Cleaned_Data!$J228&gt;0,Cleaned_Data!$J228,NA())</f>
        <v>#N/A</v>
      </c>
      <c r="D228" s="4">
        <f>Cleaned_Data!$J228</f>
        <v>0</v>
      </c>
    </row>
    <row r="229" spans="1:4" x14ac:dyDescent="0.35">
      <c r="A229" s="4">
        <f t="shared" si="3"/>
        <v>227</v>
      </c>
      <c r="B229" s="13">
        <f>Cleaned_Data!G229</f>
        <v>45610</v>
      </c>
      <c r="C229" s="4">
        <f>IF(Cleaned_Data!$J229&gt;0,Cleaned_Data!$J229,NA())</f>
        <v>54</v>
      </c>
      <c r="D229" s="4">
        <f>Cleaned_Data!$J229</f>
        <v>54</v>
      </c>
    </row>
    <row r="230" spans="1:4" x14ac:dyDescent="0.35">
      <c r="A230" s="4">
        <f t="shared" si="3"/>
        <v>228</v>
      </c>
      <c r="B230" s="13">
        <f>Cleaned_Data!G230</f>
        <v>45215</v>
      </c>
      <c r="C230" s="4">
        <f>IF(Cleaned_Data!$J230&gt;0,Cleaned_Data!$J230,NA())</f>
        <v>48</v>
      </c>
      <c r="D230" s="4">
        <f>Cleaned_Data!$J230</f>
        <v>48</v>
      </c>
    </row>
    <row r="231" spans="1:4" x14ac:dyDescent="0.35">
      <c r="A231" s="4">
        <f t="shared" si="3"/>
        <v>229</v>
      </c>
      <c r="B231" s="13">
        <f>Cleaned_Data!G231</f>
        <v>44868</v>
      </c>
      <c r="C231" s="4">
        <f>IF(Cleaned_Data!$J231&gt;0,Cleaned_Data!$J231,NA())</f>
        <v>830</v>
      </c>
      <c r="D231" s="4">
        <f>Cleaned_Data!$J231</f>
        <v>830</v>
      </c>
    </row>
    <row r="232" spans="1:4" x14ac:dyDescent="0.35">
      <c r="A232" s="4">
        <f t="shared" si="3"/>
        <v>230</v>
      </c>
      <c r="B232" s="13">
        <f>Cleaned_Data!G232</f>
        <v>42348</v>
      </c>
      <c r="C232" s="4">
        <f>IF(Cleaned_Data!$J232&gt;0,Cleaned_Data!$J232,NA())</f>
        <v>2.1</v>
      </c>
      <c r="D232" s="4">
        <f>Cleaned_Data!$J232</f>
        <v>2.1</v>
      </c>
    </row>
    <row r="233" spans="1:4" x14ac:dyDescent="0.35">
      <c r="A233" s="4">
        <f t="shared" si="3"/>
        <v>231</v>
      </c>
      <c r="B233" s="13">
        <f>Cleaned_Data!G233</f>
        <v>45246</v>
      </c>
      <c r="C233" s="4">
        <f>IF(Cleaned_Data!$J233&gt;0,Cleaned_Data!$J233,NA())</f>
        <v>4.1500000000000004</v>
      </c>
      <c r="D233" s="4">
        <f>Cleaned_Data!$J233</f>
        <v>4.1500000000000004</v>
      </c>
    </row>
    <row r="234" spans="1:4" x14ac:dyDescent="0.35">
      <c r="A234" s="4">
        <f t="shared" si="3"/>
        <v>232</v>
      </c>
      <c r="B234" s="13">
        <f>Cleaned_Data!G234</f>
        <v>44813</v>
      </c>
      <c r="C234" s="4">
        <f>IF(Cleaned_Data!$J234&gt;0,Cleaned_Data!$J234,NA())</f>
        <v>4.67</v>
      </c>
      <c r="D234" s="4">
        <f>Cleaned_Data!$J234</f>
        <v>4.67</v>
      </c>
    </row>
    <row r="235" spans="1:4" x14ac:dyDescent="0.35">
      <c r="A235" s="4">
        <f t="shared" si="3"/>
        <v>233</v>
      </c>
      <c r="B235" s="13">
        <f>Cleaned_Data!G235</f>
        <v>45240</v>
      </c>
      <c r="C235" s="4">
        <f>IF(Cleaned_Data!$J235&gt;0,Cleaned_Data!$J235,NA())</f>
        <v>0.61</v>
      </c>
      <c r="D235" s="4">
        <f>Cleaned_Data!$J235</f>
        <v>0.61</v>
      </c>
    </row>
    <row r="236" spans="1:4" x14ac:dyDescent="0.35">
      <c r="A236" s="4">
        <f t="shared" si="3"/>
        <v>234</v>
      </c>
      <c r="B236" s="13">
        <f>Cleaned_Data!G236</f>
        <v>44385</v>
      </c>
      <c r="C236" s="4">
        <f>IF(Cleaned_Data!$J236&gt;0,Cleaned_Data!$J236,NA())</f>
        <v>29</v>
      </c>
      <c r="D236" s="4">
        <f>Cleaned_Data!$J236</f>
        <v>29</v>
      </c>
    </row>
    <row r="237" spans="1:4" x14ac:dyDescent="0.35">
      <c r="A237" s="4">
        <f t="shared" si="3"/>
        <v>235</v>
      </c>
      <c r="B237" s="13">
        <f>Cleaned_Data!G237</f>
        <v>44874</v>
      </c>
      <c r="C237" s="4" t="e">
        <f>IF(Cleaned_Data!$J237&gt;0,Cleaned_Data!$J237,NA())</f>
        <v>#N/A</v>
      </c>
      <c r="D237" s="4">
        <f>Cleaned_Data!$J237</f>
        <v>0</v>
      </c>
    </row>
    <row r="238" spans="1:4" x14ac:dyDescent="0.35">
      <c r="A238" s="4">
        <f t="shared" si="3"/>
        <v>236</v>
      </c>
      <c r="B238" s="13">
        <f>Cleaned_Data!G238</f>
        <v>42941</v>
      </c>
      <c r="C238" s="4">
        <f>IF(Cleaned_Data!$J238&gt;0,Cleaned_Data!$J238,NA())</f>
        <v>15</v>
      </c>
      <c r="D238" s="4">
        <f>Cleaned_Data!$J238</f>
        <v>15</v>
      </c>
    </row>
    <row r="239" spans="1:4" x14ac:dyDescent="0.35">
      <c r="A239" s="4">
        <f t="shared" si="3"/>
        <v>237</v>
      </c>
      <c r="B239" s="13">
        <f>Cleaned_Data!G239</f>
        <v>44273</v>
      </c>
      <c r="C239" s="4">
        <f>IF(Cleaned_Data!$J239&gt;0,Cleaned_Data!$J239,NA())</f>
        <v>8</v>
      </c>
      <c r="D239" s="4">
        <f>Cleaned_Data!$J239</f>
        <v>8</v>
      </c>
    </row>
    <row r="240" spans="1:4" x14ac:dyDescent="0.35">
      <c r="A240" s="4">
        <f t="shared" si="3"/>
        <v>238</v>
      </c>
      <c r="B240" s="13">
        <f>Cleaned_Data!G240</f>
        <v>45135</v>
      </c>
      <c r="C240" s="4">
        <f>IF(Cleaned_Data!$J240&gt;0,Cleaned_Data!$J240,NA())</f>
        <v>15</v>
      </c>
      <c r="D240" s="4">
        <f>Cleaned_Data!$J240</f>
        <v>15</v>
      </c>
    </row>
    <row r="241" spans="1:4" x14ac:dyDescent="0.35">
      <c r="A241" s="4">
        <f t="shared" si="3"/>
        <v>239</v>
      </c>
      <c r="B241" s="13">
        <f>Cleaned_Data!G241</f>
        <v>45748</v>
      </c>
      <c r="C241" s="4" t="e">
        <f>IF(Cleaned_Data!$J241&gt;0,Cleaned_Data!$J241,NA())</f>
        <v>#N/A</v>
      </c>
      <c r="D241" s="4">
        <f>Cleaned_Data!$J241</f>
        <v>0</v>
      </c>
    </row>
    <row r="242" spans="1:4" x14ac:dyDescent="0.35">
      <c r="A242" s="4">
        <f t="shared" si="3"/>
        <v>240</v>
      </c>
      <c r="B242" s="13">
        <f>Cleaned_Data!G242</f>
        <v>44460</v>
      </c>
      <c r="C242" s="4" t="e">
        <f>IF(Cleaned_Data!$J242&gt;0,Cleaned_Data!$J242,NA())</f>
        <v>#N/A</v>
      </c>
      <c r="D242" s="4">
        <f>Cleaned_Data!$J242</f>
        <v>0</v>
      </c>
    </row>
    <row r="243" spans="1:4" x14ac:dyDescent="0.35">
      <c r="A243" s="4">
        <f t="shared" si="3"/>
        <v>241</v>
      </c>
      <c r="B243" s="13">
        <f>Cleaned_Data!G243</f>
        <v>42482</v>
      </c>
      <c r="C243" s="4">
        <f>IF(Cleaned_Data!$J243&gt;0,Cleaned_Data!$J243,NA())</f>
        <v>4.92</v>
      </c>
      <c r="D243" s="4">
        <f>Cleaned_Data!$J243</f>
        <v>4.92</v>
      </c>
    </row>
    <row r="244" spans="1:4" x14ac:dyDescent="0.35">
      <c r="A244" s="4">
        <f t="shared" si="3"/>
        <v>242</v>
      </c>
      <c r="B244" s="13">
        <f>Cleaned_Data!G244</f>
        <v>42970</v>
      </c>
      <c r="C244" s="4">
        <f>IF(Cleaned_Data!$J244&gt;0,Cleaned_Data!$J244,NA())</f>
        <v>17</v>
      </c>
      <c r="D244" s="4">
        <f>Cleaned_Data!$J244</f>
        <v>17</v>
      </c>
    </row>
    <row r="245" spans="1:4" x14ac:dyDescent="0.35">
      <c r="A245" s="4">
        <f t="shared" si="3"/>
        <v>243</v>
      </c>
      <c r="B245" s="13">
        <f>Cleaned_Data!G245</f>
        <v>43931</v>
      </c>
      <c r="C245" s="4">
        <f>IF(Cleaned_Data!$J245&gt;0,Cleaned_Data!$J245,NA())</f>
        <v>186.25</v>
      </c>
      <c r="D245" s="4">
        <f>Cleaned_Data!$J245</f>
        <v>186.25</v>
      </c>
    </row>
    <row r="246" spans="1:4" x14ac:dyDescent="0.35">
      <c r="A246" s="4">
        <f t="shared" si="3"/>
        <v>244</v>
      </c>
      <c r="B246" s="13">
        <f>Cleaned_Data!G246</f>
        <v>45488</v>
      </c>
      <c r="C246" s="4">
        <f>IF(Cleaned_Data!$J246&gt;0,Cleaned_Data!$J246,NA())</f>
        <v>22.52</v>
      </c>
      <c r="D246" s="4">
        <f>Cleaned_Data!$J246</f>
        <v>22.52</v>
      </c>
    </row>
    <row r="247" spans="1:4" x14ac:dyDescent="0.35">
      <c r="A247" s="4">
        <f t="shared" si="3"/>
        <v>245</v>
      </c>
      <c r="B247" s="13">
        <f>Cleaned_Data!G247</f>
        <v>45229</v>
      </c>
      <c r="C247" s="4">
        <f>IF(Cleaned_Data!$J247&gt;0,Cleaned_Data!$J247,NA())</f>
        <v>32</v>
      </c>
      <c r="D247" s="4">
        <f>Cleaned_Data!$J247</f>
        <v>32</v>
      </c>
    </row>
    <row r="248" spans="1:4" x14ac:dyDescent="0.35">
      <c r="A248" s="4">
        <f t="shared" si="3"/>
        <v>246</v>
      </c>
      <c r="B248" s="13">
        <f>Cleaned_Data!G248</f>
        <v>44044</v>
      </c>
      <c r="C248" s="4">
        <f>IF(Cleaned_Data!$J248&gt;0,Cleaned_Data!$J248,NA())</f>
        <v>6</v>
      </c>
      <c r="D248" s="4">
        <f>Cleaned_Data!$J248</f>
        <v>6</v>
      </c>
    </row>
    <row r="249" spans="1:4" x14ac:dyDescent="0.35">
      <c r="A249" s="4">
        <f t="shared" si="3"/>
        <v>247</v>
      </c>
      <c r="B249" s="13">
        <f>Cleaned_Data!G249</f>
        <v>44789</v>
      </c>
      <c r="C249" s="4">
        <f>IF(Cleaned_Data!$J249&gt;0,Cleaned_Data!$J249,NA())</f>
        <v>5</v>
      </c>
      <c r="D249" s="4">
        <f>Cleaned_Data!$J249</f>
        <v>5</v>
      </c>
    </row>
    <row r="250" spans="1:4" x14ac:dyDescent="0.35">
      <c r="A250" s="4">
        <f t="shared" si="3"/>
        <v>248</v>
      </c>
      <c r="B250" s="13">
        <f>Cleaned_Data!G250</f>
        <v>45071</v>
      </c>
      <c r="C250" s="4">
        <f>IF(Cleaned_Data!$J250&gt;0,Cleaned_Data!$J250,NA())</f>
        <v>24.9</v>
      </c>
      <c r="D250" s="4">
        <f>Cleaned_Data!$J250</f>
        <v>24.9</v>
      </c>
    </row>
    <row r="251" spans="1:4" x14ac:dyDescent="0.35">
      <c r="A251" s="4">
        <f t="shared" si="3"/>
        <v>249</v>
      </c>
      <c r="B251" s="13">
        <f>Cleaned_Data!G251</f>
        <v>45098</v>
      </c>
      <c r="C251" s="4">
        <f>IF(Cleaned_Data!$J251&gt;0,Cleaned_Data!$J251,NA())</f>
        <v>2</v>
      </c>
      <c r="D251" s="4">
        <f>Cleaned_Data!$J251</f>
        <v>2</v>
      </c>
    </row>
    <row r="252" spans="1:4" x14ac:dyDescent="0.35">
      <c r="A252" s="4">
        <f t="shared" si="3"/>
        <v>250</v>
      </c>
      <c r="B252" s="13">
        <f>Cleaned_Data!G252</f>
        <v>44546</v>
      </c>
      <c r="C252" s="4">
        <f>IF(Cleaned_Data!$J252&gt;0,Cleaned_Data!$J252,NA())</f>
        <v>48.9</v>
      </c>
      <c r="D252" s="4">
        <f>Cleaned_Data!$J252</f>
        <v>48.9</v>
      </c>
    </row>
    <row r="253" spans="1:4" x14ac:dyDescent="0.35">
      <c r="A253" s="4">
        <f t="shared" si="3"/>
        <v>251</v>
      </c>
      <c r="B253" s="13">
        <f>Cleaned_Data!G253</f>
        <v>45425</v>
      </c>
      <c r="C253" s="4">
        <f>IF(Cleaned_Data!$J253&gt;0,Cleaned_Data!$J253,NA())</f>
        <v>0.13</v>
      </c>
      <c r="D253" s="4">
        <f>Cleaned_Data!$J253</f>
        <v>0.13</v>
      </c>
    </row>
    <row r="254" spans="1:4" x14ac:dyDescent="0.35">
      <c r="A254" s="4">
        <f t="shared" si="3"/>
        <v>252</v>
      </c>
      <c r="B254" s="13">
        <f>Cleaned_Data!G254</f>
        <v>44237</v>
      </c>
      <c r="C254" s="4">
        <f>IF(Cleaned_Data!$J254&gt;0,Cleaned_Data!$J254,NA())</f>
        <v>21</v>
      </c>
      <c r="D254" s="4">
        <f>Cleaned_Data!$J254</f>
        <v>21</v>
      </c>
    </row>
    <row r="255" spans="1:4" x14ac:dyDescent="0.35">
      <c r="A255" s="4">
        <f t="shared" si="3"/>
        <v>253</v>
      </c>
      <c r="B255" s="13">
        <f>Cleaned_Data!G255</f>
        <v>44662</v>
      </c>
      <c r="C255" s="4" t="e">
        <f>IF(Cleaned_Data!$J255&gt;0,Cleaned_Data!$J255,NA())</f>
        <v>#N/A</v>
      </c>
      <c r="D255" s="4">
        <f>Cleaned_Data!$J255</f>
        <v>0</v>
      </c>
    </row>
    <row r="256" spans="1:4" x14ac:dyDescent="0.35">
      <c r="A256" s="4">
        <f t="shared" si="3"/>
        <v>254</v>
      </c>
      <c r="B256" s="13">
        <f>Cleaned_Data!G256</f>
        <v>45987</v>
      </c>
      <c r="C256" s="4">
        <f>IF(Cleaned_Data!$J256&gt;0,Cleaned_Data!$J256,NA())</f>
        <v>28.59</v>
      </c>
      <c r="D256" s="4">
        <f>Cleaned_Data!$J256</f>
        <v>28.59</v>
      </c>
    </row>
    <row r="257" spans="1:4" x14ac:dyDescent="0.35">
      <c r="A257" s="4">
        <f t="shared" si="3"/>
        <v>255</v>
      </c>
      <c r="B257" s="13">
        <f>Cleaned_Data!G257</f>
        <v>44294</v>
      </c>
      <c r="C257" s="4">
        <f>IF(Cleaned_Data!$J257&gt;0,Cleaned_Data!$J257,NA())</f>
        <v>1.3</v>
      </c>
      <c r="D257" s="4">
        <f>Cleaned_Data!$J257</f>
        <v>1.3</v>
      </c>
    </row>
    <row r="258" spans="1:4" x14ac:dyDescent="0.35">
      <c r="A258" s="4">
        <f t="shared" si="3"/>
        <v>256</v>
      </c>
      <c r="B258" s="13">
        <f>Cleaned_Data!G258</f>
        <v>45291</v>
      </c>
      <c r="C258" s="4">
        <f>IF(Cleaned_Data!$J258&gt;0,Cleaned_Data!$J258,NA())</f>
        <v>1.86</v>
      </c>
      <c r="D258" s="4">
        <f>Cleaned_Data!$J258</f>
        <v>1.86</v>
      </c>
    </row>
    <row r="259" spans="1:4" x14ac:dyDescent="0.35">
      <c r="A259" s="4">
        <f t="shared" si="3"/>
        <v>257</v>
      </c>
      <c r="B259" s="13">
        <f>Cleaned_Data!G259</f>
        <v>45876</v>
      </c>
      <c r="C259" s="4">
        <f>IF(Cleaned_Data!$J259&gt;0,Cleaned_Data!$J259,NA())</f>
        <v>65</v>
      </c>
      <c r="D259" s="4">
        <f>Cleaned_Data!$J259</f>
        <v>65</v>
      </c>
    </row>
    <row r="260" spans="1:4" x14ac:dyDescent="0.35">
      <c r="A260" s="4">
        <f t="shared" si="3"/>
        <v>258</v>
      </c>
      <c r="B260" s="13">
        <f>Cleaned_Data!G260</f>
        <v>43605</v>
      </c>
      <c r="C260" s="4" t="e">
        <f>IF(Cleaned_Data!$J260&gt;0,Cleaned_Data!$J260,NA())</f>
        <v>#N/A</v>
      </c>
      <c r="D260" s="4">
        <f>Cleaned_Data!$J260</f>
        <v>0</v>
      </c>
    </row>
    <row r="261" spans="1:4" x14ac:dyDescent="0.35">
      <c r="A261" s="4">
        <f t="shared" ref="A261:A273" si="4">A260+1</f>
        <v>259</v>
      </c>
      <c r="B261" s="13">
        <f>Cleaned_Data!G261</f>
        <v>45763</v>
      </c>
      <c r="C261" s="4">
        <f>IF(Cleaned_Data!$J261&gt;0,Cleaned_Data!$J261,NA())</f>
        <v>8</v>
      </c>
      <c r="D261" s="4">
        <f>Cleaned_Data!$J261</f>
        <v>8</v>
      </c>
    </row>
    <row r="262" spans="1:4" x14ac:dyDescent="0.35">
      <c r="A262" s="4">
        <f t="shared" si="4"/>
        <v>260</v>
      </c>
      <c r="B262" s="13">
        <f>Cleaned_Data!G262</f>
        <v>45076</v>
      </c>
      <c r="C262" s="4">
        <f>IF(Cleaned_Data!$J262&gt;0,Cleaned_Data!$J262,NA())</f>
        <v>7.5</v>
      </c>
      <c r="D262" s="4">
        <f>Cleaned_Data!$J262</f>
        <v>7.5</v>
      </c>
    </row>
    <row r="263" spans="1:4" x14ac:dyDescent="0.35">
      <c r="A263" s="4">
        <f t="shared" si="4"/>
        <v>261</v>
      </c>
      <c r="B263" s="13">
        <f>Cleaned_Data!G263</f>
        <v>45955</v>
      </c>
      <c r="C263" s="4">
        <f>IF(Cleaned_Data!$J263&gt;0,Cleaned_Data!$J263,NA())</f>
        <v>4.9000000000000004</v>
      </c>
      <c r="D263" s="4">
        <f>Cleaned_Data!$J263</f>
        <v>4.9000000000000004</v>
      </c>
    </row>
    <row r="264" spans="1:4" x14ac:dyDescent="0.35">
      <c r="A264" s="4">
        <f t="shared" si="4"/>
        <v>262</v>
      </c>
      <c r="B264" s="13">
        <f>Cleaned_Data!G264</f>
        <v>44589</v>
      </c>
      <c r="C264" s="4">
        <f>IF(Cleaned_Data!$J264&gt;0,Cleaned_Data!$J264,NA())</f>
        <v>100</v>
      </c>
      <c r="D264" s="4">
        <f>Cleaned_Data!$J264</f>
        <v>100</v>
      </c>
    </row>
    <row r="265" spans="1:4" x14ac:dyDescent="0.35">
      <c r="A265" s="4">
        <f t="shared" si="4"/>
        <v>263</v>
      </c>
      <c r="B265" s="13">
        <f>Cleaned_Data!G265</f>
        <v>44949</v>
      </c>
      <c r="C265" s="4" t="e">
        <f>IF(Cleaned_Data!$J265&gt;0,Cleaned_Data!$J265,NA())</f>
        <v>#N/A</v>
      </c>
      <c r="D265" s="4">
        <f>Cleaned_Data!$J265</f>
        <v>0</v>
      </c>
    </row>
    <row r="266" spans="1:4" x14ac:dyDescent="0.35">
      <c r="A266" s="4">
        <f t="shared" si="4"/>
        <v>264</v>
      </c>
      <c r="B266" s="13">
        <f>Cleaned_Data!G266</f>
        <v>43707</v>
      </c>
      <c r="C266" s="4">
        <f>IF(Cleaned_Data!$J266&gt;0,Cleaned_Data!$J266,NA())</f>
        <v>11.45</v>
      </c>
      <c r="D266" s="4">
        <f>Cleaned_Data!$J266</f>
        <v>11.45</v>
      </c>
    </row>
    <row r="267" spans="1:4" x14ac:dyDescent="0.35">
      <c r="A267" s="4">
        <f t="shared" si="4"/>
        <v>265</v>
      </c>
      <c r="B267" s="13">
        <f>Cleaned_Data!G267</f>
        <v>45716</v>
      </c>
      <c r="C267" s="4">
        <f>IF(Cleaned_Data!$J267&gt;0,Cleaned_Data!$J267,NA())</f>
        <v>13</v>
      </c>
      <c r="D267" s="4">
        <f>Cleaned_Data!$J267</f>
        <v>13</v>
      </c>
    </row>
    <row r="268" spans="1:4" x14ac:dyDescent="0.35">
      <c r="A268" s="4">
        <f t="shared" si="4"/>
        <v>266</v>
      </c>
      <c r="B268" s="13">
        <f>Cleaned_Data!G268</f>
        <v>44055</v>
      </c>
      <c r="C268" s="4">
        <f>IF(Cleaned_Data!$J268&gt;0,Cleaned_Data!$J268,NA())</f>
        <v>6.5</v>
      </c>
      <c r="D268" s="4">
        <f>Cleaned_Data!$J268</f>
        <v>6.5</v>
      </c>
    </row>
    <row r="269" spans="1:4" x14ac:dyDescent="0.35">
      <c r="A269" s="4">
        <f t="shared" si="4"/>
        <v>267</v>
      </c>
      <c r="B269" s="13">
        <f>Cleaned_Data!G269</f>
        <v>44120</v>
      </c>
      <c r="C269" s="4">
        <f>IF(Cleaned_Data!$J269&gt;0,Cleaned_Data!$J269,NA())</f>
        <v>0.75</v>
      </c>
      <c r="D269" s="4">
        <f>Cleaned_Data!$J269</f>
        <v>0.75</v>
      </c>
    </row>
    <row r="270" spans="1:4" x14ac:dyDescent="0.35">
      <c r="A270" s="4">
        <f t="shared" si="4"/>
        <v>268</v>
      </c>
      <c r="B270" s="13">
        <f>Cleaned_Data!G270</f>
        <v>43404</v>
      </c>
      <c r="C270" s="4">
        <f>IF(Cleaned_Data!$J270&gt;0,Cleaned_Data!$J270,NA())</f>
        <v>0.63</v>
      </c>
      <c r="D270" s="4">
        <f>Cleaned_Data!$J270</f>
        <v>0.63</v>
      </c>
    </row>
    <row r="271" spans="1:4" x14ac:dyDescent="0.35">
      <c r="A271" s="4">
        <f t="shared" si="4"/>
        <v>269</v>
      </c>
      <c r="B271" s="13">
        <f>Cleaned_Data!G271</f>
        <v>44562</v>
      </c>
      <c r="C271" s="4">
        <f>IF(Cleaned_Data!$J271&gt;0,Cleaned_Data!$J271,NA())</f>
        <v>0.35</v>
      </c>
      <c r="D271" s="4">
        <f>Cleaned_Data!$J271</f>
        <v>0.35</v>
      </c>
    </row>
    <row r="272" spans="1:4" x14ac:dyDescent="0.35">
      <c r="A272" s="4">
        <f t="shared" si="4"/>
        <v>270</v>
      </c>
      <c r="B272" s="13">
        <f>Cleaned_Data!G272</f>
        <v>45505</v>
      </c>
      <c r="C272" s="4" t="e">
        <f>IF(Cleaned_Data!$J272&gt;0,Cleaned_Data!$J272,NA())</f>
        <v>#N/A</v>
      </c>
      <c r="D272" s="4">
        <f>Cleaned_Data!$J272</f>
        <v>0</v>
      </c>
    </row>
    <row r="273" spans="1:4" x14ac:dyDescent="0.35">
      <c r="A273" s="4">
        <f t="shared" si="4"/>
        <v>271</v>
      </c>
      <c r="B273" s="13">
        <f>Cleaned_Data!G273</f>
        <v>45818</v>
      </c>
      <c r="C273" s="4">
        <f>IF(Cleaned_Data!$J273&gt;0,Cleaned_Data!$J273,NA())</f>
        <v>25.76</v>
      </c>
      <c r="D273" s="4">
        <f>Cleaned_Data!$J273</f>
        <v>25.76</v>
      </c>
    </row>
    <row r="274" spans="1:4" x14ac:dyDescent="0.35">
      <c r="B274" s="4" t="s">
        <v>517</v>
      </c>
      <c r="C274" s="4" t="s">
        <v>517</v>
      </c>
      <c r="D274" s="4" t="s">
        <v>517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21BEAB-8E56-4FB4-96A9-A36D416D7A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Outputs</vt:lpstr>
      <vt:lpstr>Charts</vt:lpstr>
      <vt:lpstr>Cleaned_Data</vt:lpstr>
      <vt:lpstr>Raw_Data</vt:lpstr>
      <vt:lpstr>Exclusions_Distinctions</vt:lpstr>
      <vt:lpstr>REF_Setup</vt:lpstr>
      <vt:lpstr>Investor_Analysis_Setup</vt:lpstr>
      <vt:lpstr>New_Investor_Analysis_Setup</vt:lpstr>
      <vt:lpstr>Bubble_Chart_Setup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Iliana Griva</dc:creator>
  <cp:lastModifiedBy>Iliana Griva</cp:lastModifiedBy>
  <dcterms:created xsi:type="dcterms:W3CDTF">2025-12-10T22:25:48Z</dcterms:created>
  <dcterms:modified xsi:type="dcterms:W3CDTF">2025-12-24T08:00:53Z</dcterms:modified>
</cp:coreProperties>
</file>